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1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Zack/Downloads/"/>
    </mc:Choice>
  </mc:AlternateContent>
  <xr:revisionPtr revIDLastSave="0" documentId="13_ncr:1_{85865140-34DA-704D-8ED2-857851D24929}" xr6:coauthVersionLast="36" xr6:coauthVersionMax="36" xr10:uidLastSave="{00000000-0000-0000-0000-000000000000}"/>
  <bookViews>
    <workbookView xWindow="0" yWindow="460" windowWidth="28800" windowHeight="16120" tabRatio="821" activeTab="2" xr2:uid="{8D2A7E40-3E03-48CF-A97B-C02942F30AC5}"/>
  </bookViews>
  <sheets>
    <sheet name="VBA function application" sheetId="1" r:id="rId1"/>
    <sheet name="Cash flows with no prepayments" sheetId="2" r:id="rId2"/>
    <sheet name="PSA&amp;CPR" sheetId="3" r:id="rId3"/>
    <sheet name="Cash flows with prepayments" sheetId="4" r:id="rId4"/>
    <sheet name="PSA&amp;CPR（function) " sheetId="6" r:id="rId5"/>
    <sheet name="Cash flows with prepayments (s)" sheetId="7" r:id="rId6"/>
    <sheet name="Cash flows with prepayments (E)" sheetId="5" r:id="rId7"/>
    <sheet name="Cash flows with prepayments (m)" sheetId="9" r:id="rId8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68" i="3" l="1"/>
  <c r="F368" i="3"/>
  <c r="G368" i="3"/>
  <c r="E369" i="3"/>
  <c r="F369" i="3"/>
  <c r="G369" i="3"/>
  <c r="E370" i="3"/>
  <c r="F370" i="3"/>
  <c r="G370" i="3"/>
  <c r="E371" i="3"/>
  <c r="F371" i="3"/>
  <c r="G371" i="3"/>
  <c r="E372" i="3"/>
  <c r="F372" i="3"/>
  <c r="G372" i="3"/>
  <c r="E373" i="3"/>
  <c r="F373" i="3"/>
  <c r="G373" i="3"/>
  <c r="E374" i="3"/>
  <c r="F374" i="3"/>
  <c r="G374" i="3"/>
  <c r="E375" i="3"/>
  <c r="F375" i="3"/>
  <c r="G375" i="3"/>
  <c r="E376" i="3"/>
  <c r="F376" i="3"/>
  <c r="G376" i="3"/>
  <c r="E377" i="3"/>
  <c r="F377" i="3"/>
  <c r="G377" i="3"/>
  <c r="E378" i="3"/>
  <c r="F378" i="3"/>
  <c r="G378" i="3"/>
  <c r="E379" i="3"/>
  <c r="F379" i="3"/>
  <c r="G379" i="3"/>
  <c r="E380" i="3"/>
  <c r="F380" i="3"/>
  <c r="G380" i="3"/>
  <c r="E381" i="3"/>
  <c r="F381" i="3"/>
  <c r="G381" i="3"/>
  <c r="E382" i="3"/>
  <c r="F382" i="3"/>
  <c r="G382" i="3"/>
  <c r="E383" i="3"/>
  <c r="F383" i="3"/>
  <c r="G383" i="3"/>
  <c r="E384" i="3"/>
  <c r="F384" i="3"/>
  <c r="G384" i="3"/>
  <c r="E385" i="3"/>
  <c r="F385" i="3"/>
  <c r="G385" i="3"/>
  <c r="E386" i="3"/>
  <c r="F386" i="3"/>
  <c r="G386" i="3"/>
  <c r="E387" i="3"/>
  <c r="F387" i="3"/>
  <c r="G387" i="3"/>
  <c r="E388" i="3"/>
  <c r="F388" i="3"/>
  <c r="G388" i="3"/>
  <c r="E389" i="3"/>
  <c r="F389" i="3"/>
  <c r="G389" i="3"/>
  <c r="E390" i="3"/>
  <c r="F390" i="3"/>
  <c r="G390" i="3"/>
  <c r="E391" i="3"/>
  <c r="F391" i="3"/>
  <c r="G391" i="3"/>
  <c r="E392" i="3"/>
  <c r="F392" i="3"/>
  <c r="G392" i="3"/>
  <c r="E393" i="3"/>
  <c r="F393" i="3"/>
  <c r="G393" i="3"/>
  <c r="E394" i="3"/>
  <c r="F394" i="3"/>
  <c r="G394" i="3"/>
  <c r="E395" i="3"/>
  <c r="F395" i="3"/>
  <c r="G395" i="3"/>
  <c r="E396" i="3"/>
  <c r="F396" i="3"/>
  <c r="G396" i="3"/>
  <c r="E397" i="3"/>
  <c r="F397" i="3"/>
  <c r="G397" i="3"/>
  <c r="E398" i="3"/>
  <c r="F398" i="3"/>
  <c r="G398" i="3"/>
  <c r="E399" i="3"/>
  <c r="F399" i="3"/>
  <c r="G399" i="3"/>
  <c r="E400" i="3"/>
  <c r="F400" i="3"/>
  <c r="G400" i="3"/>
  <c r="E401" i="3"/>
  <c r="F401" i="3"/>
  <c r="G401" i="3"/>
  <c r="E402" i="3"/>
  <c r="F402" i="3"/>
  <c r="G402" i="3"/>
  <c r="E403" i="3"/>
  <c r="F403" i="3"/>
  <c r="G403" i="3"/>
  <c r="E404" i="3"/>
  <c r="F404" i="3"/>
  <c r="G404" i="3"/>
  <c r="E405" i="3"/>
  <c r="F405" i="3"/>
  <c r="G405" i="3"/>
  <c r="E406" i="3"/>
  <c r="F406" i="3"/>
  <c r="G406" i="3"/>
  <c r="E407" i="3"/>
  <c r="F407" i="3"/>
  <c r="G407" i="3"/>
  <c r="E408" i="3"/>
  <c r="F408" i="3"/>
  <c r="G408" i="3"/>
  <c r="E409" i="3"/>
  <c r="F409" i="3"/>
  <c r="G409" i="3"/>
  <c r="E410" i="3"/>
  <c r="F410" i="3"/>
  <c r="G410" i="3"/>
  <c r="E411" i="3"/>
  <c r="F411" i="3"/>
  <c r="G411" i="3"/>
  <c r="E412" i="3"/>
  <c r="F412" i="3"/>
  <c r="G412" i="3"/>
  <c r="E413" i="3"/>
  <c r="F413" i="3"/>
  <c r="G413" i="3"/>
  <c r="E414" i="3"/>
  <c r="F414" i="3"/>
  <c r="G414" i="3"/>
  <c r="E415" i="3"/>
  <c r="F415" i="3"/>
  <c r="G415" i="3"/>
  <c r="E416" i="3"/>
  <c r="F416" i="3"/>
  <c r="G416" i="3"/>
  <c r="E417" i="3"/>
  <c r="F417" i="3"/>
  <c r="G417" i="3"/>
  <c r="E418" i="3"/>
  <c r="F418" i="3"/>
  <c r="G418" i="3"/>
  <c r="E419" i="3"/>
  <c r="F419" i="3"/>
  <c r="G419" i="3"/>
  <c r="E420" i="3"/>
  <c r="F420" i="3"/>
  <c r="G420" i="3"/>
  <c r="E421" i="3"/>
  <c r="F421" i="3"/>
  <c r="G421" i="3"/>
  <c r="E422" i="3"/>
  <c r="F422" i="3"/>
  <c r="G422" i="3"/>
  <c r="E423" i="3"/>
  <c r="F423" i="3"/>
  <c r="G423" i="3"/>
  <c r="E424" i="3"/>
  <c r="F424" i="3"/>
  <c r="G424" i="3"/>
  <c r="E425" i="3"/>
  <c r="F425" i="3"/>
  <c r="G425" i="3"/>
  <c r="E426" i="3"/>
  <c r="F426" i="3"/>
  <c r="G426" i="3"/>
  <c r="E427" i="3"/>
  <c r="F427" i="3"/>
  <c r="G427" i="3"/>
  <c r="E428" i="3"/>
  <c r="F428" i="3"/>
  <c r="G428" i="3"/>
  <c r="E429" i="3"/>
  <c r="F429" i="3"/>
  <c r="G429" i="3"/>
  <c r="E430" i="3"/>
  <c r="F430" i="3"/>
  <c r="G430" i="3"/>
  <c r="E431" i="3"/>
  <c r="F431" i="3"/>
  <c r="G431" i="3"/>
  <c r="E432" i="3"/>
  <c r="F432" i="3"/>
  <c r="G432" i="3"/>
  <c r="E433" i="3"/>
  <c r="F433" i="3"/>
  <c r="G433" i="3"/>
  <c r="E434" i="3"/>
  <c r="F434" i="3"/>
  <c r="G434" i="3"/>
  <c r="E435" i="3"/>
  <c r="F435" i="3"/>
  <c r="G435" i="3"/>
  <c r="E436" i="3"/>
  <c r="F436" i="3"/>
  <c r="G436" i="3"/>
  <c r="E437" i="3"/>
  <c r="F437" i="3"/>
  <c r="G437" i="3"/>
  <c r="E438" i="3"/>
  <c r="F438" i="3"/>
  <c r="G438" i="3"/>
  <c r="E439" i="3"/>
  <c r="F439" i="3"/>
  <c r="G439" i="3"/>
  <c r="E440" i="3"/>
  <c r="F440" i="3"/>
  <c r="G440" i="3"/>
  <c r="E441" i="3"/>
  <c r="F441" i="3"/>
  <c r="G441" i="3"/>
  <c r="E442" i="3"/>
  <c r="F442" i="3"/>
  <c r="G442" i="3"/>
  <c r="E443" i="3"/>
  <c r="F443" i="3"/>
  <c r="G443" i="3"/>
  <c r="E444" i="3"/>
  <c r="F444" i="3"/>
  <c r="G444" i="3"/>
  <c r="E445" i="3"/>
  <c r="F445" i="3"/>
  <c r="G445" i="3"/>
  <c r="E446" i="3"/>
  <c r="F446" i="3"/>
  <c r="G446" i="3"/>
  <c r="E447" i="3"/>
  <c r="F447" i="3"/>
  <c r="G447" i="3"/>
  <c r="E448" i="3"/>
  <c r="F448" i="3"/>
  <c r="G448" i="3"/>
  <c r="E449" i="3"/>
  <c r="F449" i="3"/>
  <c r="G449" i="3"/>
  <c r="E450" i="3"/>
  <c r="F450" i="3"/>
  <c r="G450" i="3"/>
  <c r="E451" i="3"/>
  <c r="F451" i="3"/>
  <c r="G451" i="3"/>
  <c r="E452" i="3"/>
  <c r="F452" i="3"/>
  <c r="G452" i="3"/>
  <c r="E453" i="3"/>
  <c r="F453" i="3"/>
  <c r="G453" i="3"/>
  <c r="E454" i="3"/>
  <c r="F454" i="3"/>
  <c r="G454" i="3"/>
  <c r="E455" i="3"/>
  <c r="F455" i="3"/>
  <c r="G455" i="3"/>
  <c r="E456" i="3"/>
  <c r="F456" i="3"/>
  <c r="G456" i="3"/>
  <c r="E457" i="3"/>
  <c r="F457" i="3"/>
  <c r="G457" i="3"/>
  <c r="E458" i="3"/>
  <c r="F458" i="3"/>
  <c r="G458" i="3"/>
  <c r="E459" i="3"/>
  <c r="F459" i="3"/>
  <c r="G459" i="3"/>
  <c r="E460" i="3"/>
  <c r="F460" i="3"/>
  <c r="G460" i="3"/>
  <c r="E461" i="3"/>
  <c r="F461" i="3"/>
  <c r="G461" i="3"/>
  <c r="E462" i="3"/>
  <c r="F462" i="3"/>
  <c r="G462" i="3"/>
  <c r="E463" i="3"/>
  <c r="F463" i="3"/>
  <c r="G463" i="3"/>
  <c r="E464" i="3"/>
  <c r="F464" i="3"/>
  <c r="G464" i="3"/>
  <c r="E465" i="3"/>
  <c r="F465" i="3"/>
  <c r="G465" i="3"/>
  <c r="E466" i="3"/>
  <c r="F466" i="3"/>
  <c r="G466" i="3"/>
  <c r="E467" i="3"/>
  <c r="F467" i="3"/>
  <c r="G467" i="3"/>
  <c r="E468" i="3"/>
  <c r="F468" i="3"/>
  <c r="G468" i="3"/>
  <c r="E469" i="3"/>
  <c r="F469" i="3"/>
  <c r="G469" i="3"/>
  <c r="E470" i="3"/>
  <c r="F470" i="3"/>
  <c r="G470" i="3"/>
  <c r="E471" i="3"/>
  <c r="F471" i="3"/>
  <c r="G471" i="3"/>
  <c r="E472" i="3"/>
  <c r="F472" i="3"/>
  <c r="G472" i="3"/>
  <c r="E473" i="3"/>
  <c r="F473" i="3"/>
  <c r="G473" i="3"/>
  <c r="E474" i="3"/>
  <c r="F474" i="3"/>
  <c r="G474" i="3"/>
  <c r="E475" i="3"/>
  <c r="F475" i="3"/>
  <c r="G475" i="3"/>
  <c r="E476" i="3"/>
  <c r="F476" i="3"/>
  <c r="G476" i="3"/>
  <c r="E477" i="3"/>
  <c r="F477" i="3"/>
  <c r="G477" i="3"/>
  <c r="E478" i="3"/>
  <c r="F478" i="3"/>
  <c r="G478" i="3"/>
  <c r="E479" i="3"/>
  <c r="F479" i="3"/>
  <c r="G479" i="3"/>
  <c r="E480" i="3"/>
  <c r="F480" i="3"/>
  <c r="G480" i="3"/>
  <c r="E481" i="3"/>
  <c r="F481" i="3"/>
  <c r="G481" i="3"/>
  <c r="E482" i="3"/>
  <c r="F482" i="3"/>
  <c r="G482" i="3"/>
  <c r="E483" i="3"/>
  <c r="F483" i="3"/>
  <c r="G483" i="3"/>
  <c r="E484" i="3"/>
  <c r="F484" i="3"/>
  <c r="G484" i="3"/>
  <c r="E485" i="3"/>
  <c r="F485" i="3"/>
  <c r="G485" i="3"/>
  <c r="E486" i="3"/>
  <c r="F486" i="3"/>
  <c r="G486" i="3"/>
  <c r="E487" i="3"/>
  <c r="F487" i="3"/>
  <c r="G487" i="3"/>
  <c r="E488" i="3"/>
  <c r="F488" i="3"/>
  <c r="G488" i="3"/>
  <c r="E489" i="3"/>
  <c r="F489" i="3"/>
  <c r="G489" i="3"/>
  <c r="E490" i="3"/>
  <c r="F490" i="3"/>
  <c r="G490" i="3"/>
  <c r="E491" i="3"/>
  <c r="F491" i="3"/>
  <c r="G491" i="3"/>
  <c r="E492" i="3"/>
  <c r="F492" i="3"/>
  <c r="G492" i="3"/>
  <c r="E493" i="3"/>
  <c r="F493" i="3"/>
  <c r="G493" i="3"/>
  <c r="E494" i="3"/>
  <c r="F494" i="3"/>
  <c r="G494" i="3"/>
  <c r="E495" i="3"/>
  <c r="F495" i="3"/>
  <c r="G495" i="3"/>
  <c r="E496" i="3"/>
  <c r="F496" i="3"/>
  <c r="G496" i="3"/>
  <c r="E497" i="3"/>
  <c r="F497" i="3"/>
  <c r="G497" i="3"/>
  <c r="E498" i="3"/>
  <c r="F498" i="3"/>
  <c r="G498" i="3"/>
  <c r="E499" i="3"/>
  <c r="F499" i="3"/>
  <c r="G499" i="3"/>
  <c r="E500" i="3"/>
  <c r="F500" i="3"/>
  <c r="G500" i="3"/>
  <c r="E501" i="3"/>
  <c r="F501" i="3"/>
  <c r="G501" i="3"/>
  <c r="E502" i="3"/>
  <c r="F502" i="3"/>
  <c r="G502" i="3"/>
  <c r="E503" i="3"/>
  <c r="F503" i="3"/>
  <c r="G503" i="3"/>
  <c r="E504" i="3"/>
  <c r="F504" i="3"/>
  <c r="G504" i="3"/>
  <c r="E505" i="3"/>
  <c r="F505" i="3"/>
  <c r="G505" i="3"/>
  <c r="E506" i="3"/>
  <c r="F506" i="3"/>
  <c r="G506" i="3"/>
  <c r="E507" i="3"/>
  <c r="F507" i="3"/>
  <c r="G507" i="3"/>
  <c r="E508" i="3"/>
  <c r="F508" i="3"/>
  <c r="G508" i="3"/>
  <c r="E509" i="3"/>
  <c r="F509" i="3"/>
  <c r="G509" i="3"/>
  <c r="E510" i="3"/>
  <c r="F510" i="3"/>
  <c r="G510" i="3"/>
  <c r="E511" i="3"/>
  <c r="F511" i="3"/>
  <c r="G511" i="3"/>
  <c r="E512" i="3"/>
  <c r="F512" i="3"/>
  <c r="G512" i="3"/>
  <c r="E513" i="3"/>
  <c r="F513" i="3"/>
  <c r="G513" i="3"/>
  <c r="E514" i="3"/>
  <c r="F514" i="3"/>
  <c r="G514" i="3"/>
  <c r="E515" i="3"/>
  <c r="F515" i="3"/>
  <c r="G515" i="3"/>
  <c r="E516" i="3"/>
  <c r="F516" i="3"/>
  <c r="G516" i="3"/>
  <c r="E517" i="3"/>
  <c r="F517" i="3"/>
  <c r="G517" i="3"/>
  <c r="E518" i="3"/>
  <c r="F518" i="3"/>
  <c r="G518" i="3"/>
  <c r="E519" i="3"/>
  <c r="F519" i="3"/>
  <c r="G519" i="3"/>
  <c r="E520" i="3"/>
  <c r="F520" i="3"/>
  <c r="G520" i="3"/>
  <c r="E521" i="3"/>
  <c r="F521" i="3"/>
  <c r="G521" i="3"/>
  <c r="E522" i="3"/>
  <c r="F522" i="3"/>
  <c r="G522" i="3"/>
  <c r="E523" i="3"/>
  <c r="F523" i="3"/>
  <c r="G523" i="3"/>
  <c r="E524" i="3"/>
  <c r="F524" i="3"/>
  <c r="G524" i="3"/>
  <c r="E525" i="3"/>
  <c r="F525" i="3"/>
  <c r="G525" i="3"/>
  <c r="E526" i="3"/>
  <c r="F526" i="3"/>
  <c r="G526" i="3"/>
  <c r="E527" i="3"/>
  <c r="F527" i="3"/>
  <c r="G527" i="3"/>
  <c r="E528" i="3"/>
  <c r="F528" i="3"/>
  <c r="G528" i="3"/>
  <c r="E529" i="3"/>
  <c r="F529" i="3"/>
  <c r="G529" i="3"/>
  <c r="E530" i="3"/>
  <c r="F530" i="3"/>
  <c r="G530" i="3"/>
  <c r="E531" i="3"/>
  <c r="F531" i="3"/>
  <c r="G531" i="3"/>
  <c r="E532" i="3"/>
  <c r="F532" i="3"/>
  <c r="G532" i="3"/>
  <c r="E533" i="3"/>
  <c r="F533" i="3"/>
  <c r="G533" i="3"/>
  <c r="E534" i="3"/>
  <c r="F534" i="3"/>
  <c r="G534" i="3"/>
  <c r="E535" i="3"/>
  <c r="F535" i="3"/>
  <c r="G535" i="3"/>
  <c r="E536" i="3"/>
  <c r="F536" i="3"/>
  <c r="G536" i="3"/>
  <c r="E537" i="3"/>
  <c r="F537" i="3"/>
  <c r="G537" i="3"/>
  <c r="E538" i="3"/>
  <c r="F538" i="3"/>
  <c r="G538" i="3"/>
  <c r="E539" i="3"/>
  <c r="F539" i="3"/>
  <c r="G539" i="3"/>
  <c r="E540" i="3"/>
  <c r="F540" i="3"/>
  <c r="G540" i="3"/>
  <c r="E541" i="3"/>
  <c r="F541" i="3"/>
  <c r="G541" i="3"/>
  <c r="E542" i="3"/>
  <c r="F542" i="3"/>
  <c r="G542" i="3"/>
  <c r="E543" i="3"/>
  <c r="F543" i="3"/>
  <c r="G543" i="3"/>
  <c r="E544" i="3"/>
  <c r="F544" i="3"/>
  <c r="G544" i="3"/>
  <c r="E545" i="3"/>
  <c r="F545" i="3"/>
  <c r="G545" i="3"/>
  <c r="E546" i="3"/>
  <c r="F546" i="3"/>
  <c r="G546" i="3"/>
  <c r="E547" i="3"/>
  <c r="F547" i="3"/>
  <c r="G547" i="3"/>
  <c r="E548" i="3"/>
  <c r="F548" i="3"/>
  <c r="G548" i="3"/>
  <c r="E549" i="3"/>
  <c r="F549" i="3"/>
  <c r="G549" i="3"/>
  <c r="E550" i="3"/>
  <c r="F550" i="3"/>
  <c r="G550" i="3"/>
  <c r="E551" i="3"/>
  <c r="F551" i="3"/>
  <c r="G551" i="3"/>
  <c r="E552" i="3"/>
  <c r="F552" i="3"/>
  <c r="G552" i="3"/>
  <c r="E553" i="3"/>
  <c r="F553" i="3"/>
  <c r="G553" i="3"/>
  <c r="E554" i="3"/>
  <c r="F554" i="3"/>
  <c r="G554" i="3"/>
  <c r="E555" i="3"/>
  <c r="F555" i="3"/>
  <c r="G555" i="3"/>
  <c r="E556" i="3"/>
  <c r="F556" i="3"/>
  <c r="G556" i="3"/>
  <c r="E557" i="3"/>
  <c r="F557" i="3"/>
  <c r="G557" i="3"/>
  <c r="E558" i="3"/>
  <c r="F558" i="3"/>
  <c r="G558" i="3"/>
  <c r="E559" i="3"/>
  <c r="F559" i="3"/>
  <c r="G559" i="3"/>
  <c r="E560" i="3"/>
  <c r="F560" i="3"/>
  <c r="G560" i="3"/>
  <c r="E561" i="3"/>
  <c r="F561" i="3"/>
  <c r="G561" i="3"/>
  <c r="E562" i="3"/>
  <c r="F562" i="3"/>
  <c r="G562" i="3"/>
  <c r="E563" i="3"/>
  <c r="F563" i="3"/>
  <c r="G563" i="3"/>
  <c r="E564" i="3"/>
  <c r="F564" i="3"/>
  <c r="G564" i="3"/>
  <c r="E565" i="3"/>
  <c r="F565" i="3"/>
  <c r="G565" i="3"/>
  <c r="E566" i="3"/>
  <c r="F566" i="3"/>
  <c r="G566" i="3"/>
  <c r="E567" i="3"/>
  <c r="F567" i="3"/>
  <c r="G567" i="3"/>
  <c r="E568" i="3"/>
  <c r="F568" i="3"/>
  <c r="G568" i="3"/>
  <c r="E569" i="3"/>
  <c r="F569" i="3"/>
  <c r="G569" i="3"/>
  <c r="E570" i="3"/>
  <c r="F570" i="3"/>
  <c r="G570" i="3"/>
  <c r="E571" i="3"/>
  <c r="F571" i="3"/>
  <c r="G571" i="3"/>
  <c r="E572" i="3"/>
  <c r="F572" i="3"/>
  <c r="G572" i="3"/>
  <c r="E573" i="3"/>
  <c r="F573" i="3"/>
  <c r="G573" i="3"/>
  <c r="E574" i="3"/>
  <c r="F574" i="3"/>
  <c r="G574" i="3"/>
  <c r="E575" i="3"/>
  <c r="F575" i="3"/>
  <c r="G575" i="3"/>
  <c r="E576" i="3"/>
  <c r="F576" i="3"/>
  <c r="G576" i="3"/>
  <c r="E577" i="3"/>
  <c r="F577" i="3"/>
  <c r="G577" i="3"/>
  <c r="E578" i="3"/>
  <c r="F578" i="3"/>
  <c r="G578" i="3"/>
  <c r="E579" i="3"/>
  <c r="F579" i="3"/>
  <c r="G579" i="3"/>
  <c r="E580" i="3"/>
  <c r="F580" i="3"/>
  <c r="G580" i="3"/>
  <c r="E581" i="3"/>
  <c r="F581" i="3"/>
  <c r="G581" i="3"/>
  <c r="E582" i="3"/>
  <c r="F582" i="3"/>
  <c r="G582" i="3"/>
  <c r="E583" i="3"/>
  <c r="F583" i="3"/>
  <c r="G583" i="3"/>
  <c r="E584" i="3"/>
  <c r="F584" i="3"/>
  <c r="G584" i="3"/>
  <c r="E585" i="3"/>
  <c r="F585" i="3"/>
  <c r="G585" i="3"/>
  <c r="E586" i="3"/>
  <c r="F586" i="3"/>
  <c r="G586" i="3"/>
  <c r="E587" i="3"/>
  <c r="F587" i="3"/>
  <c r="G587" i="3"/>
  <c r="E588" i="3"/>
  <c r="F588" i="3"/>
  <c r="G588" i="3"/>
  <c r="E589" i="3"/>
  <c r="F589" i="3"/>
  <c r="G589" i="3"/>
  <c r="E590" i="3"/>
  <c r="F590" i="3"/>
  <c r="G590" i="3"/>
  <c r="E591" i="3"/>
  <c r="F591" i="3"/>
  <c r="G591" i="3"/>
  <c r="E592" i="3"/>
  <c r="F592" i="3"/>
  <c r="G592" i="3"/>
  <c r="E593" i="3"/>
  <c r="F593" i="3"/>
  <c r="G593" i="3"/>
  <c r="E594" i="3"/>
  <c r="F594" i="3"/>
  <c r="G594" i="3"/>
  <c r="E595" i="3"/>
  <c r="F595" i="3"/>
  <c r="G595" i="3"/>
  <c r="E596" i="3"/>
  <c r="F596" i="3"/>
  <c r="G596" i="3"/>
  <c r="E597" i="3"/>
  <c r="F597" i="3"/>
  <c r="G597" i="3"/>
  <c r="E598" i="3"/>
  <c r="F598" i="3"/>
  <c r="G598" i="3"/>
  <c r="E599" i="3"/>
  <c r="F599" i="3"/>
  <c r="G599" i="3"/>
  <c r="E600" i="3"/>
  <c r="F600" i="3"/>
  <c r="G600" i="3"/>
  <c r="E601" i="3"/>
  <c r="F601" i="3"/>
  <c r="G601" i="3"/>
  <c r="E602" i="3"/>
  <c r="F602" i="3"/>
  <c r="G602" i="3"/>
  <c r="E603" i="3"/>
  <c r="F603" i="3"/>
  <c r="G603" i="3"/>
  <c r="E604" i="3"/>
  <c r="F604" i="3"/>
  <c r="G604" i="3"/>
  <c r="E605" i="3"/>
  <c r="F605" i="3"/>
  <c r="G605" i="3"/>
  <c r="E606" i="3"/>
  <c r="F606" i="3"/>
  <c r="G606" i="3"/>
  <c r="E607" i="3"/>
  <c r="F607" i="3"/>
  <c r="G607" i="3"/>
  <c r="E608" i="3"/>
  <c r="F608" i="3"/>
  <c r="G608" i="3"/>
  <c r="E609" i="3"/>
  <c r="F609" i="3"/>
  <c r="G609" i="3"/>
  <c r="E610" i="3"/>
  <c r="F610" i="3"/>
  <c r="G610" i="3"/>
  <c r="E611" i="3"/>
  <c r="F611" i="3"/>
  <c r="G611" i="3"/>
  <c r="E612" i="3"/>
  <c r="F612" i="3"/>
  <c r="G612" i="3"/>
  <c r="E613" i="3"/>
  <c r="F613" i="3"/>
  <c r="G613" i="3"/>
  <c r="E614" i="3"/>
  <c r="F614" i="3"/>
  <c r="G614" i="3"/>
  <c r="E615" i="3"/>
  <c r="F615" i="3"/>
  <c r="G615" i="3"/>
  <c r="E616" i="3"/>
  <c r="F616" i="3"/>
  <c r="G616" i="3"/>
  <c r="E617" i="3"/>
  <c r="F617" i="3"/>
  <c r="G617" i="3"/>
  <c r="E618" i="3"/>
  <c r="F618" i="3"/>
  <c r="G618" i="3"/>
  <c r="E619" i="3"/>
  <c r="F619" i="3"/>
  <c r="G619" i="3"/>
  <c r="E620" i="3"/>
  <c r="F620" i="3"/>
  <c r="G620" i="3"/>
  <c r="E621" i="3"/>
  <c r="F621" i="3"/>
  <c r="G621" i="3"/>
  <c r="E622" i="3"/>
  <c r="F622" i="3"/>
  <c r="G622" i="3"/>
  <c r="E623" i="3"/>
  <c r="F623" i="3"/>
  <c r="G623" i="3"/>
  <c r="E624" i="3"/>
  <c r="F624" i="3"/>
  <c r="G624" i="3"/>
  <c r="E625" i="3"/>
  <c r="F625" i="3"/>
  <c r="G625" i="3"/>
  <c r="E626" i="3"/>
  <c r="F626" i="3"/>
  <c r="G626" i="3"/>
  <c r="E627" i="3"/>
  <c r="F627" i="3"/>
  <c r="G627" i="3"/>
  <c r="E628" i="3"/>
  <c r="F628" i="3"/>
  <c r="G628" i="3"/>
  <c r="E629" i="3"/>
  <c r="F629" i="3"/>
  <c r="G629" i="3"/>
  <c r="E630" i="3"/>
  <c r="F630" i="3"/>
  <c r="G630" i="3"/>
  <c r="E631" i="3"/>
  <c r="F631" i="3"/>
  <c r="G631" i="3"/>
  <c r="E632" i="3"/>
  <c r="F632" i="3"/>
  <c r="G632" i="3"/>
  <c r="E633" i="3"/>
  <c r="F633" i="3"/>
  <c r="G633" i="3"/>
  <c r="E634" i="3"/>
  <c r="F634" i="3"/>
  <c r="G634" i="3"/>
  <c r="E635" i="3"/>
  <c r="F635" i="3"/>
  <c r="G635" i="3"/>
  <c r="E636" i="3"/>
  <c r="F636" i="3"/>
  <c r="G636" i="3"/>
  <c r="E637" i="3"/>
  <c r="F637" i="3"/>
  <c r="G637" i="3"/>
  <c r="E638" i="3"/>
  <c r="F638" i="3"/>
  <c r="G638" i="3"/>
  <c r="E639" i="3"/>
  <c r="F639" i="3"/>
  <c r="G639" i="3"/>
  <c r="E640" i="3"/>
  <c r="F640" i="3"/>
  <c r="G640" i="3"/>
  <c r="E641" i="3"/>
  <c r="F641" i="3"/>
  <c r="G641" i="3"/>
  <c r="E642" i="3"/>
  <c r="F642" i="3"/>
  <c r="G642" i="3"/>
  <c r="E643" i="3"/>
  <c r="F643" i="3"/>
  <c r="G643" i="3"/>
  <c r="E644" i="3"/>
  <c r="F644" i="3"/>
  <c r="G644" i="3"/>
  <c r="E645" i="3"/>
  <c r="F645" i="3"/>
  <c r="G645" i="3"/>
  <c r="E646" i="3"/>
  <c r="F646" i="3"/>
  <c r="G646" i="3"/>
  <c r="E647" i="3"/>
  <c r="F647" i="3"/>
  <c r="G647" i="3"/>
  <c r="E648" i="3"/>
  <c r="F648" i="3"/>
  <c r="G648" i="3"/>
  <c r="E649" i="3"/>
  <c r="F649" i="3"/>
  <c r="G649" i="3"/>
  <c r="E650" i="3"/>
  <c r="F650" i="3"/>
  <c r="G650" i="3"/>
  <c r="E651" i="3"/>
  <c r="F651" i="3"/>
  <c r="G651" i="3"/>
  <c r="E652" i="3"/>
  <c r="F652" i="3"/>
  <c r="G652" i="3"/>
  <c r="E653" i="3"/>
  <c r="F653" i="3"/>
  <c r="G653" i="3"/>
  <c r="E654" i="3"/>
  <c r="F654" i="3"/>
  <c r="G654" i="3"/>
  <c r="E655" i="3"/>
  <c r="F655" i="3"/>
  <c r="G655" i="3"/>
  <c r="E656" i="3"/>
  <c r="F656" i="3"/>
  <c r="G656" i="3"/>
  <c r="E657" i="3"/>
  <c r="F657" i="3"/>
  <c r="G657" i="3"/>
  <c r="E658" i="3"/>
  <c r="F658" i="3"/>
  <c r="G658" i="3"/>
  <c r="E659" i="3"/>
  <c r="F659" i="3"/>
  <c r="G659" i="3"/>
  <c r="E660" i="3"/>
  <c r="F660" i="3"/>
  <c r="G660" i="3"/>
  <c r="E661" i="3"/>
  <c r="F661" i="3"/>
  <c r="G661" i="3"/>
  <c r="E662" i="3"/>
  <c r="F662" i="3"/>
  <c r="G662" i="3"/>
  <c r="E663" i="3"/>
  <c r="F663" i="3"/>
  <c r="G663" i="3"/>
  <c r="E664" i="3"/>
  <c r="F664" i="3"/>
  <c r="G664" i="3"/>
  <c r="E665" i="3"/>
  <c r="F665" i="3"/>
  <c r="G665" i="3"/>
  <c r="E666" i="3"/>
  <c r="F666" i="3"/>
  <c r="G666" i="3"/>
  <c r="E667" i="3"/>
  <c r="F667" i="3"/>
  <c r="G667" i="3"/>
  <c r="E668" i="3"/>
  <c r="F668" i="3"/>
  <c r="G668" i="3"/>
  <c r="E669" i="3"/>
  <c r="F669" i="3"/>
  <c r="G669" i="3"/>
  <c r="E670" i="3"/>
  <c r="F670" i="3"/>
  <c r="G670" i="3"/>
  <c r="E671" i="3"/>
  <c r="F671" i="3"/>
  <c r="G671" i="3"/>
  <c r="E672" i="3"/>
  <c r="F672" i="3"/>
  <c r="G672" i="3"/>
  <c r="E673" i="3"/>
  <c r="F673" i="3"/>
  <c r="G673" i="3"/>
  <c r="E674" i="3"/>
  <c r="F674" i="3"/>
  <c r="G674" i="3"/>
  <c r="E675" i="3"/>
  <c r="F675" i="3"/>
  <c r="G675" i="3"/>
  <c r="E676" i="3"/>
  <c r="F676" i="3"/>
  <c r="G676" i="3"/>
  <c r="E677" i="3"/>
  <c r="F677" i="3"/>
  <c r="G677" i="3"/>
  <c r="E678" i="3"/>
  <c r="F678" i="3"/>
  <c r="G678" i="3"/>
  <c r="E679" i="3"/>
  <c r="F679" i="3"/>
  <c r="G679" i="3"/>
  <c r="E680" i="3"/>
  <c r="F680" i="3"/>
  <c r="G680" i="3"/>
  <c r="E681" i="3"/>
  <c r="F681" i="3"/>
  <c r="G681" i="3"/>
  <c r="E682" i="3"/>
  <c r="F682" i="3"/>
  <c r="G682" i="3"/>
  <c r="E683" i="3"/>
  <c r="F683" i="3"/>
  <c r="G683" i="3"/>
  <c r="E684" i="3"/>
  <c r="F684" i="3"/>
  <c r="G684" i="3"/>
  <c r="E685" i="3"/>
  <c r="F685" i="3"/>
  <c r="G685" i="3"/>
  <c r="E686" i="3"/>
  <c r="F686" i="3"/>
  <c r="G686" i="3"/>
  <c r="E687" i="3"/>
  <c r="F687" i="3"/>
  <c r="G687" i="3"/>
  <c r="E688" i="3"/>
  <c r="F688" i="3"/>
  <c r="G688" i="3"/>
  <c r="E689" i="3"/>
  <c r="F689" i="3"/>
  <c r="G689" i="3"/>
  <c r="E690" i="3"/>
  <c r="F690" i="3"/>
  <c r="G690" i="3"/>
  <c r="E691" i="3"/>
  <c r="F691" i="3"/>
  <c r="G691" i="3"/>
  <c r="E692" i="3"/>
  <c r="F692" i="3"/>
  <c r="G692" i="3"/>
  <c r="E693" i="3"/>
  <c r="F693" i="3"/>
  <c r="G693" i="3"/>
  <c r="E694" i="3"/>
  <c r="F694" i="3"/>
  <c r="G694" i="3"/>
  <c r="E695" i="3"/>
  <c r="F695" i="3"/>
  <c r="G695" i="3"/>
  <c r="E696" i="3"/>
  <c r="F696" i="3"/>
  <c r="G696" i="3"/>
  <c r="E697" i="3"/>
  <c r="F697" i="3"/>
  <c r="G697" i="3"/>
  <c r="E698" i="3"/>
  <c r="F698" i="3"/>
  <c r="G698" i="3"/>
  <c r="E699" i="3"/>
  <c r="F699" i="3"/>
  <c r="G699" i="3"/>
  <c r="E700" i="3"/>
  <c r="F700" i="3"/>
  <c r="G700" i="3"/>
  <c r="E701" i="3"/>
  <c r="F701" i="3"/>
  <c r="G701" i="3"/>
  <c r="E702" i="3"/>
  <c r="F702" i="3"/>
  <c r="G702" i="3"/>
  <c r="E703" i="3"/>
  <c r="F703" i="3"/>
  <c r="G703" i="3"/>
  <c r="E704" i="3"/>
  <c r="F704" i="3"/>
  <c r="G704" i="3"/>
  <c r="E705" i="3"/>
  <c r="F705" i="3"/>
  <c r="G705" i="3"/>
  <c r="E706" i="3"/>
  <c r="F706" i="3"/>
  <c r="G706" i="3"/>
  <c r="E707" i="3"/>
  <c r="F707" i="3"/>
  <c r="G707" i="3"/>
  <c r="E708" i="3"/>
  <c r="F708" i="3"/>
  <c r="G708" i="3"/>
  <c r="E709" i="3"/>
  <c r="F709" i="3"/>
  <c r="G709" i="3"/>
  <c r="E710" i="3"/>
  <c r="F710" i="3"/>
  <c r="G710" i="3"/>
  <c r="E711" i="3"/>
  <c r="F711" i="3"/>
  <c r="G711" i="3"/>
  <c r="E712" i="3"/>
  <c r="F712" i="3"/>
  <c r="G712" i="3"/>
  <c r="E713" i="3"/>
  <c r="F713" i="3"/>
  <c r="G713" i="3"/>
  <c r="E714" i="3"/>
  <c r="F714" i="3"/>
  <c r="G714" i="3"/>
  <c r="E715" i="3"/>
  <c r="F715" i="3"/>
  <c r="G715" i="3"/>
  <c r="E716" i="3"/>
  <c r="F716" i="3"/>
  <c r="G716" i="3"/>
  <c r="E717" i="3"/>
  <c r="F717" i="3"/>
  <c r="G717" i="3"/>
  <c r="E718" i="3"/>
  <c r="F718" i="3"/>
  <c r="G718" i="3"/>
  <c r="E719" i="3"/>
  <c r="F719" i="3"/>
  <c r="G719" i="3"/>
  <c r="E720" i="3"/>
  <c r="F720" i="3"/>
  <c r="G720" i="3"/>
  <c r="E721" i="3"/>
  <c r="F721" i="3"/>
  <c r="G721" i="3"/>
  <c r="E722" i="3"/>
  <c r="F722" i="3"/>
  <c r="G722" i="3"/>
  <c r="E723" i="3"/>
  <c r="F723" i="3"/>
  <c r="G723" i="3"/>
  <c r="E724" i="3"/>
  <c r="F724" i="3"/>
  <c r="G724" i="3"/>
  <c r="E725" i="3"/>
  <c r="F725" i="3"/>
  <c r="G725" i="3"/>
  <c r="E726" i="3"/>
  <c r="F726" i="3"/>
  <c r="G726" i="3"/>
  <c r="G367" i="3"/>
  <c r="F367" i="3"/>
  <c r="E367" i="3"/>
  <c r="C368" i="3"/>
  <c r="D368" i="3"/>
  <c r="C369" i="3"/>
  <c r="D369" i="3"/>
  <c r="C370" i="3"/>
  <c r="D370" i="3"/>
  <c r="C371" i="3"/>
  <c r="D371" i="3"/>
  <c r="C372" i="3"/>
  <c r="D372" i="3"/>
  <c r="C373" i="3"/>
  <c r="D373" i="3"/>
  <c r="C374" i="3"/>
  <c r="D374" i="3"/>
  <c r="C375" i="3"/>
  <c r="D375" i="3"/>
  <c r="C376" i="3"/>
  <c r="D376" i="3"/>
  <c r="C377" i="3"/>
  <c r="D377" i="3"/>
  <c r="C378" i="3"/>
  <c r="D378" i="3"/>
  <c r="C379" i="3"/>
  <c r="D379" i="3"/>
  <c r="C380" i="3"/>
  <c r="D380" i="3"/>
  <c r="C381" i="3"/>
  <c r="D381" i="3"/>
  <c r="C382" i="3"/>
  <c r="D382" i="3"/>
  <c r="C383" i="3"/>
  <c r="D383" i="3"/>
  <c r="C384" i="3"/>
  <c r="D384" i="3"/>
  <c r="C385" i="3"/>
  <c r="D385" i="3"/>
  <c r="C386" i="3"/>
  <c r="D386" i="3"/>
  <c r="C387" i="3"/>
  <c r="D387" i="3"/>
  <c r="C388" i="3"/>
  <c r="D388" i="3"/>
  <c r="C389" i="3"/>
  <c r="D389" i="3"/>
  <c r="C390" i="3"/>
  <c r="D390" i="3"/>
  <c r="C391" i="3"/>
  <c r="D391" i="3"/>
  <c r="C392" i="3"/>
  <c r="D392" i="3"/>
  <c r="C393" i="3"/>
  <c r="D393" i="3"/>
  <c r="C394" i="3"/>
  <c r="D394" i="3"/>
  <c r="C395" i="3"/>
  <c r="D395" i="3"/>
  <c r="C396" i="3"/>
  <c r="D396" i="3"/>
  <c r="C397" i="3"/>
  <c r="D397" i="3"/>
  <c r="C398" i="3"/>
  <c r="D398" i="3"/>
  <c r="C399" i="3"/>
  <c r="D399" i="3"/>
  <c r="C400" i="3"/>
  <c r="D400" i="3"/>
  <c r="C401" i="3"/>
  <c r="D401" i="3"/>
  <c r="C402" i="3"/>
  <c r="D402" i="3"/>
  <c r="C403" i="3"/>
  <c r="D403" i="3"/>
  <c r="C404" i="3"/>
  <c r="D404" i="3"/>
  <c r="C405" i="3"/>
  <c r="D405" i="3"/>
  <c r="C406" i="3"/>
  <c r="D406" i="3"/>
  <c r="C407" i="3"/>
  <c r="D407" i="3"/>
  <c r="C408" i="3"/>
  <c r="D408" i="3"/>
  <c r="C409" i="3"/>
  <c r="D409" i="3"/>
  <c r="C410" i="3"/>
  <c r="D410" i="3"/>
  <c r="C411" i="3"/>
  <c r="D411" i="3"/>
  <c r="C412" i="3"/>
  <c r="D412" i="3"/>
  <c r="C413" i="3"/>
  <c r="D413" i="3"/>
  <c r="C414" i="3"/>
  <c r="D414" i="3"/>
  <c r="C415" i="3"/>
  <c r="D415" i="3"/>
  <c r="C416" i="3"/>
  <c r="D416" i="3"/>
  <c r="C417" i="3"/>
  <c r="D417" i="3"/>
  <c r="C418" i="3"/>
  <c r="D418" i="3"/>
  <c r="C419" i="3"/>
  <c r="D419" i="3"/>
  <c r="C420" i="3"/>
  <c r="D420" i="3"/>
  <c r="C421" i="3"/>
  <c r="D421" i="3"/>
  <c r="C422" i="3"/>
  <c r="D422" i="3"/>
  <c r="C423" i="3"/>
  <c r="D423" i="3"/>
  <c r="C424" i="3"/>
  <c r="D424" i="3"/>
  <c r="C425" i="3"/>
  <c r="D425" i="3"/>
  <c r="C426" i="3"/>
  <c r="D426" i="3"/>
  <c r="C427" i="3"/>
  <c r="D427" i="3"/>
  <c r="C428" i="3"/>
  <c r="D428" i="3"/>
  <c r="C429" i="3"/>
  <c r="D429" i="3"/>
  <c r="C430" i="3"/>
  <c r="D430" i="3"/>
  <c r="C431" i="3"/>
  <c r="D431" i="3"/>
  <c r="C432" i="3"/>
  <c r="D432" i="3"/>
  <c r="C433" i="3"/>
  <c r="D433" i="3"/>
  <c r="C434" i="3"/>
  <c r="D434" i="3"/>
  <c r="C435" i="3"/>
  <c r="D435" i="3"/>
  <c r="C436" i="3"/>
  <c r="D436" i="3"/>
  <c r="C437" i="3"/>
  <c r="D437" i="3"/>
  <c r="C438" i="3"/>
  <c r="D438" i="3"/>
  <c r="C439" i="3"/>
  <c r="D439" i="3"/>
  <c r="C440" i="3"/>
  <c r="D440" i="3"/>
  <c r="C441" i="3"/>
  <c r="D441" i="3"/>
  <c r="C442" i="3"/>
  <c r="D442" i="3"/>
  <c r="C443" i="3"/>
  <c r="D443" i="3"/>
  <c r="C444" i="3"/>
  <c r="D444" i="3"/>
  <c r="C445" i="3"/>
  <c r="D445" i="3"/>
  <c r="C446" i="3"/>
  <c r="D446" i="3"/>
  <c r="C447" i="3"/>
  <c r="D447" i="3"/>
  <c r="C448" i="3"/>
  <c r="D448" i="3"/>
  <c r="C449" i="3"/>
  <c r="D449" i="3"/>
  <c r="C450" i="3"/>
  <c r="D450" i="3"/>
  <c r="C451" i="3"/>
  <c r="D451" i="3"/>
  <c r="C452" i="3"/>
  <c r="D452" i="3"/>
  <c r="C453" i="3"/>
  <c r="D453" i="3"/>
  <c r="C454" i="3"/>
  <c r="D454" i="3"/>
  <c r="C455" i="3"/>
  <c r="D455" i="3"/>
  <c r="C456" i="3"/>
  <c r="D456" i="3"/>
  <c r="C457" i="3"/>
  <c r="D457" i="3"/>
  <c r="C458" i="3"/>
  <c r="D458" i="3"/>
  <c r="C459" i="3"/>
  <c r="D459" i="3"/>
  <c r="C460" i="3"/>
  <c r="D460" i="3"/>
  <c r="C461" i="3"/>
  <c r="D461" i="3"/>
  <c r="C462" i="3"/>
  <c r="D462" i="3"/>
  <c r="C463" i="3"/>
  <c r="D463" i="3"/>
  <c r="C464" i="3"/>
  <c r="D464" i="3"/>
  <c r="C465" i="3"/>
  <c r="D465" i="3"/>
  <c r="C466" i="3"/>
  <c r="D466" i="3"/>
  <c r="C467" i="3"/>
  <c r="D467" i="3"/>
  <c r="C468" i="3"/>
  <c r="D468" i="3"/>
  <c r="C469" i="3"/>
  <c r="D469" i="3"/>
  <c r="C470" i="3"/>
  <c r="D470" i="3"/>
  <c r="C471" i="3"/>
  <c r="D471" i="3"/>
  <c r="C472" i="3"/>
  <c r="D472" i="3"/>
  <c r="C473" i="3"/>
  <c r="D473" i="3"/>
  <c r="C474" i="3"/>
  <c r="D474" i="3"/>
  <c r="C475" i="3"/>
  <c r="D475" i="3"/>
  <c r="C476" i="3"/>
  <c r="D476" i="3"/>
  <c r="C477" i="3"/>
  <c r="D477" i="3"/>
  <c r="C478" i="3"/>
  <c r="D478" i="3"/>
  <c r="C479" i="3"/>
  <c r="D479" i="3"/>
  <c r="C480" i="3"/>
  <c r="D480" i="3"/>
  <c r="C481" i="3"/>
  <c r="D481" i="3"/>
  <c r="C482" i="3"/>
  <c r="D482" i="3"/>
  <c r="C483" i="3"/>
  <c r="D483" i="3"/>
  <c r="C484" i="3"/>
  <c r="D484" i="3"/>
  <c r="C485" i="3"/>
  <c r="D485" i="3"/>
  <c r="C486" i="3"/>
  <c r="D486" i="3"/>
  <c r="C487" i="3"/>
  <c r="D487" i="3"/>
  <c r="C488" i="3"/>
  <c r="D488" i="3"/>
  <c r="C489" i="3"/>
  <c r="D489" i="3"/>
  <c r="C490" i="3"/>
  <c r="D490" i="3"/>
  <c r="C491" i="3"/>
  <c r="D491" i="3"/>
  <c r="C492" i="3"/>
  <c r="D492" i="3"/>
  <c r="C493" i="3"/>
  <c r="D493" i="3"/>
  <c r="C494" i="3"/>
  <c r="D494" i="3"/>
  <c r="C495" i="3"/>
  <c r="D495" i="3"/>
  <c r="C496" i="3"/>
  <c r="D496" i="3"/>
  <c r="C497" i="3"/>
  <c r="D497" i="3"/>
  <c r="C498" i="3"/>
  <c r="D498" i="3"/>
  <c r="C499" i="3"/>
  <c r="D499" i="3"/>
  <c r="C500" i="3"/>
  <c r="D500" i="3"/>
  <c r="C501" i="3"/>
  <c r="D501" i="3"/>
  <c r="C502" i="3"/>
  <c r="D502" i="3"/>
  <c r="C503" i="3"/>
  <c r="D503" i="3"/>
  <c r="C504" i="3"/>
  <c r="D504" i="3"/>
  <c r="C505" i="3"/>
  <c r="D505" i="3"/>
  <c r="C506" i="3"/>
  <c r="D506" i="3"/>
  <c r="C507" i="3"/>
  <c r="D507" i="3"/>
  <c r="C508" i="3"/>
  <c r="D508" i="3"/>
  <c r="C509" i="3"/>
  <c r="D509" i="3"/>
  <c r="C510" i="3"/>
  <c r="D510" i="3"/>
  <c r="C511" i="3"/>
  <c r="D511" i="3"/>
  <c r="C512" i="3"/>
  <c r="D512" i="3"/>
  <c r="C513" i="3"/>
  <c r="D513" i="3"/>
  <c r="C514" i="3"/>
  <c r="D514" i="3"/>
  <c r="C515" i="3"/>
  <c r="D515" i="3"/>
  <c r="C516" i="3"/>
  <c r="D516" i="3"/>
  <c r="C517" i="3"/>
  <c r="D517" i="3"/>
  <c r="C518" i="3"/>
  <c r="D518" i="3"/>
  <c r="C519" i="3"/>
  <c r="D519" i="3"/>
  <c r="C520" i="3"/>
  <c r="D520" i="3"/>
  <c r="C521" i="3"/>
  <c r="D521" i="3"/>
  <c r="C522" i="3"/>
  <c r="D522" i="3"/>
  <c r="C523" i="3"/>
  <c r="D523" i="3"/>
  <c r="C524" i="3"/>
  <c r="D524" i="3"/>
  <c r="C525" i="3"/>
  <c r="D525" i="3"/>
  <c r="C526" i="3"/>
  <c r="D526" i="3"/>
  <c r="C527" i="3"/>
  <c r="D527" i="3"/>
  <c r="C528" i="3"/>
  <c r="D528" i="3"/>
  <c r="C529" i="3"/>
  <c r="D529" i="3"/>
  <c r="C530" i="3"/>
  <c r="D530" i="3"/>
  <c r="C531" i="3"/>
  <c r="D531" i="3"/>
  <c r="C532" i="3"/>
  <c r="D532" i="3"/>
  <c r="C533" i="3"/>
  <c r="D533" i="3"/>
  <c r="C534" i="3"/>
  <c r="D534" i="3"/>
  <c r="C535" i="3"/>
  <c r="D535" i="3"/>
  <c r="C536" i="3"/>
  <c r="D536" i="3"/>
  <c r="C537" i="3"/>
  <c r="D537" i="3"/>
  <c r="C538" i="3"/>
  <c r="D538" i="3"/>
  <c r="C539" i="3"/>
  <c r="D539" i="3"/>
  <c r="C540" i="3"/>
  <c r="D540" i="3"/>
  <c r="C541" i="3"/>
  <c r="D541" i="3"/>
  <c r="C542" i="3"/>
  <c r="D542" i="3"/>
  <c r="C543" i="3"/>
  <c r="D543" i="3"/>
  <c r="C544" i="3"/>
  <c r="D544" i="3"/>
  <c r="C545" i="3"/>
  <c r="D545" i="3"/>
  <c r="C546" i="3"/>
  <c r="D546" i="3"/>
  <c r="C547" i="3"/>
  <c r="D547" i="3"/>
  <c r="C548" i="3"/>
  <c r="D548" i="3"/>
  <c r="C549" i="3"/>
  <c r="D549" i="3"/>
  <c r="C550" i="3"/>
  <c r="D550" i="3"/>
  <c r="C551" i="3"/>
  <c r="D551" i="3"/>
  <c r="C552" i="3"/>
  <c r="D552" i="3"/>
  <c r="C553" i="3"/>
  <c r="D553" i="3"/>
  <c r="C554" i="3"/>
  <c r="D554" i="3"/>
  <c r="C555" i="3"/>
  <c r="D555" i="3"/>
  <c r="C556" i="3"/>
  <c r="D556" i="3"/>
  <c r="C557" i="3"/>
  <c r="D557" i="3"/>
  <c r="C558" i="3"/>
  <c r="D558" i="3"/>
  <c r="C559" i="3"/>
  <c r="D559" i="3"/>
  <c r="C560" i="3"/>
  <c r="D560" i="3"/>
  <c r="C561" i="3"/>
  <c r="D561" i="3"/>
  <c r="C562" i="3"/>
  <c r="D562" i="3"/>
  <c r="C563" i="3"/>
  <c r="D563" i="3"/>
  <c r="C564" i="3"/>
  <c r="D564" i="3"/>
  <c r="C565" i="3"/>
  <c r="D565" i="3"/>
  <c r="C566" i="3"/>
  <c r="D566" i="3"/>
  <c r="C567" i="3"/>
  <c r="D567" i="3"/>
  <c r="C568" i="3"/>
  <c r="D568" i="3"/>
  <c r="C569" i="3"/>
  <c r="D569" i="3"/>
  <c r="C570" i="3"/>
  <c r="D570" i="3"/>
  <c r="C571" i="3"/>
  <c r="D571" i="3"/>
  <c r="C572" i="3"/>
  <c r="D572" i="3"/>
  <c r="C573" i="3"/>
  <c r="D573" i="3"/>
  <c r="C574" i="3"/>
  <c r="D574" i="3"/>
  <c r="C575" i="3"/>
  <c r="D575" i="3"/>
  <c r="C576" i="3"/>
  <c r="D576" i="3"/>
  <c r="C577" i="3"/>
  <c r="D577" i="3"/>
  <c r="C578" i="3"/>
  <c r="D578" i="3"/>
  <c r="C579" i="3"/>
  <c r="D579" i="3"/>
  <c r="C580" i="3"/>
  <c r="D580" i="3"/>
  <c r="C581" i="3"/>
  <c r="D581" i="3"/>
  <c r="C582" i="3"/>
  <c r="D582" i="3"/>
  <c r="C583" i="3"/>
  <c r="D583" i="3"/>
  <c r="C584" i="3"/>
  <c r="D584" i="3"/>
  <c r="C585" i="3"/>
  <c r="D585" i="3"/>
  <c r="C586" i="3"/>
  <c r="D586" i="3"/>
  <c r="C587" i="3"/>
  <c r="D587" i="3"/>
  <c r="C588" i="3"/>
  <c r="D588" i="3"/>
  <c r="C589" i="3"/>
  <c r="D589" i="3"/>
  <c r="C590" i="3"/>
  <c r="D590" i="3"/>
  <c r="C591" i="3"/>
  <c r="D591" i="3"/>
  <c r="C592" i="3"/>
  <c r="D592" i="3"/>
  <c r="C593" i="3"/>
  <c r="D593" i="3"/>
  <c r="C594" i="3"/>
  <c r="D594" i="3"/>
  <c r="C595" i="3"/>
  <c r="D595" i="3"/>
  <c r="C596" i="3"/>
  <c r="D596" i="3"/>
  <c r="C597" i="3"/>
  <c r="D597" i="3"/>
  <c r="C598" i="3"/>
  <c r="D598" i="3"/>
  <c r="C599" i="3"/>
  <c r="D599" i="3"/>
  <c r="C600" i="3"/>
  <c r="D600" i="3"/>
  <c r="C601" i="3"/>
  <c r="D601" i="3"/>
  <c r="C602" i="3"/>
  <c r="D602" i="3"/>
  <c r="C603" i="3"/>
  <c r="D603" i="3"/>
  <c r="C604" i="3"/>
  <c r="D604" i="3"/>
  <c r="C605" i="3"/>
  <c r="D605" i="3"/>
  <c r="C606" i="3"/>
  <c r="D606" i="3"/>
  <c r="C607" i="3"/>
  <c r="D607" i="3"/>
  <c r="C608" i="3"/>
  <c r="D608" i="3"/>
  <c r="C609" i="3"/>
  <c r="D609" i="3"/>
  <c r="C610" i="3"/>
  <c r="D610" i="3"/>
  <c r="C611" i="3"/>
  <c r="D611" i="3"/>
  <c r="C612" i="3"/>
  <c r="D612" i="3"/>
  <c r="C613" i="3"/>
  <c r="D613" i="3"/>
  <c r="C614" i="3"/>
  <c r="D614" i="3"/>
  <c r="C615" i="3"/>
  <c r="D615" i="3"/>
  <c r="C616" i="3"/>
  <c r="D616" i="3"/>
  <c r="C617" i="3"/>
  <c r="D617" i="3"/>
  <c r="C618" i="3"/>
  <c r="D618" i="3"/>
  <c r="C619" i="3"/>
  <c r="D619" i="3"/>
  <c r="C620" i="3"/>
  <c r="D620" i="3"/>
  <c r="C621" i="3"/>
  <c r="D621" i="3"/>
  <c r="C622" i="3"/>
  <c r="D622" i="3"/>
  <c r="C623" i="3"/>
  <c r="D623" i="3"/>
  <c r="C624" i="3"/>
  <c r="D624" i="3"/>
  <c r="C625" i="3"/>
  <c r="D625" i="3"/>
  <c r="C626" i="3"/>
  <c r="D626" i="3"/>
  <c r="C627" i="3"/>
  <c r="D627" i="3"/>
  <c r="C628" i="3"/>
  <c r="D628" i="3"/>
  <c r="C629" i="3"/>
  <c r="D629" i="3"/>
  <c r="C630" i="3"/>
  <c r="D630" i="3"/>
  <c r="C631" i="3"/>
  <c r="D631" i="3"/>
  <c r="C632" i="3"/>
  <c r="D632" i="3"/>
  <c r="C633" i="3"/>
  <c r="D633" i="3"/>
  <c r="C634" i="3"/>
  <c r="D634" i="3"/>
  <c r="C635" i="3"/>
  <c r="D635" i="3"/>
  <c r="C636" i="3"/>
  <c r="D636" i="3"/>
  <c r="C637" i="3"/>
  <c r="D637" i="3"/>
  <c r="C638" i="3"/>
  <c r="D638" i="3"/>
  <c r="C639" i="3"/>
  <c r="D639" i="3"/>
  <c r="C640" i="3"/>
  <c r="D640" i="3"/>
  <c r="C641" i="3"/>
  <c r="D641" i="3"/>
  <c r="C642" i="3"/>
  <c r="D642" i="3"/>
  <c r="C643" i="3"/>
  <c r="D643" i="3"/>
  <c r="C644" i="3"/>
  <c r="D644" i="3"/>
  <c r="C645" i="3"/>
  <c r="D645" i="3"/>
  <c r="C646" i="3"/>
  <c r="D646" i="3"/>
  <c r="C647" i="3"/>
  <c r="D647" i="3"/>
  <c r="C648" i="3"/>
  <c r="D648" i="3"/>
  <c r="C649" i="3"/>
  <c r="D649" i="3"/>
  <c r="C650" i="3"/>
  <c r="D650" i="3"/>
  <c r="C651" i="3"/>
  <c r="D651" i="3"/>
  <c r="C652" i="3"/>
  <c r="D652" i="3"/>
  <c r="C653" i="3"/>
  <c r="D653" i="3"/>
  <c r="C654" i="3"/>
  <c r="D654" i="3"/>
  <c r="C655" i="3"/>
  <c r="D655" i="3"/>
  <c r="C656" i="3"/>
  <c r="D656" i="3"/>
  <c r="C657" i="3"/>
  <c r="D657" i="3"/>
  <c r="C658" i="3"/>
  <c r="D658" i="3"/>
  <c r="C659" i="3"/>
  <c r="D659" i="3"/>
  <c r="C660" i="3"/>
  <c r="D660" i="3"/>
  <c r="C661" i="3"/>
  <c r="D661" i="3"/>
  <c r="C662" i="3"/>
  <c r="D662" i="3"/>
  <c r="C663" i="3"/>
  <c r="D663" i="3"/>
  <c r="C664" i="3"/>
  <c r="D664" i="3"/>
  <c r="C665" i="3"/>
  <c r="D665" i="3"/>
  <c r="C666" i="3"/>
  <c r="D666" i="3"/>
  <c r="C667" i="3"/>
  <c r="D667" i="3"/>
  <c r="C668" i="3"/>
  <c r="D668" i="3"/>
  <c r="C669" i="3"/>
  <c r="D669" i="3"/>
  <c r="C670" i="3"/>
  <c r="D670" i="3"/>
  <c r="C671" i="3"/>
  <c r="D671" i="3"/>
  <c r="C672" i="3"/>
  <c r="D672" i="3"/>
  <c r="C673" i="3"/>
  <c r="D673" i="3"/>
  <c r="C674" i="3"/>
  <c r="D674" i="3"/>
  <c r="C675" i="3"/>
  <c r="D675" i="3"/>
  <c r="C676" i="3"/>
  <c r="D676" i="3"/>
  <c r="C677" i="3"/>
  <c r="D677" i="3"/>
  <c r="C678" i="3"/>
  <c r="D678" i="3"/>
  <c r="C679" i="3"/>
  <c r="D679" i="3"/>
  <c r="C680" i="3"/>
  <c r="D680" i="3"/>
  <c r="C681" i="3"/>
  <c r="D681" i="3"/>
  <c r="C682" i="3"/>
  <c r="D682" i="3"/>
  <c r="C683" i="3"/>
  <c r="D683" i="3"/>
  <c r="C684" i="3"/>
  <c r="D684" i="3"/>
  <c r="C685" i="3"/>
  <c r="D685" i="3"/>
  <c r="C686" i="3"/>
  <c r="D686" i="3"/>
  <c r="C687" i="3"/>
  <c r="D687" i="3"/>
  <c r="C688" i="3"/>
  <c r="D688" i="3"/>
  <c r="C689" i="3"/>
  <c r="D689" i="3"/>
  <c r="C690" i="3"/>
  <c r="D690" i="3"/>
  <c r="C691" i="3"/>
  <c r="D691" i="3"/>
  <c r="C692" i="3"/>
  <c r="D692" i="3"/>
  <c r="C693" i="3"/>
  <c r="D693" i="3"/>
  <c r="C694" i="3"/>
  <c r="D694" i="3"/>
  <c r="C695" i="3"/>
  <c r="D695" i="3"/>
  <c r="C696" i="3"/>
  <c r="D696" i="3"/>
  <c r="C697" i="3"/>
  <c r="D697" i="3"/>
  <c r="C698" i="3"/>
  <c r="D698" i="3"/>
  <c r="C699" i="3"/>
  <c r="D699" i="3"/>
  <c r="C700" i="3"/>
  <c r="D700" i="3"/>
  <c r="C701" i="3"/>
  <c r="D701" i="3"/>
  <c r="C702" i="3"/>
  <c r="D702" i="3"/>
  <c r="C703" i="3"/>
  <c r="D703" i="3"/>
  <c r="C704" i="3"/>
  <c r="D704" i="3"/>
  <c r="C705" i="3"/>
  <c r="D705" i="3"/>
  <c r="C706" i="3"/>
  <c r="D706" i="3"/>
  <c r="C707" i="3"/>
  <c r="D707" i="3"/>
  <c r="C708" i="3"/>
  <c r="D708" i="3"/>
  <c r="C709" i="3"/>
  <c r="D709" i="3"/>
  <c r="C710" i="3"/>
  <c r="D710" i="3"/>
  <c r="C711" i="3"/>
  <c r="D711" i="3"/>
  <c r="C712" i="3"/>
  <c r="D712" i="3"/>
  <c r="C713" i="3"/>
  <c r="D713" i="3"/>
  <c r="C714" i="3"/>
  <c r="D714" i="3"/>
  <c r="C715" i="3"/>
  <c r="D715" i="3"/>
  <c r="C716" i="3"/>
  <c r="D716" i="3"/>
  <c r="C717" i="3"/>
  <c r="D717" i="3"/>
  <c r="C718" i="3"/>
  <c r="D718" i="3"/>
  <c r="C719" i="3"/>
  <c r="D719" i="3"/>
  <c r="C720" i="3"/>
  <c r="D720" i="3"/>
  <c r="C721" i="3"/>
  <c r="D721" i="3"/>
  <c r="C722" i="3"/>
  <c r="D722" i="3"/>
  <c r="C723" i="3"/>
  <c r="D723" i="3"/>
  <c r="C724" i="3"/>
  <c r="D724" i="3"/>
  <c r="C725" i="3"/>
  <c r="D725" i="3"/>
  <c r="C726" i="3"/>
  <c r="D726" i="3"/>
  <c r="D367" i="3"/>
  <c r="C367" i="3"/>
  <c r="B368" i="3"/>
  <c r="B369" i="3"/>
  <c r="B370" i="3"/>
  <c r="B371" i="3"/>
  <c r="B372" i="3"/>
  <c r="B373" i="3"/>
  <c r="B374" i="3"/>
  <c r="B375" i="3"/>
  <c r="B376" i="3"/>
  <c r="B377" i="3"/>
  <c r="B378" i="3"/>
  <c r="B379" i="3"/>
  <c r="B380" i="3"/>
  <c r="B381" i="3"/>
  <c r="B382" i="3"/>
  <c r="B383" i="3"/>
  <c r="B384" i="3"/>
  <c r="B385" i="3"/>
  <c r="B386" i="3"/>
  <c r="B387" i="3"/>
  <c r="B388" i="3"/>
  <c r="B389" i="3"/>
  <c r="B390" i="3"/>
  <c r="B391" i="3"/>
  <c r="B392" i="3"/>
  <c r="B393" i="3"/>
  <c r="B394" i="3"/>
  <c r="B395" i="3"/>
  <c r="B396" i="3"/>
  <c r="B397" i="3"/>
  <c r="B398" i="3"/>
  <c r="B399" i="3"/>
  <c r="B400" i="3"/>
  <c r="B401" i="3"/>
  <c r="B402" i="3"/>
  <c r="B403" i="3"/>
  <c r="B404" i="3"/>
  <c r="B405" i="3"/>
  <c r="B406" i="3"/>
  <c r="B407" i="3"/>
  <c r="B408" i="3"/>
  <c r="B409" i="3"/>
  <c r="B410" i="3"/>
  <c r="B411" i="3"/>
  <c r="B412" i="3"/>
  <c r="B413" i="3"/>
  <c r="B414" i="3"/>
  <c r="B415" i="3"/>
  <c r="B416" i="3"/>
  <c r="B417" i="3"/>
  <c r="B418" i="3"/>
  <c r="B419" i="3"/>
  <c r="B420" i="3"/>
  <c r="B421" i="3"/>
  <c r="B422" i="3"/>
  <c r="B423" i="3"/>
  <c r="B424" i="3"/>
  <c r="B425" i="3"/>
  <c r="B426" i="3"/>
  <c r="B427" i="3"/>
  <c r="B428" i="3"/>
  <c r="B429" i="3"/>
  <c r="B430" i="3"/>
  <c r="B431" i="3"/>
  <c r="B432" i="3"/>
  <c r="B433" i="3"/>
  <c r="B434" i="3"/>
  <c r="B435" i="3"/>
  <c r="B436" i="3"/>
  <c r="B437" i="3"/>
  <c r="B438" i="3"/>
  <c r="B439" i="3"/>
  <c r="B440" i="3"/>
  <c r="B441" i="3"/>
  <c r="B442" i="3"/>
  <c r="B443" i="3"/>
  <c r="B444" i="3"/>
  <c r="B445" i="3"/>
  <c r="B446" i="3"/>
  <c r="B447" i="3"/>
  <c r="B448" i="3"/>
  <c r="B449" i="3"/>
  <c r="B450" i="3"/>
  <c r="B451" i="3"/>
  <c r="B452" i="3"/>
  <c r="B453" i="3"/>
  <c r="B454" i="3"/>
  <c r="B455" i="3"/>
  <c r="B456" i="3"/>
  <c r="B457" i="3"/>
  <c r="B458" i="3"/>
  <c r="B459" i="3"/>
  <c r="B460" i="3"/>
  <c r="B461" i="3"/>
  <c r="B462" i="3"/>
  <c r="B463" i="3"/>
  <c r="B464" i="3"/>
  <c r="B465" i="3"/>
  <c r="B466" i="3"/>
  <c r="B467" i="3"/>
  <c r="B468" i="3"/>
  <c r="B469" i="3"/>
  <c r="B470" i="3"/>
  <c r="B471" i="3"/>
  <c r="B472" i="3"/>
  <c r="B473" i="3"/>
  <c r="B474" i="3"/>
  <c r="B475" i="3"/>
  <c r="B476" i="3"/>
  <c r="B477" i="3"/>
  <c r="B478" i="3"/>
  <c r="B479" i="3"/>
  <c r="B480" i="3"/>
  <c r="B481" i="3"/>
  <c r="B482" i="3"/>
  <c r="B483" i="3"/>
  <c r="B484" i="3"/>
  <c r="B485" i="3"/>
  <c r="B486" i="3"/>
  <c r="B487" i="3"/>
  <c r="B488" i="3"/>
  <c r="B489" i="3"/>
  <c r="B490" i="3"/>
  <c r="B491" i="3"/>
  <c r="B492" i="3"/>
  <c r="B493" i="3"/>
  <c r="B494" i="3"/>
  <c r="B495" i="3"/>
  <c r="B496" i="3"/>
  <c r="B497" i="3"/>
  <c r="B498" i="3"/>
  <c r="B499" i="3"/>
  <c r="B500" i="3"/>
  <c r="B501" i="3"/>
  <c r="B502" i="3"/>
  <c r="B503" i="3"/>
  <c r="B504" i="3"/>
  <c r="B505" i="3"/>
  <c r="B506" i="3"/>
  <c r="B507" i="3"/>
  <c r="B508" i="3"/>
  <c r="B509" i="3"/>
  <c r="B510" i="3"/>
  <c r="B511" i="3"/>
  <c r="B512" i="3"/>
  <c r="B513" i="3"/>
  <c r="B514" i="3"/>
  <c r="B515" i="3"/>
  <c r="B516" i="3"/>
  <c r="B517" i="3"/>
  <c r="B518" i="3"/>
  <c r="B519" i="3"/>
  <c r="B520" i="3"/>
  <c r="B521" i="3"/>
  <c r="B522" i="3"/>
  <c r="B523" i="3"/>
  <c r="B524" i="3"/>
  <c r="B525" i="3"/>
  <c r="B526" i="3"/>
  <c r="B527" i="3"/>
  <c r="B528" i="3"/>
  <c r="B529" i="3"/>
  <c r="B530" i="3"/>
  <c r="B531" i="3"/>
  <c r="B532" i="3"/>
  <c r="B533" i="3"/>
  <c r="B534" i="3"/>
  <c r="B535" i="3"/>
  <c r="B536" i="3"/>
  <c r="B537" i="3"/>
  <c r="B538" i="3"/>
  <c r="B539" i="3"/>
  <c r="B540" i="3"/>
  <c r="B541" i="3"/>
  <c r="B542" i="3"/>
  <c r="B543" i="3"/>
  <c r="B544" i="3"/>
  <c r="B545" i="3"/>
  <c r="B546" i="3"/>
  <c r="B547" i="3"/>
  <c r="B548" i="3"/>
  <c r="B549" i="3"/>
  <c r="B550" i="3"/>
  <c r="B551" i="3"/>
  <c r="B552" i="3"/>
  <c r="B553" i="3"/>
  <c r="B554" i="3"/>
  <c r="B555" i="3"/>
  <c r="B556" i="3"/>
  <c r="B557" i="3"/>
  <c r="B558" i="3"/>
  <c r="B559" i="3"/>
  <c r="B560" i="3"/>
  <c r="B561" i="3"/>
  <c r="B562" i="3"/>
  <c r="B563" i="3"/>
  <c r="B564" i="3"/>
  <c r="B565" i="3"/>
  <c r="B566" i="3"/>
  <c r="B567" i="3"/>
  <c r="B568" i="3"/>
  <c r="B569" i="3"/>
  <c r="B570" i="3"/>
  <c r="B571" i="3"/>
  <c r="B572" i="3"/>
  <c r="B573" i="3"/>
  <c r="B574" i="3"/>
  <c r="B575" i="3"/>
  <c r="B576" i="3"/>
  <c r="B577" i="3"/>
  <c r="B578" i="3"/>
  <c r="B579" i="3"/>
  <c r="B580" i="3"/>
  <c r="B581" i="3"/>
  <c r="B582" i="3"/>
  <c r="B583" i="3"/>
  <c r="B584" i="3"/>
  <c r="B585" i="3"/>
  <c r="B586" i="3"/>
  <c r="B587" i="3"/>
  <c r="B588" i="3"/>
  <c r="B589" i="3"/>
  <c r="B590" i="3"/>
  <c r="B591" i="3"/>
  <c r="B592" i="3"/>
  <c r="B593" i="3"/>
  <c r="B594" i="3"/>
  <c r="B595" i="3"/>
  <c r="B596" i="3"/>
  <c r="B597" i="3"/>
  <c r="B598" i="3"/>
  <c r="B599" i="3"/>
  <c r="B600" i="3"/>
  <c r="B601" i="3"/>
  <c r="B602" i="3"/>
  <c r="B603" i="3"/>
  <c r="B604" i="3"/>
  <c r="B605" i="3"/>
  <c r="B606" i="3"/>
  <c r="B607" i="3"/>
  <c r="B608" i="3"/>
  <c r="B609" i="3"/>
  <c r="B610" i="3"/>
  <c r="B611" i="3"/>
  <c r="B612" i="3"/>
  <c r="B613" i="3"/>
  <c r="B614" i="3"/>
  <c r="B615" i="3"/>
  <c r="B616" i="3"/>
  <c r="B617" i="3"/>
  <c r="B618" i="3"/>
  <c r="B619" i="3"/>
  <c r="B620" i="3"/>
  <c r="B621" i="3"/>
  <c r="B622" i="3"/>
  <c r="B623" i="3"/>
  <c r="B624" i="3"/>
  <c r="B625" i="3"/>
  <c r="B626" i="3"/>
  <c r="B627" i="3"/>
  <c r="B628" i="3"/>
  <c r="B629" i="3"/>
  <c r="B630" i="3"/>
  <c r="B631" i="3"/>
  <c r="B632" i="3"/>
  <c r="B633" i="3"/>
  <c r="B634" i="3"/>
  <c r="B635" i="3"/>
  <c r="B636" i="3"/>
  <c r="B637" i="3"/>
  <c r="B638" i="3"/>
  <c r="B639" i="3"/>
  <c r="B640" i="3"/>
  <c r="B641" i="3"/>
  <c r="B642" i="3"/>
  <c r="B643" i="3"/>
  <c r="B644" i="3"/>
  <c r="B645" i="3"/>
  <c r="B646" i="3"/>
  <c r="B647" i="3"/>
  <c r="B648" i="3"/>
  <c r="B649" i="3"/>
  <c r="B650" i="3"/>
  <c r="B651" i="3"/>
  <c r="B652" i="3"/>
  <c r="B653" i="3"/>
  <c r="B654" i="3"/>
  <c r="B655" i="3"/>
  <c r="B656" i="3"/>
  <c r="B657" i="3"/>
  <c r="B658" i="3"/>
  <c r="B659" i="3"/>
  <c r="B660" i="3"/>
  <c r="B661" i="3"/>
  <c r="B662" i="3"/>
  <c r="B663" i="3"/>
  <c r="B664" i="3"/>
  <c r="B665" i="3"/>
  <c r="B666" i="3"/>
  <c r="B667" i="3"/>
  <c r="B668" i="3"/>
  <c r="B669" i="3"/>
  <c r="B670" i="3"/>
  <c r="B671" i="3"/>
  <c r="B672" i="3"/>
  <c r="B673" i="3"/>
  <c r="B674" i="3"/>
  <c r="B675" i="3"/>
  <c r="B676" i="3"/>
  <c r="B677" i="3"/>
  <c r="B678" i="3"/>
  <c r="B679" i="3"/>
  <c r="B680" i="3"/>
  <c r="B681" i="3"/>
  <c r="B682" i="3"/>
  <c r="B683" i="3"/>
  <c r="B684" i="3"/>
  <c r="B685" i="3"/>
  <c r="B686" i="3"/>
  <c r="B687" i="3"/>
  <c r="B688" i="3"/>
  <c r="B689" i="3"/>
  <c r="B690" i="3"/>
  <c r="B691" i="3"/>
  <c r="B692" i="3"/>
  <c r="B693" i="3"/>
  <c r="B694" i="3"/>
  <c r="B695" i="3"/>
  <c r="B696" i="3"/>
  <c r="B697" i="3"/>
  <c r="B698" i="3"/>
  <c r="B699" i="3"/>
  <c r="B700" i="3"/>
  <c r="B701" i="3"/>
  <c r="B702" i="3"/>
  <c r="B703" i="3"/>
  <c r="B704" i="3"/>
  <c r="B705" i="3"/>
  <c r="B706" i="3"/>
  <c r="B707" i="3"/>
  <c r="B708" i="3"/>
  <c r="B709" i="3"/>
  <c r="B710" i="3"/>
  <c r="B711" i="3"/>
  <c r="B712" i="3"/>
  <c r="B713" i="3"/>
  <c r="B714" i="3"/>
  <c r="B715" i="3"/>
  <c r="B716" i="3"/>
  <c r="B717" i="3"/>
  <c r="B718" i="3"/>
  <c r="B719" i="3"/>
  <c r="B720" i="3"/>
  <c r="B721" i="3"/>
  <c r="B722" i="3"/>
  <c r="B723" i="3"/>
  <c r="B724" i="3"/>
  <c r="B725" i="3"/>
  <c r="B726" i="3"/>
  <c r="B367" i="3"/>
  <c r="A362" i="9" l="1"/>
  <c r="A361" i="9"/>
  <c r="A360" i="9"/>
  <c r="A359" i="9"/>
  <c r="A358" i="9"/>
  <c r="A357" i="9"/>
  <c r="A356" i="9"/>
  <c r="A355" i="9"/>
  <c r="A354" i="9"/>
  <c r="A353" i="9"/>
  <c r="A352" i="9"/>
  <c r="A351" i="9"/>
  <c r="A350" i="9"/>
  <c r="A349" i="9"/>
  <c r="A348" i="9"/>
  <c r="A347" i="9"/>
  <c r="A346" i="9"/>
  <c r="A345" i="9"/>
  <c r="A344" i="9"/>
  <c r="A343" i="9"/>
  <c r="A342" i="9"/>
  <c r="A341" i="9"/>
  <c r="A340" i="9"/>
  <c r="A339" i="9"/>
  <c r="A338" i="9"/>
  <c r="A337" i="9"/>
  <c r="A336" i="9"/>
  <c r="A335" i="9"/>
  <c r="A334" i="9"/>
  <c r="A333" i="9"/>
  <c r="A332" i="9"/>
  <c r="A331" i="9"/>
  <c r="A330" i="9"/>
  <c r="A329" i="9"/>
  <c r="A328" i="9"/>
  <c r="A327" i="9"/>
  <c r="A326" i="9"/>
  <c r="A325" i="9"/>
  <c r="A324" i="9"/>
  <c r="A323" i="9"/>
  <c r="A322" i="9"/>
  <c r="A321" i="9"/>
  <c r="A320" i="9"/>
  <c r="A319" i="9"/>
  <c r="A318" i="9"/>
  <c r="A317" i="9"/>
  <c r="A316" i="9"/>
  <c r="A315" i="9"/>
  <c r="A314" i="9"/>
  <c r="A313" i="9"/>
  <c r="A312" i="9"/>
  <c r="A311" i="9"/>
  <c r="A310" i="9"/>
  <c r="A309" i="9"/>
  <c r="A308" i="9"/>
  <c r="A307" i="9"/>
  <c r="A306" i="9"/>
  <c r="A305" i="9"/>
  <c r="A304" i="9"/>
  <c r="A303" i="9"/>
  <c r="A302" i="9"/>
  <c r="A301" i="9"/>
  <c r="A300" i="9"/>
  <c r="A299" i="9"/>
  <c r="A298" i="9"/>
  <c r="A297" i="9"/>
  <c r="A296" i="9"/>
  <c r="A295" i="9"/>
  <c r="A294" i="9"/>
  <c r="A293" i="9"/>
  <c r="A292" i="9"/>
  <c r="A291" i="9"/>
  <c r="A290" i="9"/>
  <c r="A289" i="9"/>
  <c r="A288" i="9"/>
  <c r="A287" i="9"/>
  <c r="A286" i="9"/>
  <c r="A285" i="9"/>
  <c r="A284" i="9"/>
  <c r="A283" i="9"/>
  <c r="A282" i="9"/>
  <c r="A281" i="9"/>
  <c r="A280" i="9"/>
  <c r="A279" i="9"/>
  <c r="A278" i="9"/>
  <c r="A277" i="9"/>
  <c r="A276" i="9"/>
  <c r="A275" i="9"/>
  <c r="A274" i="9"/>
  <c r="A273" i="9"/>
  <c r="A272" i="9"/>
  <c r="A271" i="9"/>
  <c r="A270" i="9"/>
  <c r="A269" i="9"/>
  <c r="A268" i="9"/>
  <c r="A267" i="9"/>
  <c r="A266" i="9"/>
  <c r="A265" i="9"/>
  <c r="A264" i="9"/>
  <c r="A263" i="9"/>
  <c r="A262" i="9"/>
  <c r="A261" i="9"/>
  <c r="A260" i="9"/>
  <c r="A259" i="9"/>
  <c r="A258" i="9"/>
  <c r="A257" i="9"/>
  <c r="A256" i="9"/>
  <c r="A255" i="9"/>
  <c r="A254" i="9"/>
  <c r="A253" i="9"/>
  <c r="A252" i="9"/>
  <c r="A251" i="9"/>
  <c r="A250" i="9"/>
  <c r="A249" i="9"/>
  <c r="A248" i="9"/>
  <c r="A247" i="9"/>
  <c r="A246" i="9"/>
  <c r="A245" i="9"/>
  <c r="A244" i="9"/>
  <c r="A243" i="9"/>
  <c r="A242" i="9"/>
  <c r="A241" i="9"/>
  <c r="A240" i="9"/>
  <c r="A239" i="9"/>
  <c r="A238" i="9"/>
  <c r="A237" i="9"/>
  <c r="A236" i="9"/>
  <c r="A235" i="9"/>
  <c r="A234" i="9"/>
  <c r="A233" i="9"/>
  <c r="A232" i="9"/>
  <c r="A231" i="9"/>
  <c r="A230" i="9"/>
  <c r="A229" i="9"/>
  <c r="A228" i="9"/>
  <c r="A227" i="9"/>
  <c r="A226" i="9"/>
  <c r="A225" i="9"/>
  <c r="A224" i="9"/>
  <c r="A223" i="9"/>
  <c r="A222" i="9"/>
  <c r="A221" i="9"/>
  <c r="A220" i="9"/>
  <c r="A219" i="9"/>
  <c r="A218" i="9"/>
  <c r="A217" i="9"/>
  <c r="A216" i="9"/>
  <c r="A215" i="9"/>
  <c r="A214" i="9"/>
  <c r="A213" i="9"/>
  <c r="A212" i="9"/>
  <c r="A211" i="9"/>
  <c r="A210" i="9"/>
  <c r="A209" i="9"/>
  <c r="A208" i="9"/>
  <c r="A207" i="9"/>
  <c r="A206" i="9"/>
  <c r="A205" i="9"/>
  <c r="A204" i="9"/>
  <c r="A203" i="9"/>
  <c r="A202" i="9"/>
  <c r="A201" i="9"/>
  <c r="A200" i="9"/>
  <c r="A199" i="9"/>
  <c r="A198" i="9"/>
  <c r="A197" i="9"/>
  <c r="A196" i="9"/>
  <c r="A195" i="9"/>
  <c r="A194" i="9"/>
  <c r="A193" i="9"/>
  <c r="A192" i="9"/>
  <c r="A191" i="9"/>
  <c r="A190" i="9"/>
  <c r="A189" i="9"/>
  <c r="A188" i="9"/>
  <c r="A187" i="9"/>
  <c r="A186" i="9"/>
  <c r="A185" i="9"/>
  <c r="A184" i="9"/>
  <c r="A183" i="9"/>
  <c r="A182" i="9"/>
  <c r="A181" i="9"/>
  <c r="A180" i="9"/>
  <c r="A179" i="9"/>
  <c r="A178" i="9"/>
  <c r="A177" i="9"/>
  <c r="A176" i="9"/>
  <c r="A175" i="9"/>
  <c r="A174" i="9"/>
  <c r="A173" i="9"/>
  <c r="A172" i="9"/>
  <c r="A171" i="9"/>
  <c r="A170" i="9"/>
  <c r="A169" i="9"/>
  <c r="A168" i="9"/>
  <c r="A167" i="9"/>
  <c r="A166" i="9"/>
  <c r="A165" i="9"/>
  <c r="A164" i="9"/>
  <c r="A163" i="9"/>
  <c r="A162" i="9"/>
  <c r="A161" i="9"/>
  <c r="A160" i="9"/>
  <c r="A159" i="9"/>
  <c r="A158" i="9"/>
  <c r="A157" i="9"/>
  <c r="A156" i="9"/>
  <c r="A155" i="9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C3" i="9"/>
  <c r="B3" i="9"/>
  <c r="A3" i="9"/>
  <c r="A362" i="7"/>
  <c r="A361" i="7"/>
  <c r="A360" i="7"/>
  <c r="A359" i="7"/>
  <c r="A358" i="7"/>
  <c r="A357" i="7"/>
  <c r="A356" i="7"/>
  <c r="A355" i="7"/>
  <c r="A354" i="7"/>
  <c r="A353" i="7"/>
  <c r="A352" i="7"/>
  <c r="A351" i="7"/>
  <c r="A350" i="7"/>
  <c r="A349" i="7"/>
  <c r="A348" i="7"/>
  <c r="A347" i="7"/>
  <c r="A346" i="7"/>
  <c r="A345" i="7"/>
  <c r="A344" i="7"/>
  <c r="A343" i="7"/>
  <c r="A342" i="7"/>
  <c r="A341" i="7"/>
  <c r="A340" i="7"/>
  <c r="A339" i="7"/>
  <c r="A338" i="7"/>
  <c r="A337" i="7"/>
  <c r="A336" i="7"/>
  <c r="A335" i="7"/>
  <c r="A334" i="7"/>
  <c r="A333" i="7"/>
  <c r="A332" i="7"/>
  <c r="A331" i="7"/>
  <c r="A330" i="7"/>
  <c r="A329" i="7"/>
  <c r="A328" i="7"/>
  <c r="A327" i="7"/>
  <c r="A326" i="7"/>
  <c r="A325" i="7"/>
  <c r="A324" i="7"/>
  <c r="A323" i="7"/>
  <c r="A322" i="7"/>
  <c r="A321" i="7"/>
  <c r="A320" i="7"/>
  <c r="A319" i="7"/>
  <c r="A318" i="7"/>
  <c r="A317" i="7"/>
  <c r="A316" i="7"/>
  <c r="A315" i="7"/>
  <c r="A314" i="7"/>
  <c r="A313" i="7"/>
  <c r="A312" i="7"/>
  <c r="A311" i="7"/>
  <c r="A310" i="7"/>
  <c r="A309" i="7"/>
  <c r="A308" i="7"/>
  <c r="A307" i="7"/>
  <c r="A306" i="7"/>
  <c r="A305" i="7"/>
  <c r="A304" i="7"/>
  <c r="A303" i="7"/>
  <c r="A302" i="7"/>
  <c r="A301" i="7"/>
  <c r="A300" i="7"/>
  <c r="A299" i="7"/>
  <c r="A298" i="7"/>
  <c r="A297" i="7"/>
  <c r="A296" i="7"/>
  <c r="A295" i="7"/>
  <c r="A294" i="7"/>
  <c r="A293" i="7"/>
  <c r="A292" i="7"/>
  <c r="A291" i="7"/>
  <c r="A290" i="7"/>
  <c r="A289" i="7"/>
  <c r="A288" i="7"/>
  <c r="A287" i="7"/>
  <c r="A286" i="7"/>
  <c r="A285" i="7"/>
  <c r="A284" i="7"/>
  <c r="A283" i="7"/>
  <c r="A282" i="7"/>
  <c r="A281" i="7"/>
  <c r="A280" i="7"/>
  <c r="A279" i="7"/>
  <c r="A278" i="7"/>
  <c r="A277" i="7"/>
  <c r="A276" i="7"/>
  <c r="A275" i="7"/>
  <c r="A274" i="7"/>
  <c r="A273" i="7"/>
  <c r="A272" i="7"/>
  <c r="A271" i="7"/>
  <c r="A270" i="7"/>
  <c r="A269" i="7"/>
  <c r="A268" i="7"/>
  <c r="A267" i="7"/>
  <c r="A266" i="7"/>
  <c r="A265" i="7"/>
  <c r="A264" i="7"/>
  <c r="A263" i="7"/>
  <c r="A262" i="7"/>
  <c r="A261" i="7"/>
  <c r="A260" i="7"/>
  <c r="A259" i="7"/>
  <c r="A258" i="7"/>
  <c r="A257" i="7"/>
  <c r="A256" i="7"/>
  <c r="A255" i="7"/>
  <c r="A254" i="7"/>
  <c r="A253" i="7"/>
  <c r="A252" i="7"/>
  <c r="A251" i="7"/>
  <c r="A250" i="7"/>
  <c r="A249" i="7"/>
  <c r="A248" i="7"/>
  <c r="A247" i="7"/>
  <c r="A246" i="7"/>
  <c r="A245" i="7"/>
  <c r="A244" i="7"/>
  <c r="A243" i="7"/>
  <c r="A242" i="7"/>
  <c r="A241" i="7"/>
  <c r="A240" i="7"/>
  <c r="A239" i="7"/>
  <c r="A238" i="7"/>
  <c r="A237" i="7"/>
  <c r="A236" i="7"/>
  <c r="A235" i="7"/>
  <c r="A234" i="7"/>
  <c r="A233" i="7"/>
  <c r="A232" i="7"/>
  <c r="A231" i="7"/>
  <c r="A230" i="7"/>
  <c r="A229" i="7"/>
  <c r="A228" i="7"/>
  <c r="A227" i="7"/>
  <c r="A226" i="7"/>
  <c r="A225" i="7"/>
  <c r="A224" i="7"/>
  <c r="A223" i="7"/>
  <c r="A222" i="7"/>
  <c r="A221" i="7"/>
  <c r="A220" i="7"/>
  <c r="A219" i="7"/>
  <c r="A218" i="7"/>
  <c r="A217" i="7"/>
  <c r="A216" i="7"/>
  <c r="A215" i="7"/>
  <c r="A214" i="7"/>
  <c r="A213" i="7"/>
  <c r="A212" i="7"/>
  <c r="A211" i="7"/>
  <c r="A210" i="7"/>
  <c r="A209" i="7"/>
  <c r="A208" i="7"/>
  <c r="A207" i="7"/>
  <c r="A206" i="7"/>
  <c r="A205" i="7"/>
  <c r="A204" i="7"/>
  <c r="A203" i="7"/>
  <c r="A202" i="7"/>
  <c r="A201" i="7"/>
  <c r="A200" i="7"/>
  <c r="A199" i="7"/>
  <c r="A198" i="7"/>
  <c r="A197" i="7"/>
  <c r="A196" i="7"/>
  <c r="A195" i="7"/>
  <c r="A194" i="7"/>
  <c r="A193" i="7"/>
  <c r="A192" i="7"/>
  <c r="A191" i="7"/>
  <c r="A190" i="7"/>
  <c r="A189" i="7"/>
  <c r="A188" i="7"/>
  <c r="A187" i="7"/>
  <c r="A186" i="7"/>
  <c r="A185" i="7"/>
  <c r="A184" i="7"/>
  <c r="A183" i="7"/>
  <c r="A182" i="7"/>
  <c r="A181" i="7"/>
  <c r="A180" i="7"/>
  <c r="A179" i="7"/>
  <c r="A178" i="7"/>
  <c r="A177" i="7"/>
  <c r="A176" i="7"/>
  <c r="A175" i="7"/>
  <c r="A174" i="7"/>
  <c r="A173" i="7"/>
  <c r="A172" i="7"/>
  <c r="A171" i="7"/>
  <c r="A170" i="7"/>
  <c r="A169" i="7"/>
  <c r="A168" i="7"/>
  <c r="A167" i="7"/>
  <c r="A166" i="7"/>
  <c r="A165" i="7"/>
  <c r="A164" i="7"/>
  <c r="A163" i="7"/>
  <c r="A162" i="7"/>
  <c r="A161" i="7"/>
  <c r="A160" i="7"/>
  <c r="A159" i="7"/>
  <c r="A158" i="7"/>
  <c r="A157" i="7"/>
  <c r="A156" i="7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C3" i="7"/>
  <c r="B3" i="7"/>
  <c r="A3" i="7"/>
  <c r="P335" i="6"/>
  <c r="P345" i="6"/>
  <c r="P349" i="6"/>
  <c r="P353" i="6"/>
  <c r="P357" i="6"/>
  <c r="P361" i="6"/>
  <c r="J145" i="6"/>
  <c r="H5" i="6"/>
  <c r="L5" i="6" s="1"/>
  <c r="P5" i="6" s="1"/>
  <c r="H4" i="6"/>
  <c r="L4" i="6" s="1"/>
  <c r="H6" i="6"/>
  <c r="L6" i="6" s="1"/>
  <c r="P6" i="6" s="1"/>
  <c r="H7" i="6"/>
  <c r="L7" i="6" s="1"/>
  <c r="P7" i="6" s="1"/>
  <c r="H8" i="6"/>
  <c r="L8" i="6" s="1"/>
  <c r="P8" i="6" s="1"/>
  <c r="H9" i="6"/>
  <c r="L9" i="6" s="1"/>
  <c r="P9" i="6" s="1"/>
  <c r="H10" i="6"/>
  <c r="L10" i="6" s="1"/>
  <c r="P10" i="6" s="1"/>
  <c r="H11" i="6"/>
  <c r="L11" i="6" s="1"/>
  <c r="H12" i="6"/>
  <c r="L12" i="6" s="1"/>
  <c r="H13" i="6"/>
  <c r="L13" i="6" s="1"/>
  <c r="P13" i="6" s="1"/>
  <c r="H14" i="6"/>
  <c r="L14" i="6" s="1"/>
  <c r="P14" i="6" s="1"/>
  <c r="H15" i="6"/>
  <c r="L15" i="6" s="1"/>
  <c r="P15" i="6" s="1"/>
  <c r="H16" i="6"/>
  <c r="L16" i="6" s="1"/>
  <c r="P16" i="6" s="1"/>
  <c r="H17" i="6"/>
  <c r="L17" i="6" s="1"/>
  <c r="P17" i="6" s="1"/>
  <c r="H18" i="6"/>
  <c r="L18" i="6" s="1"/>
  <c r="P18" i="6" s="1"/>
  <c r="H19" i="6"/>
  <c r="L19" i="6" s="1"/>
  <c r="H20" i="6"/>
  <c r="L20" i="6" s="1"/>
  <c r="H21" i="6"/>
  <c r="L21" i="6" s="1"/>
  <c r="P21" i="6" s="1"/>
  <c r="H22" i="6"/>
  <c r="L22" i="6" s="1"/>
  <c r="P22" i="6" s="1"/>
  <c r="H23" i="6"/>
  <c r="L23" i="6" s="1"/>
  <c r="P23" i="6" s="1"/>
  <c r="H24" i="6"/>
  <c r="L24" i="6" s="1"/>
  <c r="P24" i="6" s="1"/>
  <c r="H25" i="6"/>
  <c r="L25" i="6" s="1"/>
  <c r="P25" i="6" s="1"/>
  <c r="H26" i="6"/>
  <c r="L26" i="6" s="1"/>
  <c r="P26" i="6" s="1"/>
  <c r="H27" i="6"/>
  <c r="L27" i="6" s="1"/>
  <c r="H28" i="6"/>
  <c r="L28" i="6" s="1"/>
  <c r="H29" i="6"/>
  <c r="L29" i="6" s="1"/>
  <c r="P29" i="6" s="1"/>
  <c r="H30" i="6"/>
  <c r="L30" i="6" s="1"/>
  <c r="P30" i="6" s="1"/>
  <c r="H31" i="6"/>
  <c r="L31" i="6" s="1"/>
  <c r="P31" i="6" s="1"/>
  <c r="H32" i="6"/>
  <c r="L32" i="6" s="1"/>
  <c r="P32" i="6" s="1"/>
  <c r="H33" i="6"/>
  <c r="L33" i="6" s="1"/>
  <c r="H34" i="6"/>
  <c r="L34" i="6" s="1"/>
  <c r="P34" i="6" s="1"/>
  <c r="H35" i="6"/>
  <c r="L35" i="6" s="1"/>
  <c r="H36" i="6"/>
  <c r="L36" i="6" s="1"/>
  <c r="H37" i="6"/>
  <c r="L37" i="6" s="1"/>
  <c r="P37" i="6" s="1"/>
  <c r="H38" i="6"/>
  <c r="L38" i="6" s="1"/>
  <c r="P38" i="6" s="1"/>
  <c r="H39" i="6"/>
  <c r="L39" i="6" s="1"/>
  <c r="P39" i="6" s="1"/>
  <c r="H40" i="6"/>
  <c r="L40" i="6" s="1"/>
  <c r="P40" i="6" s="1"/>
  <c r="H41" i="6"/>
  <c r="L41" i="6" s="1"/>
  <c r="H42" i="6"/>
  <c r="L42" i="6" s="1"/>
  <c r="P42" i="6" s="1"/>
  <c r="H43" i="6"/>
  <c r="L43" i="6" s="1"/>
  <c r="H44" i="6"/>
  <c r="L44" i="6" s="1"/>
  <c r="H45" i="6"/>
  <c r="L45" i="6" s="1"/>
  <c r="P45" i="6" s="1"/>
  <c r="H46" i="6"/>
  <c r="L46" i="6" s="1"/>
  <c r="P46" i="6" s="1"/>
  <c r="H47" i="6"/>
  <c r="L47" i="6" s="1"/>
  <c r="P47" i="6" s="1"/>
  <c r="H48" i="6"/>
  <c r="L48" i="6" s="1"/>
  <c r="P48" i="6" s="1"/>
  <c r="H49" i="6"/>
  <c r="L49" i="6" s="1"/>
  <c r="P49" i="6" s="1"/>
  <c r="H50" i="6"/>
  <c r="L50" i="6" s="1"/>
  <c r="P50" i="6" s="1"/>
  <c r="H51" i="6"/>
  <c r="L51" i="6" s="1"/>
  <c r="H52" i="6"/>
  <c r="L52" i="6" s="1"/>
  <c r="H53" i="6"/>
  <c r="L53" i="6" s="1"/>
  <c r="P53" i="6" s="1"/>
  <c r="H54" i="6"/>
  <c r="L54" i="6" s="1"/>
  <c r="P54" i="6" s="1"/>
  <c r="H55" i="6"/>
  <c r="L55" i="6" s="1"/>
  <c r="P55" i="6" s="1"/>
  <c r="H56" i="6"/>
  <c r="L56" i="6" s="1"/>
  <c r="P56" i="6" s="1"/>
  <c r="H57" i="6"/>
  <c r="L57" i="6" s="1"/>
  <c r="P57" i="6" s="1"/>
  <c r="H58" i="6"/>
  <c r="L58" i="6" s="1"/>
  <c r="P58" i="6" s="1"/>
  <c r="H59" i="6"/>
  <c r="L59" i="6" s="1"/>
  <c r="H60" i="6"/>
  <c r="L60" i="6" s="1"/>
  <c r="H61" i="6"/>
  <c r="L61" i="6" s="1"/>
  <c r="P61" i="6" s="1"/>
  <c r="H62" i="6"/>
  <c r="L62" i="6" s="1"/>
  <c r="P62" i="6" s="1"/>
  <c r="H63" i="6"/>
  <c r="L63" i="6" s="1"/>
  <c r="P63" i="6" s="1"/>
  <c r="H64" i="6"/>
  <c r="L64" i="6" s="1"/>
  <c r="P64" i="6" s="1"/>
  <c r="H65" i="6"/>
  <c r="L65" i="6" s="1"/>
  <c r="P65" i="6" s="1"/>
  <c r="H66" i="6"/>
  <c r="L66" i="6" s="1"/>
  <c r="P66" i="6" s="1"/>
  <c r="H67" i="6"/>
  <c r="L67" i="6" s="1"/>
  <c r="H68" i="6"/>
  <c r="L68" i="6" s="1"/>
  <c r="H69" i="6"/>
  <c r="L69" i="6" s="1"/>
  <c r="H70" i="6"/>
  <c r="L70" i="6" s="1"/>
  <c r="P70" i="6" s="1"/>
  <c r="H71" i="6"/>
  <c r="L71" i="6" s="1"/>
  <c r="P71" i="6" s="1"/>
  <c r="H72" i="6"/>
  <c r="L72" i="6" s="1"/>
  <c r="P72" i="6" s="1"/>
  <c r="H73" i="6"/>
  <c r="L73" i="6" s="1"/>
  <c r="P73" i="6" s="1"/>
  <c r="H74" i="6"/>
  <c r="L74" i="6" s="1"/>
  <c r="P74" i="6" s="1"/>
  <c r="H75" i="6"/>
  <c r="L75" i="6" s="1"/>
  <c r="H76" i="6"/>
  <c r="L76" i="6" s="1"/>
  <c r="H77" i="6"/>
  <c r="L77" i="6" s="1"/>
  <c r="H78" i="6"/>
  <c r="L78" i="6" s="1"/>
  <c r="P78" i="6" s="1"/>
  <c r="H79" i="6"/>
  <c r="L79" i="6" s="1"/>
  <c r="P79" i="6" s="1"/>
  <c r="H80" i="6"/>
  <c r="L80" i="6" s="1"/>
  <c r="P80" i="6" s="1"/>
  <c r="H81" i="6"/>
  <c r="L81" i="6" s="1"/>
  <c r="P81" i="6" s="1"/>
  <c r="H82" i="6"/>
  <c r="L82" i="6" s="1"/>
  <c r="P82" i="6" s="1"/>
  <c r="H83" i="6"/>
  <c r="L83" i="6" s="1"/>
  <c r="H84" i="6"/>
  <c r="L84" i="6" s="1"/>
  <c r="H85" i="6"/>
  <c r="L85" i="6" s="1"/>
  <c r="P85" i="6" s="1"/>
  <c r="H86" i="6"/>
  <c r="L86" i="6" s="1"/>
  <c r="P86" i="6" s="1"/>
  <c r="H87" i="6"/>
  <c r="L87" i="6" s="1"/>
  <c r="P87" i="6" s="1"/>
  <c r="H88" i="6"/>
  <c r="L88" i="6" s="1"/>
  <c r="P88" i="6" s="1"/>
  <c r="H89" i="6"/>
  <c r="L89" i="6" s="1"/>
  <c r="P89" i="6" s="1"/>
  <c r="H90" i="6"/>
  <c r="L90" i="6" s="1"/>
  <c r="P90" i="6" s="1"/>
  <c r="H91" i="6"/>
  <c r="L91" i="6" s="1"/>
  <c r="H92" i="6"/>
  <c r="L92" i="6" s="1"/>
  <c r="H93" i="6"/>
  <c r="L93" i="6" s="1"/>
  <c r="P93" i="6" s="1"/>
  <c r="H94" i="6"/>
  <c r="L94" i="6" s="1"/>
  <c r="P94" i="6" s="1"/>
  <c r="H95" i="6"/>
  <c r="L95" i="6" s="1"/>
  <c r="P95" i="6" s="1"/>
  <c r="H96" i="6"/>
  <c r="L96" i="6" s="1"/>
  <c r="P96" i="6" s="1"/>
  <c r="H97" i="6"/>
  <c r="L97" i="6" s="1"/>
  <c r="P97" i="6" s="1"/>
  <c r="H98" i="6"/>
  <c r="L98" i="6" s="1"/>
  <c r="P98" i="6" s="1"/>
  <c r="H99" i="6"/>
  <c r="L99" i="6" s="1"/>
  <c r="H100" i="6"/>
  <c r="L100" i="6" s="1"/>
  <c r="H101" i="6"/>
  <c r="L101" i="6" s="1"/>
  <c r="P101" i="6" s="1"/>
  <c r="H102" i="6"/>
  <c r="L102" i="6" s="1"/>
  <c r="P102" i="6" s="1"/>
  <c r="H103" i="6"/>
  <c r="L103" i="6" s="1"/>
  <c r="P103" i="6" s="1"/>
  <c r="H104" i="6"/>
  <c r="L104" i="6" s="1"/>
  <c r="P104" i="6" s="1"/>
  <c r="H105" i="6"/>
  <c r="L105" i="6" s="1"/>
  <c r="P105" i="6" s="1"/>
  <c r="H106" i="6"/>
  <c r="L106" i="6" s="1"/>
  <c r="P106" i="6" s="1"/>
  <c r="H107" i="6"/>
  <c r="L107" i="6" s="1"/>
  <c r="H108" i="6"/>
  <c r="L108" i="6" s="1"/>
  <c r="H109" i="6"/>
  <c r="L109" i="6" s="1"/>
  <c r="P109" i="6" s="1"/>
  <c r="H110" i="6"/>
  <c r="L110" i="6" s="1"/>
  <c r="P110" i="6" s="1"/>
  <c r="H111" i="6"/>
  <c r="L111" i="6" s="1"/>
  <c r="P111" i="6" s="1"/>
  <c r="H112" i="6"/>
  <c r="L112" i="6" s="1"/>
  <c r="P112" i="6" s="1"/>
  <c r="H113" i="6"/>
  <c r="L113" i="6" s="1"/>
  <c r="P113" i="6" s="1"/>
  <c r="H114" i="6"/>
  <c r="L114" i="6" s="1"/>
  <c r="P114" i="6" s="1"/>
  <c r="H115" i="6"/>
  <c r="L115" i="6" s="1"/>
  <c r="H116" i="6"/>
  <c r="L116" i="6" s="1"/>
  <c r="H117" i="6"/>
  <c r="L117" i="6" s="1"/>
  <c r="P117" i="6" s="1"/>
  <c r="H118" i="6"/>
  <c r="L118" i="6" s="1"/>
  <c r="P118" i="6" s="1"/>
  <c r="H119" i="6"/>
  <c r="L119" i="6" s="1"/>
  <c r="P119" i="6" s="1"/>
  <c r="H120" i="6"/>
  <c r="L120" i="6" s="1"/>
  <c r="P120" i="6" s="1"/>
  <c r="H121" i="6"/>
  <c r="L121" i="6" s="1"/>
  <c r="P121" i="6" s="1"/>
  <c r="H122" i="6"/>
  <c r="L122" i="6" s="1"/>
  <c r="P122" i="6" s="1"/>
  <c r="H123" i="6"/>
  <c r="L123" i="6" s="1"/>
  <c r="H124" i="6"/>
  <c r="L124" i="6" s="1"/>
  <c r="H125" i="6"/>
  <c r="L125" i="6" s="1"/>
  <c r="P125" i="6" s="1"/>
  <c r="H126" i="6"/>
  <c r="L126" i="6" s="1"/>
  <c r="P126" i="6" s="1"/>
  <c r="H127" i="6"/>
  <c r="L127" i="6" s="1"/>
  <c r="P127" i="6" s="1"/>
  <c r="H128" i="6"/>
  <c r="L128" i="6" s="1"/>
  <c r="P128" i="6" s="1"/>
  <c r="H129" i="6"/>
  <c r="L129" i="6" s="1"/>
  <c r="H130" i="6"/>
  <c r="L130" i="6" s="1"/>
  <c r="P130" i="6" s="1"/>
  <c r="H131" i="6"/>
  <c r="L131" i="6" s="1"/>
  <c r="H132" i="6"/>
  <c r="L132" i="6" s="1"/>
  <c r="H133" i="6"/>
  <c r="L133" i="6" s="1"/>
  <c r="P133" i="6" s="1"/>
  <c r="H134" i="6"/>
  <c r="L134" i="6" s="1"/>
  <c r="P134" i="6" s="1"/>
  <c r="H135" i="6"/>
  <c r="L135" i="6" s="1"/>
  <c r="P135" i="6" s="1"/>
  <c r="H136" i="6"/>
  <c r="L136" i="6" s="1"/>
  <c r="P136" i="6" s="1"/>
  <c r="H137" i="6"/>
  <c r="L137" i="6" s="1"/>
  <c r="H138" i="6"/>
  <c r="L138" i="6" s="1"/>
  <c r="P138" i="6" s="1"/>
  <c r="H139" i="6"/>
  <c r="L139" i="6" s="1"/>
  <c r="H140" i="6"/>
  <c r="L140" i="6" s="1"/>
  <c r="H141" i="6"/>
  <c r="L141" i="6" s="1"/>
  <c r="P141" i="6" s="1"/>
  <c r="H142" i="6"/>
  <c r="L142" i="6" s="1"/>
  <c r="P142" i="6" s="1"/>
  <c r="H143" i="6"/>
  <c r="L143" i="6" s="1"/>
  <c r="P143" i="6" s="1"/>
  <c r="H144" i="6"/>
  <c r="L144" i="6" s="1"/>
  <c r="P144" i="6" s="1"/>
  <c r="H145" i="6"/>
  <c r="L145" i="6" s="1"/>
  <c r="H146" i="6"/>
  <c r="L146" i="6" s="1"/>
  <c r="P146" i="6" s="1"/>
  <c r="H147" i="6"/>
  <c r="L147" i="6" s="1"/>
  <c r="H148" i="6"/>
  <c r="L148" i="6" s="1"/>
  <c r="H149" i="6"/>
  <c r="L149" i="6" s="1"/>
  <c r="P149" i="6" s="1"/>
  <c r="H150" i="6"/>
  <c r="L150" i="6" s="1"/>
  <c r="P150" i="6" s="1"/>
  <c r="H151" i="6"/>
  <c r="L151" i="6" s="1"/>
  <c r="P151" i="6" s="1"/>
  <c r="H152" i="6"/>
  <c r="L152" i="6" s="1"/>
  <c r="P152" i="6" s="1"/>
  <c r="H153" i="6"/>
  <c r="L153" i="6" s="1"/>
  <c r="H154" i="6"/>
  <c r="L154" i="6" s="1"/>
  <c r="P154" i="6" s="1"/>
  <c r="H155" i="6"/>
  <c r="L155" i="6" s="1"/>
  <c r="H156" i="6"/>
  <c r="L156" i="6" s="1"/>
  <c r="H157" i="6"/>
  <c r="L157" i="6" s="1"/>
  <c r="P157" i="6" s="1"/>
  <c r="H158" i="6"/>
  <c r="L158" i="6" s="1"/>
  <c r="P158" i="6" s="1"/>
  <c r="H159" i="6"/>
  <c r="L159" i="6" s="1"/>
  <c r="P159" i="6" s="1"/>
  <c r="H160" i="6"/>
  <c r="L160" i="6" s="1"/>
  <c r="P160" i="6" s="1"/>
  <c r="H161" i="6"/>
  <c r="L161" i="6" s="1"/>
  <c r="H162" i="6"/>
  <c r="L162" i="6" s="1"/>
  <c r="P162" i="6" s="1"/>
  <c r="H163" i="6"/>
  <c r="L163" i="6" s="1"/>
  <c r="H164" i="6"/>
  <c r="L164" i="6" s="1"/>
  <c r="H165" i="6"/>
  <c r="L165" i="6" s="1"/>
  <c r="P165" i="6" s="1"/>
  <c r="H166" i="6"/>
  <c r="L166" i="6" s="1"/>
  <c r="P166" i="6" s="1"/>
  <c r="H167" i="6"/>
  <c r="L167" i="6" s="1"/>
  <c r="P167" i="6" s="1"/>
  <c r="H168" i="6"/>
  <c r="L168" i="6" s="1"/>
  <c r="P168" i="6" s="1"/>
  <c r="H169" i="6"/>
  <c r="L169" i="6" s="1"/>
  <c r="H170" i="6"/>
  <c r="L170" i="6" s="1"/>
  <c r="P170" i="6" s="1"/>
  <c r="H171" i="6"/>
  <c r="L171" i="6" s="1"/>
  <c r="H172" i="6"/>
  <c r="L172" i="6" s="1"/>
  <c r="H173" i="6"/>
  <c r="L173" i="6" s="1"/>
  <c r="P173" i="6" s="1"/>
  <c r="H174" i="6"/>
  <c r="L174" i="6" s="1"/>
  <c r="P174" i="6" s="1"/>
  <c r="H175" i="6"/>
  <c r="L175" i="6" s="1"/>
  <c r="P175" i="6" s="1"/>
  <c r="H176" i="6"/>
  <c r="L176" i="6" s="1"/>
  <c r="P176" i="6" s="1"/>
  <c r="H177" i="6"/>
  <c r="L177" i="6" s="1"/>
  <c r="H178" i="6"/>
  <c r="L178" i="6" s="1"/>
  <c r="P178" i="6" s="1"/>
  <c r="H179" i="6"/>
  <c r="L179" i="6" s="1"/>
  <c r="H180" i="6"/>
  <c r="L180" i="6" s="1"/>
  <c r="H181" i="6"/>
  <c r="L181" i="6" s="1"/>
  <c r="P181" i="6" s="1"/>
  <c r="H182" i="6"/>
  <c r="L182" i="6" s="1"/>
  <c r="P182" i="6" s="1"/>
  <c r="H183" i="6"/>
  <c r="L183" i="6" s="1"/>
  <c r="P183" i="6" s="1"/>
  <c r="H184" i="6"/>
  <c r="L184" i="6" s="1"/>
  <c r="P184" i="6" s="1"/>
  <c r="H185" i="6"/>
  <c r="L185" i="6" s="1"/>
  <c r="H186" i="6"/>
  <c r="L186" i="6" s="1"/>
  <c r="P186" i="6" s="1"/>
  <c r="H187" i="6"/>
  <c r="L187" i="6" s="1"/>
  <c r="H188" i="6"/>
  <c r="L188" i="6" s="1"/>
  <c r="H189" i="6"/>
  <c r="L189" i="6" s="1"/>
  <c r="P189" i="6" s="1"/>
  <c r="H190" i="6"/>
  <c r="L190" i="6" s="1"/>
  <c r="P190" i="6" s="1"/>
  <c r="H191" i="6"/>
  <c r="L191" i="6" s="1"/>
  <c r="P191" i="6" s="1"/>
  <c r="H192" i="6"/>
  <c r="L192" i="6" s="1"/>
  <c r="P192" i="6" s="1"/>
  <c r="H193" i="6"/>
  <c r="L193" i="6" s="1"/>
  <c r="H194" i="6"/>
  <c r="L194" i="6" s="1"/>
  <c r="P194" i="6" s="1"/>
  <c r="H195" i="6"/>
  <c r="L195" i="6" s="1"/>
  <c r="H196" i="6"/>
  <c r="L196" i="6" s="1"/>
  <c r="H197" i="6"/>
  <c r="L197" i="6" s="1"/>
  <c r="P197" i="6" s="1"/>
  <c r="H198" i="6"/>
  <c r="L198" i="6" s="1"/>
  <c r="P198" i="6" s="1"/>
  <c r="H199" i="6"/>
  <c r="L199" i="6" s="1"/>
  <c r="P199" i="6" s="1"/>
  <c r="H200" i="6"/>
  <c r="L200" i="6" s="1"/>
  <c r="P200" i="6" s="1"/>
  <c r="H201" i="6"/>
  <c r="L201" i="6" s="1"/>
  <c r="H202" i="6"/>
  <c r="L202" i="6" s="1"/>
  <c r="P202" i="6" s="1"/>
  <c r="H203" i="6"/>
  <c r="L203" i="6" s="1"/>
  <c r="H204" i="6"/>
  <c r="L204" i="6" s="1"/>
  <c r="H205" i="6"/>
  <c r="L205" i="6" s="1"/>
  <c r="P205" i="6" s="1"/>
  <c r="H206" i="6"/>
  <c r="L206" i="6" s="1"/>
  <c r="P206" i="6" s="1"/>
  <c r="H207" i="6"/>
  <c r="L207" i="6" s="1"/>
  <c r="P207" i="6" s="1"/>
  <c r="H208" i="6"/>
  <c r="L208" i="6" s="1"/>
  <c r="P208" i="6" s="1"/>
  <c r="H209" i="6"/>
  <c r="L209" i="6" s="1"/>
  <c r="H210" i="6"/>
  <c r="L210" i="6" s="1"/>
  <c r="P210" i="6" s="1"/>
  <c r="H211" i="6"/>
  <c r="L211" i="6" s="1"/>
  <c r="H212" i="6"/>
  <c r="L212" i="6" s="1"/>
  <c r="H213" i="6"/>
  <c r="L213" i="6" s="1"/>
  <c r="P213" i="6" s="1"/>
  <c r="H214" i="6"/>
  <c r="L214" i="6" s="1"/>
  <c r="P214" i="6" s="1"/>
  <c r="H215" i="6"/>
  <c r="L215" i="6" s="1"/>
  <c r="P215" i="6" s="1"/>
  <c r="H216" i="6"/>
  <c r="L216" i="6" s="1"/>
  <c r="P216" i="6" s="1"/>
  <c r="H217" i="6"/>
  <c r="L217" i="6" s="1"/>
  <c r="H218" i="6"/>
  <c r="L218" i="6" s="1"/>
  <c r="P218" i="6" s="1"/>
  <c r="H219" i="6"/>
  <c r="L219" i="6" s="1"/>
  <c r="H220" i="6"/>
  <c r="L220" i="6" s="1"/>
  <c r="H221" i="6"/>
  <c r="L221" i="6" s="1"/>
  <c r="P221" i="6" s="1"/>
  <c r="H222" i="6"/>
  <c r="L222" i="6" s="1"/>
  <c r="P222" i="6" s="1"/>
  <c r="H223" i="6"/>
  <c r="L223" i="6" s="1"/>
  <c r="P223" i="6" s="1"/>
  <c r="H224" i="6"/>
  <c r="L224" i="6" s="1"/>
  <c r="P224" i="6" s="1"/>
  <c r="H225" i="6"/>
  <c r="L225" i="6" s="1"/>
  <c r="H226" i="6"/>
  <c r="L226" i="6" s="1"/>
  <c r="P226" i="6" s="1"/>
  <c r="H227" i="6"/>
  <c r="L227" i="6" s="1"/>
  <c r="H228" i="6"/>
  <c r="L228" i="6" s="1"/>
  <c r="H229" i="6"/>
  <c r="L229" i="6" s="1"/>
  <c r="P229" i="6" s="1"/>
  <c r="H230" i="6"/>
  <c r="L230" i="6" s="1"/>
  <c r="P230" i="6" s="1"/>
  <c r="H231" i="6"/>
  <c r="L231" i="6" s="1"/>
  <c r="P231" i="6" s="1"/>
  <c r="H232" i="6"/>
  <c r="L232" i="6" s="1"/>
  <c r="P232" i="6" s="1"/>
  <c r="H233" i="6"/>
  <c r="L233" i="6" s="1"/>
  <c r="H234" i="6"/>
  <c r="L234" i="6" s="1"/>
  <c r="P234" i="6" s="1"/>
  <c r="H235" i="6"/>
  <c r="L235" i="6" s="1"/>
  <c r="H236" i="6"/>
  <c r="L236" i="6" s="1"/>
  <c r="H237" i="6"/>
  <c r="L237" i="6" s="1"/>
  <c r="P237" i="6" s="1"/>
  <c r="H238" i="6"/>
  <c r="L238" i="6" s="1"/>
  <c r="P238" i="6" s="1"/>
  <c r="H239" i="6"/>
  <c r="L239" i="6" s="1"/>
  <c r="P239" i="6" s="1"/>
  <c r="H240" i="6"/>
  <c r="L240" i="6" s="1"/>
  <c r="P240" i="6" s="1"/>
  <c r="H241" i="6"/>
  <c r="L241" i="6" s="1"/>
  <c r="H242" i="6"/>
  <c r="L242" i="6" s="1"/>
  <c r="P242" i="6" s="1"/>
  <c r="H243" i="6"/>
  <c r="L243" i="6" s="1"/>
  <c r="H244" i="6"/>
  <c r="L244" i="6" s="1"/>
  <c r="H245" i="6"/>
  <c r="L245" i="6" s="1"/>
  <c r="P245" i="6" s="1"/>
  <c r="H246" i="6"/>
  <c r="L246" i="6" s="1"/>
  <c r="P246" i="6" s="1"/>
  <c r="H247" i="6"/>
  <c r="L247" i="6" s="1"/>
  <c r="P247" i="6" s="1"/>
  <c r="H248" i="6"/>
  <c r="L248" i="6" s="1"/>
  <c r="P248" i="6" s="1"/>
  <c r="H249" i="6"/>
  <c r="L249" i="6" s="1"/>
  <c r="H250" i="6"/>
  <c r="L250" i="6" s="1"/>
  <c r="P250" i="6" s="1"/>
  <c r="H251" i="6"/>
  <c r="L251" i="6" s="1"/>
  <c r="H252" i="6"/>
  <c r="L252" i="6" s="1"/>
  <c r="H253" i="6"/>
  <c r="L253" i="6" s="1"/>
  <c r="P253" i="6" s="1"/>
  <c r="H254" i="6"/>
  <c r="L254" i="6" s="1"/>
  <c r="P254" i="6" s="1"/>
  <c r="H255" i="6"/>
  <c r="L255" i="6" s="1"/>
  <c r="P255" i="6" s="1"/>
  <c r="H256" i="6"/>
  <c r="L256" i="6" s="1"/>
  <c r="P256" i="6" s="1"/>
  <c r="H257" i="6"/>
  <c r="L257" i="6" s="1"/>
  <c r="H258" i="6"/>
  <c r="L258" i="6" s="1"/>
  <c r="P258" i="6" s="1"/>
  <c r="H259" i="6"/>
  <c r="L259" i="6" s="1"/>
  <c r="H260" i="6"/>
  <c r="L260" i="6" s="1"/>
  <c r="H261" i="6"/>
  <c r="L261" i="6" s="1"/>
  <c r="P261" i="6" s="1"/>
  <c r="H262" i="6"/>
  <c r="L262" i="6" s="1"/>
  <c r="P262" i="6" s="1"/>
  <c r="H263" i="6"/>
  <c r="L263" i="6" s="1"/>
  <c r="P263" i="6" s="1"/>
  <c r="H264" i="6"/>
  <c r="L264" i="6" s="1"/>
  <c r="P264" i="6" s="1"/>
  <c r="H265" i="6"/>
  <c r="L265" i="6" s="1"/>
  <c r="H266" i="6"/>
  <c r="L266" i="6" s="1"/>
  <c r="P266" i="6" s="1"/>
  <c r="H267" i="6"/>
  <c r="L267" i="6" s="1"/>
  <c r="H268" i="6"/>
  <c r="L268" i="6" s="1"/>
  <c r="H269" i="6"/>
  <c r="L269" i="6" s="1"/>
  <c r="P269" i="6" s="1"/>
  <c r="H270" i="6"/>
  <c r="L270" i="6" s="1"/>
  <c r="P270" i="6" s="1"/>
  <c r="H271" i="6"/>
  <c r="L271" i="6" s="1"/>
  <c r="P271" i="6" s="1"/>
  <c r="H272" i="6"/>
  <c r="L272" i="6" s="1"/>
  <c r="P272" i="6" s="1"/>
  <c r="H273" i="6"/>
  <c r="L273" i="6" s="1"/>
  <c r="H274" i="6"/>
  <c r="L274" i="6" s="1"/>
  <c r="P274" i="6" s="1"/>
  <c r="H275" i="6"/>
  <c r="L275" i="6" s="1"/>
  <c r="H276" i="6"/>
  <c r="L276" i="6" s="1"/>
  <c r="H277" i="6"/>
  <c r="L277" i="6" s="1"/>
  <c r="P277" i="6" s="1"/>
  <c r="H278" i="6"/>
  <c r="L278" i="6" s="1"/>
  <c r="P278" i="6" s="1"/>
  <c r="H279" i="6"/>
  <c r="L279" i="6" s="1"/>
  <c r="P279" i="6" s="1"/>
  <c r="H280" i="6"/>
  <c r="L280" i="6" s="1"/>
  <c r="P280" i="6" s="1"/>
  <c r="H281" i="6"/>
  <c r="L281" i="6" s="1"/>
  <c r="H282" i="6"/>
  <c r="L282" i="6" s="1"/>
  <c r="P282" i="6" s="1"/>
  <c r="H283" i="6"/>
  <c r="L283" i="6" s="1"/>
  <c r="H284" i="6"/>
  <c r="L284" i="6" s="1"/>
  <c r="H285" i="6"/>
  <c r="L285" i="6" s="1"/>
  <c r="P285" i="6" s="1"/>
  <c r="H286" i="6"/>
  <c r="L286" i="6" s="1"/>
  <c r="P286" i="6" s="1"/>
  <c r="H287" i="6"/>
  <c r="L287" i="6" s="1"/>
  <c r="P287" i="6" s="1"/>
  <c r="H288" i="6"/>
  <c r="L288" i="6" s="1"/>
  <c r="P288" i="6" s="1"/>
  <c r="H289" i="6"/>
  <c r="L289" i="6" s="1"/>
  <c r="H290" i="6"/>
  <c r="L290" i="6" s="1"/>
  <c r="P290" i="6" s="1"/>
  <c r="H291" i="6"/>
  <c r="L291" i="6" s="1"/>
  <c r="H292" i="6"/>
  <c r="L292" i="6" s="1"/>
  <c r="H293" i="6"/>
  <c r="L293" i="6" s="1"/>
  <c r="P293" i="6" s="1"/>
  <c r="H294" i="6"/>
  <c r="L294" i="6" s="1"/>
  <c r="P294" i="6" s="1"/>
  <c r="H295" i="6"/>
  <c r="L295" i="6" s="1"/>
  <c r="P295" i="6" s="1"/>
  <c r="H296" i="6"/>
  <c r="L296" i="6" s="1"/>
  <c r="P296" i="6" s="1"/>
  <c r="H297" i="6"/>
  <c r="L297" i="6" s="1"/>
  <c r="P297" i="6" s="1"/>
  <c r="H298" i="6"/>
  <c r="L298" i="6" s="1"/>
  <c r="P298" i="6" s="1"/>
  <c r="H299" i="6"/>
  <c r="L299" i="6" s="1"/>
  <c r="H300" i="6"/>
  <c r="L300" i="6" s="1"/>
  <c r="H301" i="6"/>
  <c r="L301" i="6" s="1"/>
  <c r="P301" i="6" s="1"/>
  <c r="H302" i="6"/>
  <c r="L302" i="6" s="1"/>
  <c r="P302" i="6" s="1"/>
  <c r="H303" i="6"/>
  <c r="L303" i="6" s="1"/>
  <c r="P303" i="6" s="1"/>
  <c r="H304" i="6"/>
  <c r="L304" i="6" s="1"/>
  <c r="P304" i="6" s="1"/>
  <c r="H305" i="6"/>
  <c r="L305" i="6" s="1"/>
  <c r="P305" i="6" s="1"/>
  <c r="H306" i="6"/>
  <c r="L306" i="6" s="1"/>
  <c r="P306" i="6" s="1"/>
  <c r="H307" i="6"/>
  <c r="L307" i="6" s="1"/>
  <c r="H308" i="6"/>
  <c r="L308" i="6" s="1"/>
  <c r="H309" i="6"/>
  <c r="L309" i="6" s="1"/>
  <c r="P309" i="6" s="1"/>
  <c r="H310" i="6"/>
  <c r="L310" i="6" s="1"/>
  <c r="P310" i="6" s="1"/>
  <c r="H311" i="6"/>
  <c r="L311" i="6" s="1"/>
  <c r="P311" i="6" s="1"/>
  <c r="H312" i="6"/>
  <c r="L312" i="6" s="1"/>
  <c r="P312" i="6" s="1"/>
  <c r="H313" i="6"/>
  <c r="L313" i="6" s="1"/>
  <c r="P313" i="6" s="1"/>
  <c r="H314" i="6"/>
  <c r="L314" i="6" s="1"/>
  <c r="P314" i="6" s="1"/>
  <c r="H315" i="6"/>
  <c r="L315" i="6" s="1"/>
  <c r="H316" i="6"/>
  <c r="L316" i="6" s="1"/>
  <c r="H317" i="6"/>
  <c r="L317" i="6" s="1"/>
  <c r="P317" i="6" s="1"/>
  <c r="H318" i="6"/>
  <c r="L318" i="6" s="1"/>
  <c r="P318" i="6" s="1"/>
  <c r="H319" i="6"/>
  <c r="L319" i="6" s="1"/>
  <c r="P319" i="6" s="1"/>
  <c r="H320" i="6"/>
  <c r="L320" i="6" s="1"/>
  <c r="P320" i="6" s="1"/>
  <c r="H321" i="6"/>
  <c r="L321" i="6" s="1"/>
  <c r="P321" i="6" s="1"/>
  <c r="H322" i="6"/>
  <c r="L322" i="6" s="1"/>
  <c r="P322" i="6" s="1"/>
  <c r="H323" i="6"/>
  <c r="L323" i="6" s="1"/>
  <c r="H324" i="6"/>
  <c r="L324" i="6" s="1"/>
  <c r="H325" i="6"/>
  <c r="L325" i="6" s="1"/>
  <c r="P325" i="6" s="1"/>
  <c r="H326" i="6"/>
  <c r="L326" i="6" s="1"/>
  <c r="P326" i="6" s="1"/>
  <c r="H327" i="6"/>
  <c r="L327" i="6" s="1"/>
  <c r="P327" i="6" s="1"/>
  <c r="H328" i="6"/>
  <c r="L328" i="6" s="1"/>
  <c r="P328" i="6" s="1"/>
  <c r="H329" i="6"/>
  <c r="L329" i="6" s="1"/>
  <c r="P329" i="6" s="1"/>
  <c r="H330" i="6"/>
  <c r="L330" i="6" s="1"/>
  <c r="P330" i="6" s="1"/>
  <c r="H331" i="6"/>
  <c r="L331" i="6" s="1"/>
  <c r="H332" i="6"/>
  <c r="L332" i="6" s="1"/>
  <c r="H333" i="6"/>
  <c r="L333" i="6" s="1"/>
  <c r="P333" i="6" s="1"/>
  <c r="H334" i="6"/>
  <c r="L334" i="6" s="1"/>
  <c r="P334" i="6" s="1"/>
  <c r="H335" i="6"/>
  <c r="L335" i="6" s="1"/>
  <c r="H336" i="6"/>
  <c r="L336" i="6" s="1"/>
  <c r="P336" i="6" s="1"/>
  <c r="H337" i="6"/>
  <c r="L337" i="6" s="1"/>
  <c r="P337" i="6" s="1"/>
  <c r="H338" i="6"/>
  <c r="L338" i="6" s="1"/>
  <c r="P338" i="6" s="1"/>
  <c r="H339" i="6"/>
  <c r="L339" i="6" s="1"/>
  <c r="H340" i="6"/>
  <c r="L340" i="6" s="1"/>
  <c r="H341" i="6"/>
  <c r="L341" i="6" s="1"/>
  <c r="P341" i="6" s="1"/>
  <c r="H342" i="6"/>
  <c r="L342" i="6" s="1"/>
  <c r="P342" i="6" s="1"/>
  <c r="H343" i="6"/>
  <c r="L343" i="6" s="1"/>
  <c r="P343" i="6" s="1"/>
  <c r="H344" i="6"/>
  <c r="L344" i="6" s="1"/>
  <c r="P344" i="6" s="1"/>
  <c r="H345" i="6"/>
  <c r="L345" i="6" s="1"/>
  <c r="H346" i="6"/>
  <c r="L346" i="6" s="1"/>
  <c r="P346" i="6" s="1"/>
  <c r="H347" i="6"/>
  <c r="L347" i="6" s="1"/>
  <c r="H348" i="6"/>
  <c r="L348" i="6" s="1"/>
  <c r="P348" i="6" s="1"/>
  <c r="H349" i="6"/>
  <c r="L349" i="6" s="1"/>
  <c r="H350" i="6"/>
  <c r="L350" i="6" s="1"/>
  <c r="P350" i="6" s="1"/>
  <c r="H351" i="6"/>
  <c r="L351" i="6" s="1"/>
  <c r="P351" i="6" s="1"/>
  <c r="H352" i="6"/>
  <c r="L352" i="6" s="1"/>
  <c r="P352" i="6" s="1"/>
  <c r="H353" i="6"/>
  <c r="L353" i="6" s="1"/>
  <c r="H354" i="6"/>
  <c r="L354" i="6" s="1"/>
  <c r="P354" i="6" s="1"/>
  <c r="H355" i="6"/>
  <c r="L355" i="6" s="1"/>
  <c r="H356" i="6"/>
  <c r="L356" i="6" s="1"/>
  <c r="P356" i="6" s="1"/>
  <c r="H357" i="6"/>
  <c r="L357" i="6" s="1"/>
  <c r="H358" i="6"/>
  <c r="L358" i="6" s="1"/>
  <c r="P358" i="6" s="1"/>
  <c r="H359" i="6"/>
  <c r="L359" i="6" s="1"/>
  <c r="P359" i="6" s="1"/>
  <c r="H360" i="6"/>
  <c r="L360" i="6" s="1"/>
  <c r="P360" i="6" s="1"/>
  <c r="H361" i="6"/>
  <c r="L361" i="6" s="1"/>
  <c r="H362" i="6"/>
  <c r="L362" i="6" s="1"/>
  <c r="P362" i="6" s="1"/>
  <c r="H363" i="6"/>
  <c r="L363" i="6" s="1"/>
  <c r="H3" i="6"/>
  <c r="L3" i="6" s="1"/>
  <c r="F3" i="6"/>
  <c r="J3" i="6" s="1"/>
  <c r="C4" i="6"/>
  <c r="G4" i="6" s="1"/>
  <c r="K4" i="6" s="1"/>
  <c r="C5" i="6"/>
  <c r="G5" i="6" s="1"/>
  <c r="K5" i="6" s="1"/>
  <c r="C6" i="6"/>
  <c r="G6" i="6" s="1"/>
  <c r="K6" i="6" s="1"/>
  <c r="O6" i="6" s="1"/>
  <c r="C7" i="6"/>
  <c r="G7" i="6" s="1"/>
  <c r="K7" i="6" s="1"/>
  <c r="O7" i="6" s="1"/>
  <c r="C8" i="6"/>
  <c r="G8" i="6" s="1"/>
  <c r="K8" i="6" s="1"/>
  <c r="C9" i="6"/>
  <c r="G9" i="6" s="1"/>
  <c r="K9" i="6" s="1"/>
  <c r="O9" i="6" s="1"/>
  <c r="C10" i="6"/>
  <c r="G10" i="6" s="1"/>
  <c r="K10" i="6" s="1"/>
  <c r="O10" i="6" s="1"/>
  <c r="C11" i="6"/>
  <c r="G11" i="6" s="1"/>
  <c r="K11" i="6" s="1"/>
  <c r="O11" i="6" s="1"/>
  <c r="C12" i="6"/>
  <c r="G12" i="6" s="1"/>
  <c r="K12" i="6" s="1"/>
  <c r="C13" i="6"/>
  <c r="G13" i="6" s="1"/>
  <c r="K13" i="6" s="1"/>
  <c r="C14" i="6"/>
  <c r="G14" i="6" s="1"/>
  <c r="K14" i="6" s="1"/>
  <c r="O14" i="6" s="1"/>
  <c r="C15" i="6"/>
  <c r="G15" i="6" s="1"/>
  <c r="K15" i="6" s="1"/>
  <c r="O15" i="6" s="1"/>
  <c r="C16" i="6"/>
  <c r="G16" i="6" s="1"/>
  <c r="K16" i="6" s="1"/>
  <c r="C17" i="6"/>
  <c r="G17" i="6" s="1"/>
  <c r="K17" i="6" s="1"/>
  <c r="O17" i="6" s="1"/>
  <c r="C18" i="6"/>
  <c r="G18" i="6" s="1"/>
  <c r="K18" i="6" s="1"/>
  <c r="O18" i="6" s="1"/>
  <c r="C19" i="6"/>
  <c r="G19" i="6" s="1"/>
  <c r="K19" i="6" s="1"/>
  <c r="O19" i="6" s="1"/>
  <c r="C20" i="6"/>
  <c r="G20" i="6" s="1"/>
  <c r="K20" i="6" s="1"/>
  <c r="C21" i="6"/>
  <c r="G21" i="6" s="1"/>
  <c r="K21" i="6" s="1"/>
  <c r="C22" i="6"/>
  <c r="G22" i="6" s="1"/>
  <c r="K22" i="6" s="1"/>
  <c r="O22" i="6" s="1"/>
  <c r="C23" i="6"/>
  <c r="G23" i="6" s="1"/>
  <c r="K23" i="6" s="1"/>
  <c r="O23" i="6" s="1"/>
  <c r="C24" i="6"/>
  <c r="G24" i="6" s="1"/>
  <c r="K24" i="6" s="1"/>
  <c r="C25" i="6"/>
  <c r="G25" i="6" s="1"/>
  <c r="K25" i="6" s="1"/>
  <c r="O25" i="6" s="1"/>
  <c r="C26" i="6"/>
  <c r="G26" i="6" s="1"/>
  <c r="K26" i="6" s="1"/>
  <c r="O26" i="6" s="1"/>
  <c r="C27" i="6"/>
  <c r="G27" i="6" s="1"/>
  <c r="K27" i="6" s="1"/>
  <c r="O27" i="6" s="1"/>
  <c r="C28" i="6"/>
  <c r="G28" i="6" s="1"/>
  <c r="K28" i="6" s="1"/>
  <c r="C29" i="6"/>
  <c r="G29" i="6" s="1"/>
  <c r="K29" i="6" s="1"/>
  <c r="C30" i="6"/>
  <c r="G30" i="6" s="1"/>
  <c r="K30" i="6" s="1"/>
  <c r="O30" i="6" s="1"/>
  <c r="C31" i="6"/>
  <c r="G31" i="6" s="1"/>
  <c r="K31" i="6" s="1"/>
  <c r="O31" i="6" s="1"/>
  <c r="C32" i="6"/>
  <c r="G32" i="6" s="1"/>
  <c r="K32" i="6" s="1"/>
  <c r="C33" i="6"/>
  <c r="G33" i="6" s="1"/>
  <c r="K33" i="6" s="1"/>
  <c r="O33" i="6" s="1"/>
  <c r="C34" i="6"/>
  <c r="G34" i="6" s="1"/>
  <c r="K34" i="6" s="1"/>
  <c r="O34" i="6" s="1"/>
  <c r="C35" i="6"/>
  <c r="G35" i="6" s="1"/>
  <c r="K35" i="6" s="1"/>
  <c r="O35" i="6" s="1"/>
  <c r="C36" i="6"/>
  <c r="G36" i="6" s="1"/>
  <c r="K36" i="6" s="1"/>
  <c r="C37" i="6"/>
  <c r="G37" i="6" s="1"/>
  <c r="K37" i="6" s="1"/>
  <c r="C38" i="6"/>
  <c r="G38" i="6" s="1"/>
  <c r="K38" i="6" s="1"/>
  <c r="O38" i="6" s="1"/>
  <c r="C39" i="6"/>
  <c r="G39" i="6" s="1"/>
  <c r="K39" i="6" s="1"/>
  <c r="O39" i="6" s="1"/>
  <c r="C40" i="6"/>
  <c r="G40" i="6" s="1"/>
  <c r="K40" i="6" s="1"/>
  <c r="C41" i="6"/>
  <c r="G41" i="6" s="1"/>
  <c r="K41" i="6" s="1"/>
  <c r="O41" i="6" s="1"/>
  <c r="C42" i="6"/>
  <c r="G42" i="6" s="1"/>
  <c r="K42" i="6" s="1"/>
  <c r="O42" i="6" s="1"/>
  <c r="C43" i="6"/>
  <c r="G43" i="6" s="1"/>
  <c r="K43" i="6" s="1"/>
  <c r="O43" i="6" s="1"/>
  <c r="C44" i="6"/>
  <c r="G44" i="6" s="1"/>
  <c r="K44" i="6" s="1"/>
  <c r="C45" i="6"/>
  <c r="G45" i="6" s="1"/>
  <c r="K45" i="6" s="1"/>
  <c r="C46" i="6"/>
  <c r="G46" i="6" s="1"/>
  <c r="K46" i="6" s="1"/>
  <c r="O46" i="6" s="1"/>
  <c r="C47" i="6"/>
  <c r="G47" i="6" s="1"/>
  <c r="K47" i="6" s="1"/>
  <c r="O47" i="6" s="1"/>
  <c r="C48" i="6"/>
  <c r="G48" i="6" s="1"/>
  <c r="K48" i="6" s="1"/>
  <c r="C49" i="6"/>
  <c r="G49" i="6" s="1"/>
  <c r="K49" i="6" s="1"/>
  <c r="O49" i="6" s="1"/>
  <c r="C50" i="6"/>
  <c r="G50" i="6" s="1"/>
  <c r="K50" i="6" s="1"/>
  <c r="C51" i="6"/>
  <c r="G51" i="6" s="1"/>
  <c r="K51" i="6" s="1"/>
  <c r="O51" i="6" s="1"/>
  <c r="C52" i="6"/>
  <c r="G52" i="6" s="1"/>
  <c r="K52" i="6" s="1"/>
  <c r="C53" i="6"/>
  <c r="G53" i="6" s="1"/>
  <c r="K53" i="6" s="1"/>
  <c r="C54" i="6"/>
  <c r="G54" i="6" s="1"/>
  <c r="K54" i="6" s="1"/>
  <c r="O54" i="6" s="1"/>
  <c r="C55" i="6"/>
  <c r="G55" i="6" s="1"/>
  <c r="K55" i="6" s="1"/>
  <c r="O55" i="6" s="1"/>
  <c r="C56" i="6"/>
  <c r="G56" i="6" s="1"/>
  <c r="K56" i="6" s="1"/>
  <c r="O56" i="6" s="1"/>
  <c r="C57" i="6"/>
  <c r="G57" i="6" s="1"/>
  <c r="K57" i="6" s="1"/>
  <c r="C58" i="6"/>
  <c r="G58" i="6" s="1"/>
  <c r="K58" i="6" s="1"/>
  <c r="C59" i="6"/>
  <c r="G59" i="6" s="1"/>
  <c r="K59" i="6" s="1"/>
  <c r="O59" i="6" s="1"/>
  <c r="C60" i="6"/>
  <c r="G60" i="6" s="1"/>
  <c r="K60" i="6" s="1"/>
  <c r="C61" i="6"/>
  <c r="G61" i="6" s="1"/>
  <c r="K61" i="6" s="1"/>
  <c r="C62" i="6"/>
  <c r="G62" i="6" s="1"/>
  <c r="K62" i="6" s="1"/>
  <c r="C63" i="6"/>
  <c r="G63" i="6" s="1"/>
  <c r="K63" i="6" s="1"/>
  <c r="O63" i="6" s="1"/>
  <c r="C64" i="6"/>
  <c r="G64" i="6" s="1"/>
  <c r="K64" i="6" s="1"/>
  <c r="C65" i="6"/>
  <c r="G65" i="6" s="1"/>
  <c r="K65" i="6" s="1"/>
  <c r="O65" i="6" s="1"/>
  <c r="C66" i="6"/>
  <c r="G66" i="6" s="1"/>
  <c r="K66" i="6" s="1"/>
  <c r="C67" i="6"/>
  <c r="G67" i="6" s="1"/>
  <c r="K67" i="6" s="1"/>
  <c r="O67" i="6" s="1"/>
  <c r="C68" i="6"/>
  <c r="G68" i="6" s="1"/>
  <c r="K68" i="6" s="1"/>
  <c r="C69" i="6"/>
  <c r="G69" i="6" s="1"/>
  <c r="K69" i="6" s="1"/>
  <c r="C70" i="6"/>
  <c r="G70" i="6" s="1"/>
  <c r="K70" i="6" s="1"/>
  <c r="O70" i="6" s="1"/>
  <c r="C71" i="6"/>
  <c r="G71" i="6" s="1"/>
  <c r="K71" i="6" s="1"/>
  <c r="O71" i="6" s="1"/>
  <c r="C72" i="6"/>
  <c r="G72" i="6" s="1"/>
  <c r="K72" i="6" s="1"/>
  <c r="C73" i="6"/>
  <c r="G73" i="6" s="1"/>
  <c r="K73" i="6" s="1"/>
  <c r="O73" i="6" s="1"/>
  <c r="C74" i="6"/>
  <c r="G74" i="6" s="1"/>
  <c r="K74" i="6" s="1"/>
  <c r="O74" i="6" s="1"/>
  <c r="C75" i="6"/>
  <c r="G75" i="6" s="1"/>
  <c r="K75" i="6" s="1"/>
  <c r="O75" i="6" s="1"/>
  <c r="C76" i="6"/>
  <c r="G76" i="6" s="1"/>
  <c r="K76" i="6" s="1"/>
  <c r="C77" i="6"/>
  <c r="G77" i="6" s="1"/>
  <c r="K77" i="6" s="1"/>
  <c r="C78" i="6"/>
  <c r="G78" i="6" s="1"/>
  <c r="K78" i="6" s="1"/>
  <c r="O78" i="6" s="1"/>
  <c r="C79" i="6"/>
  <c r="G79" i="6" s="1"/>
  <c r="K79" i="6" s="1"/>
  <c r="O79" i="6" s="1"/>
  <c r="C80" i="6"/>
  <c r="G80" i="6" s="1"/>
  <c r="K80" i="6" s="1"/>
  <c r="C81" i="6"/>
  <c r="G81" i="6" s="1"/>
  <c r="K81" i="6" s="1"/>
  <c r="O81" i="6" s="1"/>
  <c r="C82" i="6"/>
  <c r="G82" i="6" s="1"/>
  <c r="K82" i="6" s="1"/>
  <c r="C83" i="6"/>
  <c r="G83" i="6" s="1"/>
  <c r="K83" i="6" s="1"/>
  <c r="O83" i="6" s="1"/>
  <c r="C84" i="6"/>
  <c r="G84" i="6" s="1"/>
  <c r="K84" i="6" s="1"/>
  <c r="C85" i="6"/>
  <c r="G85" i="6" s="1"/>
  <c r="K85" i="6" s="1"/>
  <c r="C86" i="6"/>
  <c r="G86" i="6" s="1"/>
  <c r="K86" i="6" s="1"/>
  <c r="O86" i="6" s="1"/>
  <c r="C87" i="6"/>
  <c r="G87" i="6" s="1"/>
  <c r="K87" i="6" s="1"/>
  <c r="O87" i="6" s="1"/>
  <c r="C88" i="6"/>
  <c r="G88" i="6" s="1"/>
  <c r="K88" i="6" s="1"/>
  <c r="C89" i="6"/>
  <c r="G89" i="6" s="1"/>
  <c r="K89" i="6" s="1"/>
  <c r="O89" i="6" s="1"/>
  <c r="C90" i="6"/>
  <c r="G90" i="6" s="1"/>
  <c r="K90" i="6" s="1"/>
  <c r="C91" i="6"/>
  <c r="G91" i="6" s="1"/>
  <c r="K91" i="6" s="1"/>
  <c r="O91" i="6" s="1"/>
  <c r="C92" i="6"/>
  <c r="G92" i="6" s="1"/>
  <c r="K92" i="6" s="1"/>
  <c r="C93" i="6"/>
  <c r="G93" i="6" s="1"/>
  <c r="K93" i="6" s="1"/>
  <c r="C94" i="6"/>
  <c r="G94" i="6" s="1"/>
  <c r="K94" i="6" s="1"/>
  <c r="O94" i="6" s="1"/>
  <c r="C95" i="6"/>
  <c r="G95" i="6" s="1"/>
  <c r="K95" i="6" s="1"/>
  <c r="O95" i="6" s="1"/>
  <c r="C96" i="6"/>
  <c r="G96" i="6" s="1"/>
  <c r="K96" i="6" s="1"/>
  <c r="C97" i="6"/>
  <c r="G97" i="6" s="1"/>
  <c r="K97" i="6" s="1"/>
  <c r="O97" i="6" s="1"/>
  <c r="C98" i="6"/>
  <c r="G98" i="6" s="1"/>
  <c r="K98" i="6" s="1"/>
  <c r="C99" i="6"/>
  <c r="G99" i="6" s="1"/>
  <c r="K99" i="6" s="1"/>
  <c r="O99" i="6" s="1"/>
  <c r="C100" i="6"/>
  <c r="G100" i="6" s="1"/>
  <c r="K100" i="6" s="1"/>
  <c r="C101" i="6"/>
  <c r="G101" i="6" s="1"/>
  <c r="K101" i="6" s="1"/>
  <c r="C102" i="6"/>
  <c r="G102" i="6" s="1"/>
  <c r="K102" i="6" s="1"/>
  <c r="O102" i="6" s="1"/>
  <c r="C103" i="6"/>
  <c r="G103" i="6" s="1"/>
  <c r="K103" i="6" s="1"/>
  <c r="O103" i="6" s="1"/>
  <c r="C104" i="6"/>
  <c r="G104" i="6" s="1"/>
  <c r="K104" i="6" s="1"/>
  <c r="C105" i="6"/>
  <c r="G105" i="6" s="1"/>
  <c r="K105" i="6" s="1"/>
  <c r="O105" i="6" s="1"/>
  <c r="C106" i="6"/>
  <c r="G106" i="6" s="1"/>
  <c r="K106" i="6" s="1"/>
  <c r="O106" i="6" s="1"/>
  <c r="C107" i="6"/>
  <c r="G107" i="6" s="1"/>
  <c r="K107" i="6" s="1"/>
  <c r="O107" i="6" s="1"/>
  <c r="C108" i="6"/>
  <c r="G108" i="6" s="1"/>
  <c r="K108" i="6" s="1"/>
  <c r="C109" i="6"/>
  <c r="G109" i="6" s="1"/>
  <c r="K109" i="6" s="1"/>
  <c r="C110" i="6"/>
  <c r="G110" i="6" s="1"/>
  <c r="K110" i="6" s="1"/>
  <c r="O110" i="6" s="1"/>
  <c r="C111" i="6"/>
  <c r="G111" i="6" s="1"/>
  <c r="K111" i="6" s="1"/>
  <c r="O111" i="6" s="1"/>
  <c r="C112" i="6"/>
  <c r="G112" i="6" s="1"/>
  <c r="K112" i="6" s="1"/>
  <c r="C113" i="6"/>
  <c r="G113" i="6" s="1"/>
  <c r="K113" i="6" s="1"/>
  <c r="O113" i="6" s="1"/>
  <c r="C114" i="6"/>
  <c r="G114" i="6" s="1"/>
  <c r="K114" i="6" s="1"/>
  <c r="C115" i="6"/>
  <c r="G115" i="6" s="1"/>
  <c r="K115" i="6" s="1"/>
  <c r="O115" i="6" s="1"/>
  <c r="C116" i="6"/>
  <c r="G116" i="6" s="1"/>
  <c r="K116" i="6" s="1"/>
  <c r="C117" i="6"/>
  <c r="G117" i="6" s="1"/>
  <c r="K117" i="6" s="1"/>
  <c r="C118" i="6"/>
  <c r="G118" i="6" s="1"/>
  <c r="K118" i="6" s="1"/>
  <c r="O118" i="6" s="1"/>
  <c r="C119" i="6"/>
  <c r="G119" i="6" s="1"/>
  <c r="K119" i="6" s="1"/>
  <c r="O119" i="6" s="1"/>
  <c r="C120" i="6"/>
  <c r="G120" i="6" s="1"/>
  <c r="K120" i="6" s="1"/>
  <c r="C121" i="6"/>
  <c r="G121" i="6" s="1"/>
  <c r="K121" i="6" s="1"/>
  <c r="O121" i="6" s="1"/>
  <c r="C122" i="6"/>
  <c r="G122" i="6" s="1"/>
  <c r="K122" i="6" s="1"/>
  <c r="C123" i="6"/>
  <c r="G123" i="6" s="1"/>
  <c r="K123" i="6" s="1"/>
  <c r="O123" i="6" s="1"/>
  <c r="C124" i="6"/>
  <c r="G124" i="6" s="1"/>
  <c r="K124" i="6" s="1"/>
  <c r="C125" i="6"/>
  <c r="G125" i="6" s="1"/>
  <c r="K125" i="6" s="1"/>
  <c r="C126" i="6"/>
  <c r="G126" i="6" s="1"/>
  <c r="K126" i="6" s="1"/>
  <c r="O126" i="6" s="1"/>
  <c r="C127" i="6"/>
  <c r="G127" i="6" s="1"/>
  <c r="K127" i="6" s="1"/>
  <c r="O127" i="6" s="1"/>
  <c r="C128" i="6"/>
  <c r="G128" i="6" s="1"/>
  <c r="K128" i="6" s="1"/>
  <c r="C129" i="6"/>
  <c r="G129" i="6" s="1"/>
  <c r="K129" i="6" s="1"/>
  <c r="O129" i="6" s="1"/>
  <c r="C130" i="6"/>
  <c r="G130" i="6" s="1"/>
  <c r="K130" i="6" s="1"/>
  <c r="C131" i="6"/>
  <c r="G131" i="6" s="1"/>
  <c r="K131" i="6" s="1"/>
  <c r="O131" i="6" s="1"/>
  <c r="C132" i="6"/>
  <c r="G132" i="6" s="1"/>
  <c r="K132" i="6" s="1"/>
  <c r="C133" i="6"/>
  <c r="G133" i="6" s="1"/>
  <c r="K133" i="6" s="1"/>
  <c r="C134" i="6"/>
  <c r="G134" i="6" s="1"/>
  <c r="K134" i="6" s="1"/>
  <c r="O134" i="6" s="1"/>
  <c r="C135" i="6"/>
  <c r="G135" i="6" s="1"/>
  <c r="K135" i="6" s="1"/>
  <c r="O135" i="6" s="1"/>
  <c r="C136" i="6"/>
  <c r="G136" i="6" s="1"/>
  <c r="K136" i="6" s="1"/>
  <c r="C137" i="6"/>
  <c r="G137" i="6" s="1"/>
  <c r="K137" i="6" s="1"/>
  <c r="O137" i="6" s="1"/>
  <c r="C138" i="6"/>
  <c r="G138" i="6" s="1"/>
  <c r="K138" i="6" s="1"/>
  <c r="C139" i="6"/>
  <c r="G139" i="6" s="1"/>
  <c r="K139" i="6" s="1"/>
  <c r="O139" i="6" s="1"/>
  <c r="C140" i="6"/>
  <c r="G140" i="6" s="1"/>
  <c r="K140" i="6" s="1"/>
  <c r="C141" i="6"/>
  <c r="G141" i="6" s="1"/>
  <c r="K141" i="6" s="1"/>
  <c r="C142" i="6"/>
  <c r="G142" i="6" s="1"/>
  <c r="K142" i="6" s="1"/>
  <c r="O142" i="6" s="1"/>
  <c r="C143" i="6"/>
  <c r="G143" i="6" s="1"/>
  <c r="K143" i="6" s="1"/>
  <c r="O143" i="6" s="1"/>
  <c r="C144" i="6"/>
  <c r="G144" i="6" s="1"/>
  <c r="K144" i="6" s="1"/>
  <c r="C145" i="6"/>
  <c r="G145" i="6" s="1"/>
  <c r="K145" i="6" s="1"/>
  <c r="O145" i="6" s="1"/>
  <c r="C146" i="6"/>
  <c r="G146" i="6" s="1"/>
  <c r="K146" i="6" s="1"/>
  <c r="C147" i="6"/>
  <c r="G147" i="6" s="1"/>
  <c r="K147" i="6" s="1"/>
  <c r="O147" i="6" s="1"/>
  <c r="C148" i="6"/>
  <c r="G148" i="6" s="1"/>
  <c r="K148" i="6" s="1"/>
  <c r="C149" i="6"/>
  <c r="G149" i="6" s="1"/>
  <c r="K149" i="6" s="1"/>
  <c r="C150" i="6"/>
  <c r="G150" i="6" s="1"/>
  <c r="K150" i="6" s="1"/>
  <c r="C151" i="6"/>
  <c r="G151" i="6" s="1"/>
  <c r="K151" i="6" s="1"/>
  <c r="O151" i="6" s="1"/>
  <c r="C152" i="6"/>
  <c r="G152" i="6" s="1"/>
  <c r="K152" i="6" s="1"/>
  <c r="C153" i="6"/>
  <c r="G153" i="6" s="1"/>
  <c r="K153" i="6" s="1"/>
  <c r="O153" i="6" s="1"/>
  <c r="C154" i="6"/>
  <c r="G154" i="6" s="1"/>
  <c r="K154" i="6" s="1"/>
  <c r="O154" i="6" s="1"/>
  <c r="C155" i="6"/>
  <c r="G155" i="6" s="1"/>
  <c r="K155" i="6" s="1"/>
  <c r="O155" i="6" s="1"/>
  <c r="C156" i="6"/>
  <c r="G156" i="6" s="1"/>
  <c r="K156" i="6" s="1"/>
  <c r="C157" i="6"/>
  <c r="G157" i="6" s="1"/>
  <c r="K157" i="6" s="1"/>
  <c r="C158" i="6"/>
  <c r="G158" i="6" s="1"/>
  <c r="K158" i="6" s="1"/>
  <c r="C159" i="6"/>
  <c r="G159" i="6" s="1"/>
  <c r="K159" i="6" s="1"/>
  <c r="O159" i="6" s="1"/>
  <c r="C160" i="6"/>
  <c r="G160" i="6" s="1"/>
  <c r="K160" i="6" s="1"/>
  <c r="C161" i="6"/>
  <c r="G161" i="6" s="1"/>
  <c r="K161" i="6" s="1"/>
  <c r="O161" i="6" s="1"/>
  <c r="C162" i="6"/>
  <c r="G162" i="6" s="1"/>
  <c r="K162" i="6" s="1"/>
  <c r="O162" i="6" s="1"/>
  <c r="C163" i="6"/>
  <c r="G163" i="6" s="1"/>
  <c r="K163" i="6" s="1"/>
  <c r="O163" i="6" s="1"/>
  <c r="C164" i="6"/>
  <c r="G164" i="6" s="1"/>
  <c r="K164" i="6" s="1"/>
  <c r="C165" i="6"/>
  <c r="G165" i="6" s="1"/>
  <c r="K165" i="6" s="1"/>
  <c r="C166" i="6"/>
  <c r="G166" i="6" s="1"/>
  <c r="K166" i="6" s="1"/>
  <c r="O166" i="6" s="1"/>
  <c r="C167" i="6"/>
  <c r="G167" i="6" s="1"/>
  <c r="K167" i="6" s="1"/>
  <c r="O167" i="6" s="1"/>
  <c r="C168" i="6"/>
  <c r="G168" i="6" s="1"/>
  <c r="K168" i="6" s="1"/>
  <c r="C169" i="6"/>
  <c r="G169" i="6" s="1"/>
  <c r="K169" i="6" s="1"/>
  <c r="O169" i="6" s="1"/>
  <c r="C170" i="6"/>
  <c r="G170" i="6" s="1"/>
  <c r="K170" i="6" s="1"/>
  <c r="O170" i="6" s="1"/>
  <c r="C171" i="6"/>
  <c r="G171" i="6" s="1"/>
  <c r="K171" i="6" s="1"/>
  <c r="O171" i="6" s="1"/>
  <c r="C172" i="6"/>
  <c r="G172" i="6" s="1"/>
  <c r="K172" i="6" s="1"/>
  <c r="C173" i="6"/>
  <c r="G173" i="6" s="1"/>
  <c r="K173" i="6" s="1"/>
  <c r="C174" i="6"/>
  <c r="G174" i="6" s="1"/>
  <c r="K174" i="6" s="1"/>
  <c r="O174" i="6" s="1"/>
  <c r="C175" i="6"/>
  <c r="G175" i="6" s="1"/>
  <c r="K175" i="6" s="1"/>
  <c r="C176" i="6"/>
  <c r="G176" i="6" s="1"/>
  <c r="K176" i="6" s="1"/>
  <c r="O176" i="6" s="1"/>
  <c r="C177" i="6"/>
  <c r="G177" i="6" s="1"/>
  <c r="K177" i="6" s="1"/>
  <c r="C178" i="6"/>
  <c r="G178" i="6" s="1"/>
  <c r="K178" i="6" s="1"/>
  <c r="O178" i="6" s="1"/>
  <c r="C179" i="6"/>
  <c r="G179" i="6" s="1"/>
  <c r="K179" i="6" s="1"/>
  <c r="O179" i="6" s="1"/>
  <c r="C180" i="6"/>
  <c r="G180" i="6" s="1"/>
  <c r="K180" i="6" s="1"/>
  <c r="C181" i="6"/>
  <c r="G181" i="6" s="1"/>
  <c r="K181" i="6" s="1"/>
  <c r="C182" i="6"/>
  <c r="G182" i="6" s="1"/>
  <c r="K182" i="6" s="1"/>
  <c r="O182" i="6" s="1"/>
  <c r="C183" i="6"/>
  <c r="G183" i="6" s="1"/>
  <c r="K183" i="6" s="1"/>
  <c r="C184" i="6"/>
  <c r="G184" i="6" s="1"/>
  <c r="K184" i="6" s="1"/>
  <c r="O184" i="6" s="1"/>
  <c r="C185" i="6"/>
  <c r="G185" i="6" s="1"/>
  <c r="K185" i="6" s="1"/>
  <c r="C186" i="6"/>
  <c r="G186" i="6" s="1"/>
  <c r="K186" i="6" s="1"/>
  <c r="O186" i="6" s="1"/>
  <c r="C187" i="6"/>
  <c r="G187" i="6" s="1"/>
  <c r="K187" i="6" s="1"/>
  <c r="O187" i="6" s="1"/>
  <c r="C188" i="6"/>
  <c r="G188" i="6" s="1"/>
  <c r="K188" i="6" s="1"/>
  <c r="C189" i="6"/>
  <c r="G189" i="6" s="1"/>
  <c r="K189" i="6" s="1"/>
  <c r="C190" i="6"/>
  <c r="G190" i="6" s="1"/>
  <c r="K190" i="6" s="1"/>
  <c r="O190" i="6" s="1"/>
  <c r="C191" i="6"/>
  <c r="G191" i="6" s="1"/>
  <c r="K191" i="6" s="1"/>
  <c r="C192" i="6"/>
  <c r="G192" i="6" s="1"/>
  <c r="K192" i="6" s="1"/>
  <c r="O192" i="6" s="1"/>
  <c r="C193" i="6"/>
  <c r="G193" i="6" s="1"/>
  <c r="K193" i="6" s="1"/>
  <c r="C194" i="6"/>
  <c r="G194" i="6" s="1"/>
  <c r="K194" i="6" s="1"/>
  <c r="O194" i="6" s="1"/>
  <c r="C195" i="6"/>
  <c r="G195" i="6" s="1"/>
  <c r="K195" i="6" s="1"/>
  <c r="O195" i="6" s="1"/>
  <c r="C196" i="6"/>
  <c r="G196" i="6" s="1"/>
  <c r="K196" i="6" s="1"/>
  <c r="C197" i="6"/>
  <c r="G197" i="6" s="1"/>
  <c r="K197" i="6" s="1"/>
  <c r="C198" i="6"/>
  <c r="G198" i="6" s="1"/>
  <c r="K198" i="6" s="1"/>
  <c r="O198" i="6" s="1"/>
  <c r="C199" i="6"/>
  <c r="G199" i="6" s="1"/>
  <c r="K199" i="6" s="1"/>
  <c r="C200" i="6"/>
  <c r="G200" i="6" s="1"/>
  <c r="K200" i="6" s="1"/>
  <c r="O200" i="6" s="1"/>
  <c r="C201" i="6"/>
  <c r="G201" i="6" s="1"/>
  <c r="K201" i="6" s="1"/>
  <c r="C202" i="6"/>
  <c r="G202" i="6" s="1"/>
  <c r="K202" i="6" s="1"/>
  <c r="O202" i="6" s="1"/>
  <c r="C203" i="6"/>
  <c r="G203" i="6" s="1"/>
  <c r="K203" i="6" s="1"/>
  <c r="O203" i="6" s="1"/>
  <c r="C204" i="6"/>
  <c r="G204" i="6" s="1"/>
  <c r="K204" i="6" s="1"/>
  <c r="C205" i="6"/>
  <c r="G205" i="6" s="1"/>
  <c r="K205" i="6" s="1"/>
  <c r="C206" i="6"/>
  <c r="G206" i="6" s="1"/>
  <c r="K206" i="6" s="1"/>
  <c r="O206" i="6" s="1"/>
  <c r="C207" i="6"/>
  <c r="G207" i="6" s="1"/>
  <c r="K207" i="6" s="1"/>
  <c r="C208" i="6"/>
  <c r="G208" i="6" s="1"/>
  <c r="K208" i="6" s="1"/>
  <c r="O208" i="6" s="1"/>
  <c r="C209" i="6"/>
  <c r="G209" i="6" s="1"/>
  <c r="K209" i="6" s="1"/>
  <c r="C210" i="6"/>
  <c r="G210" i="6" s="1"/>
  <c r="K210" i="6" s="1"/>
  <c r="O210" i="6" s="1"/>
  <c r="C211" i="6"/>
  <c r="G211" i="6" s="1"/>
  <c r="K211" i="6" s="1"/>
  <c r="O211" i="6" s="1"/>
  <c r="C212" i="6"/>
  <c r="G212" i="6" s="1"/>
  <c r="K212" i="6" s="1"/>
  <c r="C213" i="6"/>
  <c r="G213" i="6" s="1"/>
  <c r="K213" i="6" s="1"/>
  <c r="C214" i="6"/>
  <c r="G214" i="6" s="1"/>
  <c r="K214" i="6" s="1"/>
  <c r="O214" i="6" s="1"/>
  <c r="C215" i="6"/>
  <c r="G215" i="6" s="1"/>
  <c r="K215" i="6" s="1"/>
  <c r="C216" i="6"/>
  <c r="G216" i="6" s="1"/>
  <c r="K216" i="6" s="1"/>
  <c r="O216" i="6" s="1"/>
  <c r="C217" i="6"/>
  <c r="G217" i="6" s="1"/>
  <c r="K217" i="6" s="1"/>
  <c r="C218" i="6"/>
  <c r="G218" i="6" s="1"/>
  <c r="K218" i="6" s="1"/>
  <c r="O218" i="6" s="1"/>
  <c r="C219" i="6"/>
  <c r="G219" i="6" s="1"/>
  <c r="K219" i="6" s="1"/>
  <c r="O219" i="6" s="1"/>
  <c r="C220" i="6"/>
  <c r="G220" i="6" s="1"/>
  <c r="K220" i="6" s="1"/>
  <c r="C221" i="6"/>
  <c r="G221" i="6" s="1"/>
  <c r="K221" i="6" s="1"/>
  <c r="C222" i="6"/>
  <c r="G222" i="6" s="1"/>
  <c r="K222" i="6" s="1"/>
  <c r="O222" i="6" s="1"/>
  <c r="C223" i="6"/>
  <c r="G223" i="6" s="1"/>
  <c r="K223" i="6" s="1"/>
  <c r="C224" i="6"/>
  <c r="G224" i="6" s="1"/>
  <c r="K224" i="6" s="1"/>
  <c r="O224" i="6" s="1"/>
  <c r="C225" i="6"/>
  <c r="G225" i="6" s="1"/>
  <c r="K225" i="6" s="1"/>
  <c r="C226" i="6"/>
  <c r="G226" i="6" s="1"/>
  <c r="K226" i="6" s="1"/>
  <c r="O226" i="6" s="1"/>
  <c r="C227" i="6"/>
  <c r="G227" i="6" s="1"/>
  <c r="K227" i="6" s="1"/>
  <c r="O227" i="6" s="1"/>
  <c r="C228" i="6"/>
  <c r="G228" i="6" s="1"/>
  <c r="K228" i="6" s="1"/>
  <c r="C229" i="6"/>
  <c r="G229" i="6" s="1"/>
  <c r="K229" i="6" s="1"/>
  <c r="C230" i="6"/>
  <c r="G230" i="6" s="1"/>
  <c r="K230" i="6" s="1"/>
  <c r="O230" i="6" s="1"/>
  <c r="C231" i="6"/>
  <c r="G231" i="6" s="1"/>
  <c r="K231" i="6" s="1"/>
  <c r="C232" i="6"/>
  <c r="G232" i="6" s="1"/>
  <c r="K232" i="6" s="1"/>
  <c r="O232" i="6" s="1"/>
  <c r="C233" i="6"/>
  <c r="G233" i="6" s="1"/>
  <c r="K233" i="6" s="1"/>
  <c r="C234" i="6"/>
  <c r="G234" i="6" s="1"/>
  <c r="K234" i="6" s="1"/>
  <c r="O234" i="6" s="1"/>
  <c r="C235" i="6"/>
  <c r="G235" i="6" s="1"/>
  <c r="K235" i="6" s="1"/>
  <c r="O235" i="6" s="1"/>
  <c r="C236" i="6"/>
  <c r="G236" i="6" s="1"/>
  <c r="K236" i="6" s="1"/>
  <c r="C237" i="6"/>
  <c r="G237" i="6" s="1"/>
  <c r="K237" i="6" s="1"/>
  <c r="C238" i="6"/>
  <c r="G238" i="6" s="1"/>
  <c r="K238" i="6" s="1"/>
  <c r="O238" i="6" s="1"/>
  <c r="C239" i="6"/>
  <c r="G239" i="6" s="1"/>
  <c r="K239" i="6" s="1"/>
  <c r="C240" i="6"/>
  <c r="G240" i="6" s="1"/>
  <c r="K240" i="6" s="1"/>
  <c r="O240" i="6" s="1"/>
  <c r="C241" i="6"/>
  <c r="G241" i="6" s="1"/>
  <c r="K241" i="6" s="1"/>
  <c r="C242" i="6"/>
  <c r="G242" i="6" s="1"/>
  <c r="K242" i="6" s="1"/>
  <c r="O242" i="6" s="1"/>
  <c r="C243" i="6"/>
  <c r="G243" i="6" s="1"/>
  <c r="K243" i="6" s="1"/>
  <c r="O243" i="6" s="1"/>
  <c r="C244" i="6"/>
  <c r="G244" i="6" s="1"/>
  <c r="K244" i="6" s="1"/>
  <c r="C245" i="6"/>
  <c r="G245" i="6" s="1"/>
  <c r="K245" i="6" s="1"/>
  <c r="C246" i="6"/>
  <c r="G246" i="6" s="1"/>
  <c r="K246" i="6" s="1"/>
  <c r="O246" i="6" s="1"/>
  <c r="C247" i="6"/>
  <c r="G247" i="6" s="1"/>
  <c r="K247" i="6" s="1"/>
  <c r="C248" i="6"/>
  <c r="G248" i="6" s="1"/>
  <c r="K248" i="6" s="1"/>
  <c r="O248" i="6" s="1"/>
  <c r="C249" i="6"/>
  <c r="G249" i="6" s="1"/>
  <c r="K249" i="6" s="1"/>
  <c r="C250" i="6"/>
  <c r="G250" i="6" s="1"/>
  <c r="K250" i="6" s="1"/>
  <c r="O250" i="6" s="1"/>
  <c r="C251" i="6"/>
  <c r="G251" i="6" s="1"/>
  <c r="K251" i="6" s="1"/>
  <c r="O251" i="6" s="1"/>
  <c r="C252" i="6"/>
  <c r="G252" i="6" s="1"/>
  <c r="K252" i="6" s="1"/>
  <c r="C253" i="6"/>
  <c r="G253" i="6" s="1"/>
  <c r="K253" i="6" s="1"/>
  <c r="C254" i="6"/>
  <c r="G254" i="6" s="1"/>
  <c r="K254" i="6" s="1"/>
  <c r="O254" i="6" s="1"/>
  <c r="C255" i="6"/>
  <c r="G255" i="6" s="1"/>
  <c r="K255" i="6" s="1"/>
  <c r="C256" i="6"/>
  <c r="G256" i="6" s="1"/>
  <c r="K256" i="6" s="1"/>
  <c r="O256" i="6" s="1"/>
  <c r="C257" i="6"/>
  <c r="G257" i="6" s="1"/>
  <c r="K257" i="6" s="1"/>
  <c r="C258" i="6"/>
  <c r="G258" i="6" s="1"/>
  <c r="K258" i="6" s="1"/>
  <c r="O258" i="6" s="1"/>
  <c r="C259" i="6"/>
  <c r="G259" i="6" s="1"/>
  <c r="K259" i="6" s="1"/>
  <c r="O259" i="6" s="1"/>
  <c r="C260" i="6"/>
  <c r="G260" i="6" s="1"/>
  <c r="K260" i="6" s="1"/>
  <c r="C261" i="6"/>
  <c r="G261" i="6" s="1"/>
  <c r="K261" i="6" s="1"/>
  <c r="C262" i="6"/>
  <c r="G262" i="6" s="1"/>
  <c r="K262" i="6" s="1"/>
  <c r="O262" i="6" s="1"/>
  <c r="C263" i="6"/>
  <c r="G263" i="6" s="1"/>
  <c r="K263" i="6" s="1"/>
  <c r="C264" i="6"/>
  <c r="G264" i="6" s="1"/>
  <c r="K264" i="6" s="1"/>
  <c r="O264" i="6" s="1"/>
  <c r="C265" i="6"/>
  <c r="G265" i="6" s="1"/>
  <c r="K265" i="6" s="1"/>
  <c r="C266" i="6"/>
  <c r="G266" i="6" s="1"/>
  <c r="K266" i="6" s="1"/>
  <c r="O266" i="6" s="1"/>
  <c r="C267" i="6"/>
  <c r="G267" i="6" s="1"/>
  <c r="K267" i="6" s="1"/>
  <c r="O267" i="6" s="1"/>
  <c r="C268" i="6"/>
  <c r="G268" i="6" s="1"/>
  <c r="K268" i="6" s="1"/>
  <c r="C269" i="6"/>
  <c r="G269" i="6" s="1"/>
  <c r="K269" i="6" s="1"/>
  <c r="C270" i="6"/>
  <c r="G270" i="6" s="1"/>
  <c r="K270" i="6" s="1"/>
  <c r="O270" i="6" s="1"/>
  <c r="C271" i="6"/>
  <c r="G271" i="6" s="1"/>
  <c r="K271" i="6" s="1"/>
  <c r="C272" i="6"/>
  <c r="G272" i="6" s="1"/>
  <c r="K272" i="6" s="1"/>
  <c r="O272" i="6" s="1"/>
  <c r="C273" i="6"/>
  <c r="G273" i="6" s="1"/>
  <c r="K273" i="6" s="1"/>
  <c r="C274" i="6"/>
  <c r="G274" i="6" s="1"/>
  <c r="K274" i="6" s="1"/>
  <c r="O274" i="6" s="1"/>
  <c r="C275" i="6"/>
  <c r="G275" i="6" s="1"/>
  <c r="K275" i="6" s="1"/>
  <c r="O275" i="6" s="1"/>
  <c r="C276" i="6"/>
  <c r="G276" i="6" s="1"/>
  <c r="K276" i="6" s="1"/>
  <c r="C277" i="6"/>
  <c r="G277" i="6" s="1"/>
  <c r="K277" i="6" s="1"/>
  <c r="C278" i="6"/>
  <c r="G278" i="6" s="1"/>
  <c r="K278" i="6" s="1"/>
  <c r="O278" i="6" s="1"/>
  <c r="C279" i="6"/>
  <c r="G279" i="6" s="1"/>
  <c r="K279" i="6" s="1"/>
  <c r="C280" i="6"/>
  <c r="G280" i="6" s="1"/>
  <c r="K280" i="6" s="1"/>
  <c r="O280" i="6" s="1"/>
  <c r="C281" i="6"/>
  <c r="G281" i="6" s="1"/>
  <c r="K281" i="6" s="1"/>
  <c r="C282" i="6"/>
  <c r="G282" i="6" s="1"/>
  <c r="K282" i="6" s="1"/>
  <c r="O282" i="6" s="1"/>
  <c r="C283" i="6"/>
  <c r="G283" i="6" s="1"/>
  <c r="K283" i="6" s="1"/>
  <c r="O283" i="6" s="1"/>
  <c r="C284" i="6"/>
  <c r="G284" i="6" s="1"/>
  <c r="K284" i="6" s="1"/>
  <c r="C285" i="6"/>
  <c r="G285" i="6" s="1"/>
  <c r="K285" i="6" s="1"/>
  <c r="C286" i="6"/>
  <c r="G286" i="6" s="1"/>
  <c r="K286" i="6" s="1"/>
  <c r="O286" i="6" s="1"/>
  <c r="C287" i="6"/>
  <c r="G287" i="6" s="1"/>
  <c r="K287" i="6" s="1"/>
  <c r="C288" i="6"/>
  <c r="G288" i="6" s="1"/>
  <c r="K288" i="6" s="1"/>
  <c r="O288" i="6" s="1"/>
  <c r="C289" i="6"/>
  <c r="G289" i="6" s="1"/>
  <c r="K289" i="6" s="1"/>
  <c r="C290" i="6"/>
  <c r="G290" i="6" s="1"/>
  <c r="K290" i="6" s="1"/>
  <c r="O290" i="6" s="1"/>
  <c r="C291" i="6"/>
  <c r="G291" i="6" s="1"/>
  <c r="K291" i="6" s="1"/>
  <c r="O291" i="6" s="1"/>
  <c r="C292" i="6"/>
  <c r="G292" i="6" s="1"/>
  <c r="K292" i="6" s="1"/>
  <c r="C293" i="6"/>
  <c r="G293" i="6" s="1"/>
  <c r="K293" i="6" s="1"/>
  <c r="C294" i="6"/>
  <c r="G294" i="6" s="1"/>
  <c r="K294" i="6" s="1"/>
  <c r="O294" i="6" s="1"/>
  <c r="C295" i="6"/>
  <c r="G295" i="6" s="1"/>
  <c r="K295" i="6" s="1"/>
  <c r="C296" i="6"/>
  <c r="G296" i="6" s="1"/>
  <c r="K296" i="6" s="1"/>
  <c r="O296" i="6" s="1"/>
  <c r="C297" i="6"/>
  <c r="G297" i="6" s="1"/>
  <c r="K297" i="6" s="1"/>
  <c r="C298" i="6"/>
  <c r="G298" i="6" s="1"/>
  <c r="K298" i="6" s="1"/>
  <c r="O298" i="6" s="1"/>
  <c r="C299" i="6"/>
  <c r="G299" i="6" s="1"/>
  <c r="K299" i="6" s="1"/>
  <c r="O299" i="6" s="1"/>
  <c r="C300" i="6"/>
  <c r="G300" i="6" s="1"/>
  <c r="K300" i="6" s="1"/>
  <c r="C301" i="6"/>
  <c r="G301" i="6" s="1"/>
  <c r="K301" i="6" s="1"/>
  <c r="C302" i="6"/>
  <c r="G302" i="6" s="1"/>
  <c r="K302" i="6" s="1"/>
  <c r="O302" i="6" s="1"/>
  <c r="C303" i="6"/>
  <c r="G303" i="6" s="1"/>
  <c r="K303" i="6" s="1"/>
  <c r="C304" i="6"/>
  <c r="G304" i="6" s="1"/>
  <c r="K304" i="6" s="1"/>
  <c r="O304" i="6" s="1"/>
  <c r="C305" i="6"/>
  <c r="G305" i="6" s="1"/>
  <c r="K305" i="6" s="1"/>
  <c r="C306" i="6"/>
  <c r="G306" i="6" s="1"/>
  <c r="K306" i="6" s="1"/>
  <c r="O306" i="6" s="1"/>
  <c r="C307" i="6"/>
  <c r="G307" i="6" s="1"/>
  <c r="K307" i="6" s="1"/>
  <c r="O307" i="6" s="1"/>
  <c r="C308" i="6"/>
  <c r="G308" i="6" s="1"/>
  <c r="K308" i="6" s="1"/>
  <c r="C309" i="6"/>
  <c r="G309" i="6" s="1"/>
  <c r="K309" i="6" s="1"/>
  <c r="C310" i="6"/>
  <c r="G310" i="6" s="1"/>
  <c r="K310" i="6" s="1"/>
  <c r="O310" i="6" s="1"/>
  <c r="C311" i="6"/>
  <c r="G311" i="6" s="1"/>
  <c r="K311" i="6" s="1"/>
  <c r="C312" i="6"/>
  <c r="G312" i="6" s="1"/>
  <c r="K312" i="6" s="1"/>
  <c r="O312" i="6" s="1"/>
  <c r="C313" i="6"/>
  <c r="G313" i="6" s="1"/>
  <c r="K313" i="6" s="1"/>
  <c r="C314" i="6"/>
  <c r="G314" i="6" s="1"/>
  <c r="K314" i="6" s="1"/>
  <c r="O314" i="6" s="1"/>
  <c r="C315" i="6"/>
  <c r="G315" i="6" s="1"/>
  <c r="K315" i="6" s="1"/>
  <c r="O315" i="6" s="1"/>
  <c r="C316" i="6"/>
  <c r="G316" i="6" s="1"/>
  <c r="K316" i="6" s="1"/>
  <c r="C317" i="6"/>
  <c r="G317" i="6" s="1"/>
  <c r="K317" i="6" s="1"/>
  <c r="C318" i="6"/>
  <c r="G318" i="6" s="1"/>
  <c r="K318" i="6" s="1"/>
  <c r="O318" i="6" s="1"/>
  <c r="C319" i="6"/>
  <c r="G319" i="6" s="1"/>
  <c r="K319" i="6" s="1"/>
  <c r="C320" i="6"/>
  <c r="G320" i="6" s="1"/>
  <c r="K320" i="6" s="1"/>
  <c r="O320" i="6" s="1"/>
  <c r="C321" i="6"/>
  <c r="G321" i="6" s="1"/>
  <c r="K321" i="6" s="1"/>
  <c r="C322" i="6"/>
  <c r="G322" i="6" s="1"/>
  <c r="K322" i="6" s="1"/>
  <c r="O322" i="6" s="1"/>
  <c r="C323" i="6"/>
  <c r="G323" i="6" s="1"/>
  <c r="K323" i="6" s="1"/>
  <c r="C324" i="6"/>
  <c r="G324" i="6" s="1"/>
  <c r="K324" i="6" s="1"/>
  <c r="C325" i="6"/>
  <c r="G325" i="6" s="1"/>
  <c r="K325" i="6" s="1"/>
  <c r="C326" i="6"/>
  <c r="G326" i="6" s="1"/>
  <c r="K326" i="6" s="1"/>
  <c r="O326" i="6" s="1"/>
  <c r="C327" i="6"/>
  <c r="G327" i="6" s="1"/>
  <c r="K327" i="6" s="1"/>
  <c r="C328" i="6"/>
  <c r="G328" i="6" s="1"/>
  <c r="K328" i="6" s="1"/>
  <c r="O328" i="6" s="1"/>
  <c r="C329" i="6"/>
  <c r="G329" i="6" s="1"/>
  <c r="K329" i="6" s="1"/>
  <c r="C330" i="6"/>
  <c r="G330" i="6" s="1"/>
  <c r="K330" i="6" s="1"/>
  <c r="O330" i="6" s="1"/>
  <c r="C331" i="6"/>
  <c r="G331" i="6" s="1"/>
  <c r="K331" i="6" s="1"/>
  <c r="O331" i="6" s="1"/>
  <c r="C332" i="6"/>
  <c r="G332" i="6" s="1"/>
  <c r="K332" i="6" s="1"/>
  <c r="C333" i="6"/>
  <c r="G333" i="6" s="1"/>
  <c r="K333" i="6" s="1"/>
  <c r="C334" i="6"/>
  <c r="G334" i="6" s="1"/>
  <c r="K334" i="6" s="1"/>
  <c r="O334" i="6" s="1"/>
  <c r="C335" i="6"/>
  <c r="G335" i="6" s="1"/>
  <c r="K335" i="6" s="1"/>
  <c r="C336" i="6"/>
  <c r="G336" i="6" s="1"/>
  <c r="K336" i="6" s="1"/>
  <c r="O336" i="6" s="1"/>
  <c r="C337" i="6"/>
  <c r="G337" i="6" s="1"/>
  <c r="K337" i="6" s="1"/>
  <c r="C338" i="6"/>
  <c r="G338" i="6" s="1"/>
  <c r="K338" i="6" s="1"/>
  <c r="O338" i="6" s="1"/>
  <c r="C339" i="6"/>
  <c r="G339" i="6" s="1"/>
  <c r="K339" i="6" s="1"/>
  <c r="O339" i="6" s="1"/>
  <c r="C340" i="6"/>
  <c r="G340" i="6" s="1"/>
  <c r="K340" i="6" s="1"/>
  <c r="O340" i="6" s="1"/>
  <c r="C341" i="6"/>
  <c r="G341" i="6" s="1"/>
  <c r="K341" i="6" s="1"/>
  <c r="C342" i="6"/>
  <c r="G342" i="6" s="1"/>
  <c r="K342" i="6" s="1"/>
  <c r="O342" i="6" s="1"/>
  <c r="C343" i="6"/>
  <c r="G343" i="6" s="1"/>
  <c r="K343" i="6" s="1"/>
  <c r="C344" i="6"/>
  <c r="G344" i="6" s="1"/>
  <c r="K344" i="6" s="1"/>
  <c r="O344" i="6" s="1"/>
  <c r="C345" i="6"/>
  <c r="G345" i="6" s="1"/>
  <c r="K345" i="6" s="1"/>
  <c r="C346" i="6"/>
  <c r="G346" i="6" s="1"/>
  <c r="K346" i="6" s="1"/>
  <c r="O346" i="6" s="1"/>
  <c r="C347" i="6"/>
  <c r="G347" i="6" s="1"/>
  <c r="K347" i="6" s="1"/>
  <c r="O347" i="6" s="1"/>
  <c r="C348" i="6"/>
  <c r="G348" i="6" s="1"/>
  <c r="K348" i="6" s="1"/>
  <c r="O348" i="6" s="1"/>
  <c r="C349" i="6"/>
  <c r="G349" i="6" s="1"/>
  <c r="K349" i="6" s="1"/>
  <c r="C350" i="6"/>
  <c r="G350" i="6" s="1"/>
  <c r="K350" i="6" s="1"/>
  <c r="O350" i="6" s="1"/>
  <c r="C351" i="6"/>
  <c r="G351" i="6" s="1"/>
  <c r="K351" i="6" s="1"/>
  <c r="C352" i="6"/>
  <c r="G352" i="6" s="1"/>
  <c r="K352" i="6" s="1"/>
  <c r="O352" i="6" s="1"/>
  <c r="C353" i="6"/>
  <c r="G353" i="6" s="1"/>
  <c r="K353" i="6" s="1"/>
  <c r="C354" i="6"/>
  <c r="G354" i="6" s="1"/>
  <c r="K354" i="6" s="1"/>
  <c r="O354" i="6" s="1"/>
  <c r="C355" i="6"/>
  <c r="G355" i="6" s="1"/>
  <c r="K355" i="6" s="1"/>
  <c r="O355" i="6" s="1"/>
  <c r="C356" i="6"/>
  <c r="G356" i="6" s="1"/>
  <c r="K356" i="6" s="1"/>
  <c r="O356" i="6" s="1"/>
  <c r="C357" i="6"/>
  <c r="G357" i="6" s="1"/>
  <c r="K357" i="6" s="1"/>
  <c r="C358" i="6"/>
  <c r="G358" i="6" s="1"/>
  <c r="K358" i="6" s="1"/>
  <c r="O358" i="6" s="1"/>
  <c r="C359" i="6"/>
  <c r="G359" i="6" s="1"/>
  <c r="K359" i="6" s="1"/>
  <c r="C360" i="6"/>
  <c r="G360" i="6" s="1"/>
  <c r="K360" i="6" s="1"/>
  <c r="O360" i="6" s="1"/>
  <c r="C361" i="6"/>
  <c r="G361" i="6" s="1"/>
  <c r="K361" i="6" s="1"/>
  <c r="C362" i="6"/>
  <c r="G362" i="6" s="1"/>
  <c r="K362" i="6" s="1"/>
  <c r="O362" i="6" s="1"/>
  <c r="C363" i="6"/>
  <c r="G363" i="6" s="1"/>
  <c r="K363" i="6" s="1"/>
  <c r="O363" i="6" s="1"/>
  <c r="C3" i="6"/>
  <c r="G3" i="6" s="1"/>
  <c r="K3" i="6" s="1"/>
  <c r="B5" i="6"/>
  <c r="F5" i="6" s="1"/>
  <c r="J5" i="6" s="1"/>
  <c r="B6" i="6"/>
  <c r="F6" i="6" s="1"/>
  <c r="J6" i="6" s="1"/>
  <c r="B7" i="6"/>
  <c r="F7" i="6" s="1"/>
  <c r="J7" i="6" s="1"/>
  <c r="B8" i="6"/>
  <c r="F8" i="6" s="1"/>
  <c r="J8" i="6" s="1"/>
  <c r="N8" i="6" s="1"/>
  <c r="B9" i="6"/>
  <c r="F9" i="6" s="1"/>
  <c r="J9" i="6" s="1"/>
  <c r="B10" i="6"/>
  <c r="F10" i="6" s="1"/>
  <c r="J10" i="6" s="1"/>
  <c r="N10" i="6" s="1"/>
  <c r="B11" i="6"/>
  <c r="F11" i="6" s="1"/>
  <c r="J11" i="6" s="1"/>
  <c r="B12" i="6"/>
  <c r="F12" i="6" s="1"/>
  <c r="J12" i="6" s="1"/>
  <c r="N12" i="6" s="1"/>
  <c r="B13" i="6"/>
  <c r="F13" i="6" s="1"/>
  <c r="J13" i="6" s="1"/>
  <c r="B14" i="6"/>
  <c r="F14" i="6" s="1"/>
  <c r="J14" i="6" s="1"/>
  <c r="B15" i="6"/>
  <c r="F15" i="6" s="1"/>
  <c r="J15" i="6" s="1"/>
  <c r="B16" i="6"/>
  <c r="F16" i="6" s="1"/>
  <c r="J16" i="6" s="1"/>
  <c r="N16" i="6" s="1"/>
  <c r="B17" i="6"/>
  <c r="F17" i="6" s="1"/>
  <c r="J17" i="6" s="1"/>
  <c r="B18" i="6"/>
  <c r="F18" i="6" s="1"/>
  <c r="J18" i="6" s="1"/>
  <c r="N18" i="6" s="1"/>
  <c r="B19" i="6"/>
  <c r="F19" i="6" s="1"/>
  <c r="J19" i="6" s="1"/>
  <c r="B20" i="6"/>
  <c r="F20" i="6" s="1"/>
  <c r="J20" i="6" s="1"/>
  <c r="N20" i="6" s="1"/>
  <c r="B21" i="6"/>
  <c r="F21" i="6" s="1"/>
  <c r="J21" i="6" s="1"/>
  <c r="B22" i="6"/>
  <c r="F22" i="6" s="1"/>
  <c r="J22" i="6" s="1"/>
  <c r="B23" i="6"/>
  <c r="F23" i="6" s="1"/>
  <c r="J23" i="6" s="1"/>
  <c r="B24" i="6"/>
  <c r="F24" i="6" s="1"/>
  <c r="J24" i="6" s="1"/>
  <c r="N24" i="6" s="1"/>
  <c r="B25" i="6"/>
  <c r="F25" i="6" s="1"/>
  <c r="J25" i="6" s="1"/>
  <c r="B26" i="6"/>
  <c r="F26" i="6" s="1"/>
  <c r="J26" i="6" s="1"/>
  <c r="N26" i="6" s="1"/>
  <c r="B27" i="6"/>
  <c r="F27" i="6" s="1"/>
  <c r="J27" i="6" s="1"/>
  <c r="B28" i="6"/>
  <c r="F28" i="6" s="1"/>
  <c r="J28" i="6" s="1"/>
  <c r="N28" i="6" s="1"/>
  <c r="B29" i="6"/>
  <c r="F29" i="6" s="1"/>
  <c r="J29" i="6" s="1"/>
  <c r="B30" i="6"/>
  <c r="F30" i="6" s="1"/>
  <c r="J30" i="6" s="1"/>
  <c r="B31" i="6"/>
  <c r="F31" i="6" s="1"/>
  <c r="J31" i="6" s="1"/>
  <c r="B32" i="6"/>
  <c r="F32" i="6" s="1"/>
  <c r="J32" i="6" s="1"/>
  <c r="N32" i="6" s="1"/>
  <c r="B33" i="6"/>
  <c r="F33" i="6" s="1"/>
  <c r="J33" i="6" s="1"/>
  <c r="B34" i="6"/>
  <c r="F34" i="6" s="1"/>
  <c r="J34" i="6" s="1"/>
  <c r="N34" i="6" s="1"/>
  <c r="B35" i="6"/>
  <c r="F35" i="6" s="1"/>
  <c r="J35" i="6" s="1"/>
  <c r="B36" i="6"/>
  <c r="F36" i="6" s="1"/>
  <c r="J36" i="6" s="1"/>
  <c r="N36" i="6" s="1"/>
  <c r="B37" i="6"/>
  <c r="F37" i="6" s="1"/>
  <c r="J37" i="6" s="1"/>
  <c r="B38" i="6"/>
  <c r="F38" i="6" s="1"/>
  <c r="J38" i="6" s="1"/>
  <c r="B39" i="6"/>
  <c r="F39" i="6" s="1"/>
  <c r="J39" i="6" s="1"/>
  <c r="B40" i="6"/>
  <c r="F40" i="6" s="1"/>
  <c r="J40" i="6" s="1"/>
  <c r="N40" i="6" s="1"/>
  <c r="B41" i="6"/>
  <c r="F41" i="6" s="1"/>
  <c r="J41" i="6" s="1"/>
  <c r="B42" i="6"/>
  <c r="F42" i="6" s="1"/>
  <c r="J42" i="6" s="1"/>
  <c r="N42" i="6" s="1"/>
  <c r="B43" i="6"/>
  <c r="F43" i="6" s="1"/>
  <c r="J43" i="6" s="1"/>
  <c r="B44" i="6"/>
  <c r="F44" i="6" s="1"/>
  <c r="J44" i="6" s="1"/>
  <c r="N44" i="6" s="1"/>
  <c r="B45" i="6"/>
  <c r="F45" i="6" s="1"/>
  <c r="J45" i="6" s="1"/>
  <c r="B46" i="6"/>
  <c r="F46" i="6" s="1"/>
  <c r="J46" i="6" s="1"/>
  <c r="B47" i="6"/>
  <c r="F47" i="6" s="1"/>
  <c r="J47" i="6" s="1"/>
  <c r="B48" i="6"/>
  <c r="F48" i="6" s="1"/>
  <c r="J48" i="6" s="1"/>
  <c r="N48" i="6" s="1"/>
  <c r="B49" i="6"/>
  <c r="F49" i="6" s="1"/>
  <c r="J49" i="6" s="1"/>
  <c r="B50" i="6"/>
  <c r="F50" i="6" s="1"/>
  <c r="J50" i="6" s="1"/>
  <c r="N50" i="6" s="1"/>
  <c r="B51" i="6"/>
  <c r="F51" i="6" s="1"/>
  <c r="J51" i="6" s="1"/>
  <c r="B52" i="6"/>
  <c r="F52" i="6" s="1"/>
  <c r="J52" i="6" s="1"/>
  <c r="N52" i="6" s="1"/>
  <c r="B53" i="6"/>
  <c r="F53" i="6" s="1"/>
  <c r="J53" i="6" s="1"/>
  <c r="B54" i="6"/>
  <c r="F54" i="6" s="1"/>
  <c r="J54" i="6" s="1"/>
  <c r="B55" i="6"/>
  <c r="F55" i="6" s="1"/>
  <c r="J55" i="6" s="1"/>
  <c r="B56" i="6"/>
  <c r="F56" i="6" s="1"/>
  <c r="J56" i="6" s="1"/>
  <c r="B57" i="6"/>
  <c r="F57" i="6" s="1"/>
  <c r="J57" i="6" s="1"/>
  <c r="B58" i="6"/>
  <c r="F58" i="6" s="1"/>
  <c r="J58" i="6" s="1"/>
  <c r="N58" i="6" s="1"/>
  <c r="B59" i="6"/>
  <c r="F59" i="6" s="1"/>
  <c r="J59" i="6" s="1"/>
  <c r="B60" i="6"/>
  <c r="F60" i="6" s="1"/>
  <c r="J60" i="6" s="1"/>
  <c r="N60" i="6" s="1"/>
  <c r="B61" i="6"/>
  <c r="F61" i="6" s="1"/>
  <c r="J61" i="6" s="1"/>
  <c r="B62" i="6"/>
  <c r="F62" i="6" s="1"/>
  <c r="J62" i="6" s="1"/>
  <c r="B63" i="6"/>
  <c r="F63" i="6" s="1"/>
  <c r="J63" i="6" s="1"/>
  <c r="B64" i="6"/>
  <c r="F64" i="6" s="1"/>
  <c r="J64" i="6" s="1"/>
  <c r="B65" i="6"/>
  <c r="F65" i="6" s="1"/>
  <c r="J65" i="6" s="1"/>
  <c r="B66" i="6"/>
  <c r="F66" i="6" s="1"/>
  <c r="J66" i="6" s="1"/>
  <c r="B67" i="6"/>
  <c r="F67" i="6" s="1"/>
  <c r="J67" i="6" s="1"/>
  <c r="B68" i="6"/>
  <c r="F68" i="6" s="1"/>
  <c r="J68" i="6" s="1"/>
  <c r="N68" i="6" s="1"/>
  <c r="B69" i="6"/>
  <c r="F69" i="6" s="1"/>
  <c r="J69" i="6" s="1"/>
  <c r="B70" i="6"/>
  <c r="F70" i="6" s="1"/>
  <c r="J70" i="6" s="1"/>
  <c r="B71" i="6"/>
  <c r="F71" i="6" s="1"/>
  <c r="J71" i="6" s="1"/>
  <c r="B72" i="6"/>
  <c r="F72" i="6" s="1"/>
  <c r="J72" i="6" s="1"/>
  <c r="B73" i="6"/>
  <c r="F73" i="6" s="1"/>
  <c r="J73" i="6" s="1"/>
  <c r="B74" i="6"/>
  <c r="F74" i="6" s="1"/>
  <c r="J74" i="6" s="1"/>
  <c r="N74" i="6" s="1"/>
  <c r="B75" i="6"/>
  <c r="F75" i="6" s="1"/>
  <c r="J75" i="6" s="1"/>
  <c r="B76" i="6"/>
  <c r="F76" i="6" s="1"/>
  <c r="J76" i="6" s="1"/>
  <c r="N76" i="6" s="1"/>
  <c r="B77" i="6"/>
  <c r="F77" i="6" s="1"/>
  <c r="J77" i="6" s="1"/>
  <c r="B78" i="6"/>
  <c r="F78" i="6" s="1"/>
  <c r="J78" i="6" s="1"/>
  <c r="B79" i="6"/>
  <c r="F79" i="6" s="1"/>
  <c r="J79" i="6" s="1"/>
  <c r="B80" i="6"/>
  <c r="F80" i="6" s="1"/>
  <c r="J80" i="6" s="1"/>
  <c r="B81" i="6"/>
  <c r="F81" i="6" s="1"/>
  <c r="J81" i="6" s="1"/>
  <c r="B82" i="6"/>
  <c r="F82" i="6" s="1"/>
  <c r="J82" i="6" s="1"/>
  <c r="N82" i="6" s="1"/>
  <c r="B83" i="6"/>
  <c r="F83" i="6" s="1"/>
  <c r="J83" i="6" s="1"/>
  <c r="B84" i="6"/>
  <c r="F84" i="6" s="1"/>
  <c r="J84" i="6" s="1"/>
  <c r="N84" i="6" s="1"/>
  <c r="B85" i="6"/>
  <c r="F85" i="6" s="1"/>
  <c r="J85" i="6" s="1"/>
  <c r="B86" i="6"/>
  <c r="F86" i="6" s="1"/>
  <c r="J86" i="6" s="1"/>
  <c r="B87" i="6"/>
  <c r="F87" i="6" s="1"/>
  <c r="J87" i="6" s="1"/>
  <c r="B88" i="6"/>
  <c r="F88" i="6" s="1"/>
  <c r="J88" i="6" s="1"/>
  <c r="B89" i="6"/>
  <c r="F89" i="6" s="1"/>
  <c r="J89" i="6" s="1"/>
  <c r="B90" i="6"/>
  <c r="F90" i="6" s="1"/>
  <c r="J90" i="6" s="1"/>
  <c r="N90" i="6" s="1"/>
  <c r="B91" i="6"/>
  <c r="F91" i="6" s="1"/>
  <c r="J91" i="6" s="1"/>
  <c r="B92" i="6"/>
  <c r="F92" i="6" s="1"/>
  <c r="J92" i="6" s="1"/>
  <c r="N92" i="6" s="1"/>
  <c r="B93" i="6"/>
  <c r="F93" i="6" s="1"/>
  <c r="J93" i="6" s="1"/>
  <c r="B94" i="6"/>
  <c r="F94" i="6" s="1"/>
  <c r="J94" i="6" s="1"/>
  <c r="B95" i="6"/>
  <c r="F95" i="6" s="1"/>
  <c r="J95" i="6" s="1"/>
  <c r="B96" i="6"/>
  <c r="F96" i="6" s="1"/>
  <c r="J96" i="6" s="1"/>
  <c r="B97" i="6"/>
  <c r="F97" i="6" s="1"/>
  <c r="J97" i="6" s="1"/>
  <c r="B98" i="6"/>
  <c r="F98" i="6" s="1"/>
  <c r="J98" i="6" s="1"/>
  <c r="N98" i="6" s="1"/>
  <c r="B99" i="6"/>
  <c r="F99" i="6" s="1"/>
  <c r="J99" i="6" s="1"/>
  <c r="B100" i="6"/>
  <c r="F100" i="6" s="1"/>
  <c r="J100" i="6" s="1"/>
  <c r="N100" i="6" s="1"/>
  <c r="B101" i="6"/>
  <c r="F101" i="6" s="1"/>
  <c r="J101" i="6" s="1"/>
  <c r="B102" i="6"/>
  <c r="F102" i="6" s="1"/>
  <c r="J102" i="6" s="1"/>
  <c r="B103" i="6"/>
  <c r="F103" i="6" s="1"/>
  <c r="J103" i="6" s="1"/>
  <c r="B104" i="6"/>
  <c r="F104" i="6" s="1"/>
  <c r="J104" i="6" s="1"/>
  <c r="B105" i="6"/>
  <c r="F105" i="6" s="1"/>
  <c r="J105" i="6" s="1"/>
  <c r="B106" i="6"/>
  <c r="F106" i="6" s="1"/>
  <c r="J106" i="6" s="1"/>
  <c r="N106" i="6" s="1"/>
  <c r="B107" i="6"/>
  <c r="F107" i="6" s="1"/>
  <c r="J107" i="6" s="1"/>
  <c r="B108" i="6"/>
  <c r="F108" i="6" s="1"/>
  <c r="J108" i="6" s="1"/>
  <c r="N108" i="6" s="1"/>
  <c r="B109" i="6"/>
  <c r="F109" i="6" s="1"/>
  <c r="J109" i="6" s="1"/>
  <c r="B110" i="6"/>
  <c r="F110" i="6" s="1"/>
  <c r="J110" i="6" s="1"/>
  <c r="B111" i="6"/>
  <c r="F111" i="6" s="1"/>
  <c r="J111" i="6" s="1"/>
  <c r="B112" i="6"/>
  <c r="F112" i="6" s="1"/>
  <c r="J112" i="6" s="1"/>
  <c r="B113" i="6"/>
  <c r="F113" i="6" s="1"/>
  <c r="J113" i="6" s="1"/>
  <c r="B114" i="6"/>
  <c r="F114" i="6" s="1"/>
  <c r="J114" i="6" s="1"/>
  <c r="N114" i="6" s="1"/>
  <c r="B115" i="6"/>
  <c r="F115" i="6" s="1"/>
  <c r="J115" i="6" s="1"/>
  <c r="B116" i="6"/>
  <c r="F116" i="6" s="1"/>
  <c r="J116" i="6" s="1"/>
  <c r="N116" i="6" s="1"/>
  <c r="B117" i="6"/>
  <c r="F117" i="6" s="1"/>
  <c r="J117" i="6" s="1"/>
  <c r="B118" i="6"/>
  <c r="F118" i="6" s="1"/>
  <c r="J118" i="6" s="1"/>
  <c r="B119" i="6"/>
  <c r="F119" i="6" s="1"/>
  <c r="J119" i="6" s="1"/>
  <c r="B120" i="6"/>
  <c r="F120" i="6" s="1"/>
  <c r="J120" i="6" s="1"/>
  <c r="B121" i="6"/>
  <c r="F121" i="6" s="1"/>
  <c r="J121" i="6" s="1"/>
  <c r="B122" i="6"/>
  <c r="F122" i="6" s="1"/>
  <c r="J122" i="6" s="1"/>
  <c r="N122" i="6" s="1"/>
  <c r="B123" i="6"/>
  <c r="F123" i="6" s="1"/>
  <c r="J123" i="6" s="1"/>
  <c r="B124" i="6"/>
  <c r="F124" i="6" s="1"/>
  <c r="J124" i="6" s="1"/>
  <c r="N124" i="6" s="1"/>
  <c r="B125" i="6"/>
  <c r="F125" i="6" s="1"/>
  <c r="J125" i="6" s="1"/>
  <c r="B126" i="6"/>
  <c r="F126" i="6" s="1"/>
  <c r="J126" i="6" s="1"/>
  <c r="B127" i="6"/>
  <c r="F127" i="6" s="1"/>
  <c r="J127" i="6" s="1"/>
  <c r="B128" i="6"/>
  <c r="F128" i="6" s="1"/>
  <c r="J128" i="6" s="1"/>
  <c r="B129" i="6"/>
  <c r="F129" i="6" s="1"/>
  <c r="J129" i="6" s="1"/>
  <c r="B130" i="6"/>
  <c r="F130" i="6" s="1"/>
  <c r="J130" i="6" s="1"/>
  <c r="N130" i="6" s="1"/>
  <c r="B131" i="6"/>
  <c r="F131" i="6" s="1"/>
  <c r="J131" i="6" s="1"/>
  <c r="B132" i="6"/>
  <c r="F132" i="6" s="1"/>
  <c r="J132" i="6" s="1"/>
  <c r="N132" i="6" s="1"/>
  <c r="B133" i="6"/>
  <c r="F133" i="6" s="1"/>
  <c r="J133" i="6" s="1"/>
  <c r="B134" i="6"/>
  <c r="F134" i="6" s="1"/>
  <c r="J134" i="6" s="1"/>
  <c r="B135" i="6"/>
  <c r="F135" i="6" s="1"/>
  <c r="J135" i="6" s="1"/>
  <c r="B136" i="6"/>
  <c r="F136" i="6" s="1"/>
  <c r="J136" i="6" s="1"/>
  <c r="B137" i="6"/>
  <c r="F137" i="6" s="1"/>
  <c r="J137" i="6" s="1"/>
  <c r="B138" i="6"/>
  <c r="F138" i="6" s="1"/>
  <c r="J138" i="6" s="1"/>
  <c r="N138" i="6" s="1"/>
  <c r="B139" i="6"/>
  <c r="F139" i="6" s="1"/>
  <c r="J139" i="6" s="1"/>
  <c r="B140" i="6"/>
  <c r="F140" i="6" s="1"/>
  <c r="J140" i="6" s="1"/>
  <c r="N140" i="6" s="1"/>
  <c r="B141" i="6"/>
  <c r="F141" i="6" s="1"/>
  <c r="J141" i="6" s="1"/>
  <c r="B142" i="6"/>
  <c r="F142" i="6" s="1"/>
  <c r="J142" i="6" s="1"/>
  <c r="B143" i="6"/>
  <c r="F143" i="6" s="1"/>
  <c r="J143" i="6" s="1"/>
  <c r="B144" i="6"/>
  <c r="F144" i="6" s="1"/>
  <c r="J144" i="6" s="1"/>
  <c r="B145" i="6"/>
  <c r="F145" i="6" s="1"/>
  <c r="B146" i="6"/>
  <c r="F146" i="6" s="1"/>
  <c r="J146" i="6" s="1"/>
  <c r="B147" i="6"/>
  <c r="F147" i="6" s="1"/>
  <c r="J147" i="6" s="1"/>
  <c r="B148" i="6"/>
  <c r="F148" i="6" s="1"/>
  <c r="J148" i="6" s="1"/>
  <c r="N148" i="6" s="1"/>
  <c r="B149" i="6"/>
  <c r="F149" i="6" s="1"/>
  <c r="J149" i="6" s="1"/>
  <c r="B150" i="6"/>
  <c r="F150" i="6" s="1"/>
  <c r="J150" i="6" s="1"/>
  <c r="B151" i="6"/>
  <c r="F151" i="6" s="1"/>
  <c r="J151" i="6" s="1"/>
  <c r="B152" i="6"/>
  <c r="F152" i="6" s="1"/>
  <c r="J152" i="6" s="1"/>
  <c r="B153" i="6"/>
  <c r="F153" i="6" s="1"/>
  <c r="J153" i="6" s="1"/>
  <c r="B154" i="6"/>
  <c r="F154" i="6" s="1"/>
  <c r="J154" i="6" s="1"/>
  <c r="N154" i="6" s="1"/>
  <c r="B155" i="6"/>
  <c r="F155" i="6" s="1"/>
  <c r="J155" i="6" s="1"/>
  <c r="B156" i="6"/>
  <c r="F156" i="6" s="1"/>
  <c r="J156" i="6" s="1"/>
  <c r="N156" i="6" s="1"/>
  <c r="B157" i="6"/>
  <c r="F157" i="6" s="1"/>
  <c r="J157" i="6" s="1"/>
  <c r="B158" i="6"/>
  <c r="F158" i="6" s="1"/>
  <c r="J158" i="6" s="1"/>
  <c r="B159" i="6"/>
  <c r="F159" i="6" s="1"/>
  <c r="J159" i="6" s="1"/>
  <c r="B160" i="6"/>
  <c r="F160" i="6" s="1"/>
  <c r="J160" i="6" s="1"/>
  <c r="B161" i="6"/>
  <c r="F161" i="6" s="1"/>
  <c r="J161" i="6" s="1"/>
  <c r="B162" i="6"/>
  <c r="F162" i="6" s="1"/>
  <c r="J162" i="6" s="1"/>
  <c r="N162" i="6" s="1"/>
  <c r="B163" i="6"/>
  <c r="F163" i="6" s="1"/>
  <c r="J163" i="6" s="1"/>
  <c r="B164" i="6"/>
  <c r="F164" i="6" s="1"/>
  <c r="J164" i="6" s="1"/>
  <c r="N164" i="6" s="1"/>
  <c r="B165" i="6"/>
  <c r="F165" i="6" s="1"/>
  <c r="J165" i="6" s="1"/>
  <c r="B166" i="6"/>
  <c r="F166" i="6" s="1"/>
  <c r="J166" i="6" s="1"/>
  <c r="B167" i="6"/>
  <c r="F167" i="6" s="1"/>
  <c r="J167" i="6" s="1"/>
  <c r="B168" i="6"/>
  <c r="F168" i="6" s="1"/>
  <c r="J168" i="6" s="1"/>
  <c r="B169" i="6"/>
  <c r="F169" i="6" s="1"/>
  <c r="J169" i="6" s="1"/>
  <c r="B170" i="6"/>
  <c r="F170" i="6" s="1"/>
  <c r="J170" i="6" s="1"/>
  <c r="N170" i="6" s="1"/>
  <c r="B171" i="6"/>
  <c r="F171" i="6" s="1"/>
  <c r="J171" i="6" s="1"/>
  <c r="B172" i="6"/>
  <c r="F172" i="6" s="1"/>
  <c r="J172" i="6" s="1"/>
  <c r="N172" i="6" s="1"/>
  <c r="B173" i="6"/>
  <c r="F173" i="6" s="1"/>
  <c r="J173" i="6" s="1"/>
  <c r="B174" i="6"/>
  <c r="F174" i="6" s="1"/>
  <c r="J174" i="6" s="1"/>
  <c r="B175" i="6"/>
  <c r="F175" i="6" s="1"/>
  <c r="J175" i="6" s="1"/>
  <c r="B176" i="6"/>
  <c r="F176" i="6" s="1"/>
  <c r="J176" i="6" s="1"/>
  <c r="B177" i="6"/>
  <c r="F177" i="6" s="1"/>
  <c r="J177" i="6" s="1"/>
  <c r="B178" i="6"/>
  <c r="F178" i="6" s="1"/>
  <c r="J178" i="6" s="1"/>
  <c r="N178" i="6" s="1"/>
  <c r="B179" i="6"/>
  <c r="F179" i="6" s="1"/>
  <c r="J179" i="6" s="1"/>
  <c r="B180" i="6"/>
  <c r="F180" i="6" s="1"/>
  <c r="J180" i="6" s="1"/>
  <c r="N180" i="6" s="1"/>
  <c r="B181" i="6"/>
  <c r="F181" i="6" s="1"/>
  <c r="J181" i="6" s="1"/>
  <c r="B182" i="6"/>
  <c r="F182" i="6" s="1"/>
  <c r="J182" i="6" s="1"/>
  <c r="B183" i="6"/>
  <c r="F183" i="6" s="1"/>
  <c r="J183" i="6" s="1"/>
  <c r="B184" i="6"/>
  <c r="F184" i="6" s="1"/>
  <c r="J184" i="6" s="1"/>
  <c r="B185" i="6"/>
  <c r="F185" i="6" s="1"/>
  <c r="J185" i="6" s="1"/>
  <c r="B186" i="6"/>
  <c r="F186" i="6" s="1"/>
  <c r="J186" i="6" s="1"/>
  <c r="N186" i="6" s="1"/>
  <c r="B187" i="6"/>
  <c r="F187" i="6" s="1"/>
  <c r="J187" i="6" s="1"/>
  <c r="N187" i="6" s="1"/>
  <c r="B188" i="6"/>
  <c r="F188" i="6" s="1"/>
  <c r="J188" i="6" s="1"/>
  <c r="N188" i="6" s="1"/>
  <c r="B189" i="6"/>
  <c r="F189" i="6" s="1"/>
  <c r="J189" i="6" s="1"/>
  <c r="B190" i="6"/>
  <c r="F190" i="6" s="1"/>
  <c r="J190" i="6" s="1"/>
  <c r="B191" i="6"/>
  <c r="F191" i="6" s="1"/>
  <c r="J191" i="6" s="1"/>
  <c r="B192" i="6"/>
  <c r="F192" i="6" s="1"/>
  <c r="J192" i="6" s="1"/>
  <c r="B193" i="6"/>
  <c r="F193" i="6" s="1"/>
  <c r="J193" i="6" s="1"/>
  <c r="B194" i="6"/>
  <c r="F194" i="6" s="1"/>
  <c r="J194" i="6" s="1"/>
  <c r="N194" i="6" s="1"/>
  <c r="B195" i="6"/>
  <c r="F195" i="6" s="1"/>
  <c r="J195" i="6" s="1"/>
  <c r="N195" i="6" s="1"/>
  <c r="B196" i="6"/>
  <c r="F196" i="6" s="1"/>
  <c r="J196" i="6" s="1"/>
  <c r="N196" i="6" s="1"/>
  <c r="B197" i="6"/>
  <c r="F197" i="6" s="1"/>
  <c r="J197" i="6" s="1"/>
  <c r="B198" i="6"/>
  <c r="F198" i="6" s="1"/>
  <c r="J198" i="6" s="1"/>
  <c r="B199" i="6"/>
  <c r="F199" i="6" s="1"/>
  <c r="J199" i="6" s="1"/>
  <c r="B200" i="6"/>
  <c r="F200" i="6" s="1"/>
  <c r="J200" i="6" s="1"/>
  <c r="B201" i="6"/>
  <c r="F201" i="6" s="1"/>
  <c r="J201" i="6" s="1"/>
  <c r="B202" i="6"/>
  <c r="F202" i="6" s="1"/>
  <c r="J202" i="6" s="1"/>
  <c r="N202" i="6" s="1"/>
  <c r="B203" i="6"/>
  <c r="F203" i="6" s="1"/>
  <c r="J203" i="6" s="1"/>
  <c r="N203" i="6" s="1"/>
  <c r="B204" i="6"/>
  <c r="F204" i="6" s="1"/>
  <c r="J204" i="6" s="1"/>
  <c r="N204" i="6" s="1"/>
  <c r="B205" i="6"/>
  <c r="F205" i="6" s="1"/>
  <c r="J205" i="6" s="1"/>
  <c r="B206" i="6"/>
  <c r="F206" i="6" s="1"/>
  <c r="J206" i="6" s="1"/>
  <c r="B207" i="6"/>
  <c r="F207" i="6" s="1"/>
  <c r="J207" i="6" s="1"/>
  <c r="B208" i="6"/>
  <c r="F208" i="6" s="1"/>
  <c r="J208" i="6" s="1"/>
  <c r="B209" i="6"/>
  <c r="F209" i="6" s="1"/>
  <c r="J209" i="6" s="1"/>
  <c r="B210" i="6"/>
  <c r="F210" i="6" s="1"/>
  <c r="J210" i="6" s="1"/>
  <c r="N210" i="6" s="1"/>
  <c r="B211" i="6"/>
  <c r="F211" i="6" s="1"/>
  <c r="J211" i="6" s="1"/>
  <c r="N211" i="6" s="1"/>
  <c r="B212" i="6"/>
  <c r="F212" i="6" s="1"/>
  <c r="J212" i="6" s="1"/>
  <c r="N212" i="6" s="1"/>
  <c r="B213" i="6"/>
  <c r="F213" i="6" s="1"/>
  <c r="J213" i="6" s="1"/>
  <c r="B214" i="6"/>
  <c r="F214" i="6" s="1"/>
  <c r="J214" i="6" s="1"/>
  <c r="B215" i="6"/>
  <c r="F215" i="6" s="1"/>
  <c r="J215" i="6" s="1"/>
  <c r="B216" i="6"/>
  <c r="F216" i="6" s="1"/>
  <c r="J216" i="6" s="1"/>
  <c r="B217" i="6"/>
  <c r="F217" i="6" s="1"/>
  <c r="J217" i="6" s="1"/>
  <c r="B218" i="6"/>
  <c r="F218" i="6" s="1"/>
  <c r="J218" i="6" s="1"/>
  <c r="B219" i="6"/>
  <c r="F219" i="6" s="1"/>
  <c r="J219" i="6" s="1"/>
  <c r="N219" i="6" s="1"/>
  <c r="B220" i="6"/>
  <c r="F220" i="6" s="1"/>
  <c r="J220" i="6" s="1"/>
  <c r="N220" i="6" s="1"/>
  <c r="B221" i="6"/>
  <c r="F221" i="6" s="1"/>
  <c r="J221" i="6" s="1"/>
  <c r="B222" i="6"/>
  <c r="F222" i="6" s="1"/>
  <c r="J222" i="6" s="1"/>
  <c r="B223" i="6"/>
  <c r="F223" i="6" s="1"/>
  <c r="J223" i="6" s="1"/>
  <c r="B224" i="6"/>
  <c r="F224" i="6" s="1"/>
  <c r="J224" i="6" s="1"/>
  <c r="B225" i="6"/>
  <c r="F225" i="6" s="1"/>
  <c r="J225" i="6" s="1"/>
  <c r="B226" i="6"/>
  <c r="F226" i="6" s="1"/>
  <c r="J226" i="6" s="1"/>
  <c r="N226" i="6" s="1"/>
  <c r="B227" i="6"/>
  <c r="F227" i="6" s="1"/>
  <c r="J227" i="6" s="1"/>
  <c r="N227" i="6" s="1"/>
  <c r="B228" i="6"/>
  <c r="F228" i="6" s="1"/>
  <c r="J228" i="6" s="1"/>
  <c r="N228" i="6" s="1"/>
  <c r="B229" i="6"/>
  <c r="F229" i="6" s="1"/>
  <c r="J229" i="6" s="1"/>
  <c r="B230" i="6"/>
  <c r="F230" i="6" s="1"/>
  <c r="J230" i="6" s="1"/>
  <c r="B231" i="6"/>
  <c r="F231" i="6" s="1"/>
  <c r="J231" i="6" s="1"/>
  <c r="B232" i="6"/>
  <c r="F232" i="6" s="1"/>
  <c r="J232" i="6" s="1"/>
  <c r="B233" i="6"/>
  <c r="F233" i="6" s="1"/>
  <c r="J233" i="6" s="1"/>
  <c r="B234" i="6"/>
  <c r="F234" i="6" s="1"/>
  <c r="J234" i="6" s="1"/>
  <c r="N234" i="6" s="1"/>
  <c r="B235" i="6"/>
  <c r="F235" i="6" s="1"/>
  <c r="J235" i="6" s="1"/>
  <c r="N235" i="6" s="1"/>
  <c r="B236" i="6"/>
  <c r="F236" i="6" s="1"/>
  <c r="J236" i="6" s="1"/>
  <c r="N236" i="6" s="1"/>
  <c r="B237" i="6"/>
  <c r="F237" i="6" s="1"/>
  <c r="J237" i="6" s="1"/>
  <c r="B238" i="6"/>
  <c r="F238" i="6" s="1"/>
  <c r="J238" i="6" s="1"/>
  <c r="B239" i="6"/>
  <c r="F239" i="6" s="1"/>
  <c r="J239" i="6" s="1"/>
  <c r="B240" i="6"/>
  <c r="F240" i="6" s="1"/>
  <c r="J240" i="6" s="1"/>
  <c r="B241" i="6"/>
  <c r="F241" i="6" s="1"/>
  <c r="J241" i="6" s="1"/>
  <c r="B242" i="6"/>
  <c r="F242" i="6" s="1"/>
  <c r="J242" i="6" s="1"/>
  <c r="N242" i="6" s="1"/>
  <c r="B243" i="6"/>
  <c r="F243" i="6" s="1"/>
  <c r="J243" i="6" s="1"/>
  <c r="N243" i="6" s="1"/>
  <c r="B244" i="6"/>
  <c r="F244" i="6" s="1"/>
  <c r="J244" i="6" s="1"/>
  <c r="N244" i="6" s="1"/>
  <c r="B245" i="6"/>
  <c r="F245" i="6" s="1"/>
  <c r="J245" i="6" s="1"/>
  <c r="B246" i="6"/>
  <c r="F246" i="6" s="1"/>
  <c r="J246" i="6" s="1"/>
  <c r="B247" i="6"/>
  <c r="F247" i="6" s="1"/>
  <c r="J247" i="6" s="1"/>
  <c r="B248" i="6"/>
  <c r="F248" i="6" s="1"/>
  <c r="J248" i="6" s="1"/>
  <c r="B249" i="6"/>
  <c r="F249" i="6" s="1"/>
  <c r="J249" i="6" s="1"/>
  <c r="B250" i="6"/>
  <c r="F250" i="6" s="1"/>
  <c r="J250" i="6" s="1"/>
  <c r="N250" i="6" s="1"/>
  <c r="B251" i="6"/>
  <c r="F251" i="6" s="1"/>
  <c r="J251" i="6" s="1"/>
  <c r="N251" i="6" s="1"/>
  <c r="B252" i="6"/>
  <c r="F252" i="6" s="1"/>
  <c r="J252" i="6" s="1"/>
  <c r="N252" i="6" s="1"/>
  <c r="B253" i="6"/>
  <c r="F253" i="6" s="1"/>
  <c r="J253" i="6" s="1"/>
  <c r="B254" i="6"/>
  <c r="F254" i="6" s="1"/>
  <c r="J254" i="6" s="1"/>
  <c r="B255" i="6"/>
  <c r="F255" i="6" s="1"/>
  <c r="J255" i="6" s="1"/>
  <c r="B256" i="6"/>
  <c r="F256" i="6" s="1"/>
  <c r="J256" i="6" s="1"/>
  <c r="B257" i="6"/>
  <c r="F257" i="6" s="1"/>
  <c r="J257" i="6" s="1"/>
  <c r="B258" i="6"/>
  <c r="F258" i="6" s="1"/>
  <c r="J258" i="6" s="1"/>
  <c r="N258" i="6" s="1"/>
  <c r="B259" i="6"/>
  <c r="F259" i="6" s="1"/>
  <c r="J259" i="6" s="1"/>
  <c r="N259" i="6" s="1"/>
  <c r="B260" i="6"/>
  <c r="F260" i="6" s="1"/>
  <c r="J260" i="6" s="1"/>
  <c r="N260" i="6" s="1"/>
  <c r="B261" i="6"/>
  <c r="F261" i="6" s="1"/>
  <c r="J261" i="6" s="1"/>
  <c r="B262" i="6"/>
  <c r="F262" i="6" s="1"/>
  <c r="J262" i="6" s="1"/>
  <c r="B263" i="6"/>
  <c r="F263" i="6" s="1"/>
  <c r="J263" i="6" s="1"/>
  <c r="B264" i="6"/>
  <c r="F264" i="6" s="1"/>
  <c r="J264" i="6" s="1"/>
  <c r="B265" i="6"/>
  <c r="F265" i="6" s="1"/>
  <c r="J265" i="6" s="1"/>
  <c r="B266" i="6"/>
  <c r="F266" i="6" s="1"/>
  <c r="J266" i="6" s="1"/>
  <c r="N266" i="6" s="1"/>
  <c r="B267" i="6"/>
  <c r="F267" i="6" s="1"/>
  <c r="J267" i="6" s="1"/>
  <c r="N267" i="6" s="1"/>
  <c r="B268" i="6"/>
  <c r="F268" i="6" s="1"/>
  <c r="J268" i="6" s="1"/>
  <c r="N268" i="6" s="1"/>
  <c r="B269" i="6"/>
  <c r="F269" i="6" s="1"/>
  <c r="J269" i="6" s="1"/>
  <c r="B270" i="6"/>
  <c r="F270" i="6" s="1"/>
  <c r="J270" i="6" s="1"/>
  <c r="B271" i="6"/>
  <c r="F271" i="6" s="1"/>
  <c r="J271" i="6" s="1"/>
  <c r="B272" i="6"/>
  <c r="F272" i="6" s="1"/>
  <c r="J272" i="6" s="1"/>
  <c r="B273" i="6"/>
  <c r="F273" i="6" s="1"/>
  <c r="J273" i="6" s="1"/>
  <c r="B274" i="6"/>
  <c r="F274" i="6" s="1"/>
  <c r="J274" i="6" s="1"/>
  <c r="N274" i="6" s="1"/>
  <c r="B275" i="6"/>
  <c r="F275" i="6" s="1"/>
  <c r="J275" i="6" s="1"/>
  <c r="N275" i="6" s="1"/>
  <c r="B276" i="6"/>
  <c r="F276" i="6" s="1"/>
  <c r="J276" i="6" s="1"/>
  <c r="N276" i="6" s="1"/>
  <c r="B277" i="6"/>
  <c r="F277" i="6" s="1"/>
  <c r="J277" i="6" s="1"/>
  <c r="B278" i="6"/>
  <c r="F278" i="6" s="1"/>
  <c r="J278" i="6" s="1"/>
  <c r="B279" i="6"/>
  <c r="F279" i="6" s="1"/>
  <c r="J279" i="6" s="1"/>
  <c r="B280" i="6"/>
  <c r="F280" i="6" s="1"/>
  <c r="J280" i="6" s="1"/>
  <c r="B281" i="6"/>
  <c r="F281" i="6" s="1"/>
  <c r="J281" i="6" s="1"/>
  <c r="B282" i="6"/>
  <c r="F282" i="6" s="1"/>
  <c r="J282" i="6" s="1"/>
  <c r="N282" i="6" s="1"/>
  <c r="B283" i="6"/>
  <c r="F283" i="6" s="1"/>
  <c r="J283" i="6" s="1"/>
  <c r="N283" i="6" s="1"/>
  <c r="B284" i="6"/>
  <c r="F284" i="6" s="1"/>
  <c r="J284" i="6" s="1"/>
  <c r="N284" i="6" s="1"/>
  <c r="B285" i="6"/>
  <c r="F285" i="6" s="1"/>
  <c r="J285" i="6" s="1"/>
  <c r="B286" i="6"/>
  <c r="F286" i="6" s="1"/>
  <c r="J286" i="6" s="1"/>
  <c r="B287" i="6"/>
  <c r="F287" i="6" s="1"/>
  <c r="J287" i="6" s="1"/>
  <c r="B288" i="6"/>
  <c r="F288" i="6" s="1"/>
  <c r="J288" i="6" s="1"/>
  <c r="B289" i="6"/>
  <c r="F289" i="6" s="1"/>
  <c r="J289" i="6" s="1"/>
  <c r="B290" i="6"/>
  <c r="F290" i="6" s="1"/>
  <c r="J290" i="6" s="1"/>
  <c r="B291" i="6"/>
  <c r="F291" i="6" s="1"/>
  <c r="J291" i="6" s="1"/>
  <c r="N291" i="6" s="1"/>
  <c r="B292" i="6"/>
  <c r="F292" i="6" s="1"/>
  <c r="J292" i="6" s="1"/>
  <c r="N292" i="6" s="1"/>
  <c r="B293" i="6"/>
  <c r="F293" i="6" s="1"/>
  <c r="J293" i="6" s="1"/>
  <c r="B294" i="6"/>
  <c r="F294" i="6" s="1"/>
  <c r="J294" i="6" s="1"/>
  <c r="B295" i="6"/>
  <c r="F295" i="6" s="1"/>
  <c r="J295" i="6" s="1"/>
  <c r="B296" i="6"/>
  <c r="F296" i="6" s="1"/>
  <c r="J296" i="6" s="1"/>
  <c r="B297" i="6"/>
  <c r="F297" i="6" s="1"/>
  <c r="J297" i="6" s="1"/>
  <c r="B298" i="6"/>
  <c r="F298" i="6" s="1"/>
  <c r="J298" i="6" s="1"/>
  <c r="N298" i="6" s="1"/>
  <c r="B299" i="6"/>
  <c r="F299" i="6" s="1"/>
  <c r="J299" i="6" s="1"/>
  <c r="N299" i="6" s="1"/>
  <c r="B300" i="6"/>
  <c r="F300" i="6" s="1"/>
  <c r="J300" i="6" s="1"/>
  <c r="N300" i="6" s="1"/>
  <c r="B301" i="6"/>
  <c r="F301" i="6" s="1"/>
  <c r="J301" i="6" s="1"/>
  <c r="B302" i="6"/>
  <c r="F302" i="6" s="1"/>
  <c r="J302" i="6" s="1"/>
  <c r="B303" i="6"/>
  <c r="F303" i="6" s="1"/>
  <c r="J303" i="6" s="1"/>
  <c r="B304" i="6"/>
  <c r="F304" i="6" s="1"/>
  <c r="J304" i="6" s="1"/>
  <c r="B305" i="6"/>
  <c r="F305" i="6" s="1"/>
  <c r="J305" i="6" s="1"/>
  <c r="B306" i="6"/>
  <c r="F306" i="6" s="1"/>
  <c r="J306" i="6" s="1"/>
  <c r="N306" i="6" s="1"/>
  <c r="B307" i="6"/>
  <c r="F307" i="6" s="1"/>
  <c r="J307" i="6" s="1"/>
  <c r="N307" i="6" s="1"/>
  <c r="B308" i="6"/>
  <c r="F308" i="6" s="1"/>
  <c r="J308" i="6" s="1"/>
  <c r="N308" i="6" s="1"/>
  <c r="B309" i="6"/>
  <c r="F309" i="6" s="1"/>
  <c r="J309" i="6" s="1"/>
  <c r="B310" i="6"/>
  <c r="F310" i="6" s="1"/>
  <c r="J310" i="6" s="1"/>
  <c r="B311" i="6"/>
  <c r="F311" i="6" s="1"/>
  <c r="J311" i="6" s="1"/>
  <c r="B312" i="6"/>
  <c r="F312" i="6" s="1"/>
  <c r="J312" i="6" s="1"/>
  <c r="B313" i="6"/>
  <c r="F313" i="6" s="1"/>
  <c r="J313" i="6" s="1"/>
  <c r="B314" i="6"/>
  <c r="F314" i="6" s="1"/>
  <c r="J314" i="6" s="1"/>
  <c r="N314" i="6" s="1"/>
  <c r="B315" i="6"/>
  <c r="F315" i="6" s="1"/>
  <c r="J315" i="6" s="1"/>
  <c r="N315" i="6" s="1"/>
  <c r="B316" i="6"/>
  <c r="F316" i="6" s="1"/>
  <c r="J316" i="6" s="1"/>
  <c r="N316" i="6" s="1"/>
  <c r="B317" i="6"/>
  <c r="F317" i="6" s="1"/>
  <c r="J317" i="6" s="1"/>
  <c r="B318" i="6"/>
  <c r="F318" i="6" s="1"/>
  <c r="J318" i="6" s="1"/>
  <c r="B319" i="6"/>
  <c r="F319" i="6" s="1"/>
  <c r="J319" i="6" s="1"/>
  <c r="B320" i="6"/>
  <c r="F320" i="6" s="1"/>
  <c r="J320" i="6" s="1"/>
  <c r="B321" i="6"/>
  <c r="F321" i="6" s="1"/>
  <c r="J321" i="6" s="1"/>
  <c r="B322" i="6"/>
  <c r="F322" i="6" s="1"/>
  <c r="J322" i="6" s="1"/>
  <c r="N322" i="6" s="1"/>
  <c r="B323" i="6"/>
  <c r="F323" i="6" s="1"/>
  <c r="J323" i="6" s="1"/>
  <c r="N323" i="6" s="1"/>
  <c r="B324" i="6"/>
  <c r="F324" i="6" s="1"/>
  <c r="J324" i="6" s="1"/>
  <c r="N324" i="6" s="1"/>
  <c r="B325" i="6"/>
  <c r="F325" i="6" s="1"/>
  <c r="J325" i="6" s="1"/>
  <c r="B326" i="6"/>
  <c r="F326" i="6" s="1"/>
  <c r="J326" i="6" s="1"/>
  <c r="B327" i="6"/>
  <c r="F327" i="6" s="1"/>
  <c r="J327" i="6" s="1"/>
  <c r="B328" i="6"/>
  <c r="F328" i="6" s="1"/>
  <c r="J328" i="6" s="1"/>
  <c r="B329" i="6"/>
  <c r="F329" i="6" s="1"/>
  <c r="J329" i="6" s="1"/>
  <c r="B330" i="6"/>
  <c r="F330" i="6" s="1"/>
  <c r="J330" i="6" s="1"/>
  <c r="N330" i="6" s="1"/>
  <c r="B331" i="6"/>
  <c r="F331" i="6" s="1"/>
  <c r="J331" i="6" s="1"/>
  <c r="N331" i="6" s="1"/>
  <c r="B332" i="6"/>
  <c r="F332" i="6" s="1"/>
  <c r="J332" i="6" s="1"/>
  <c r="N332" i="6" s="1"/>
  <c r="B333" i="6"/>
  <c r="F333" i="6" s="1"/>
  <c r="J333" i="6" s="1"/>
  <c r="B334" i="6"/>
  <c r="F334" i="6" s="1"/>
  <c r="J334" i="6" s="1"/>
  <c r="B335" i="6"/>
  <c r="F335" i="6" s="1"/>
  <c r="J335" i="6" s="1"/>
  <c r="B336" i="6"/>
  <c r="F336" i="6" s="1"/>
  <c r="J336" i="6" s="1"/>
  <c r="B337" i="6"/>
  <c r="F337" i="6" s="1"/>
  <c r="J337" i="6" s="1"/>
  <c r="B338" i="6"/>
  <c r="F338" i="6" s="1"/>
  <c r="J338" i="6" s="1"/>
  <c r="N338" i="6" s="1"/>
  <c r="B339" i="6"/>
  <c r="F339" i="6" s="1"/>
  <c r="J339" i="6" s="1"/>
  <c r="N339" i="6" s="1"/>
  <c r="B340" i="6"/>
  <c r="F340" i="6" s="1"/>
  <c r="J340" i="6" s="1"/>
  <c r="N340" i="6" s="1"/>
  <c r="B341" i="6"/>
  <c r="F341" i="6" s="1"/>
  <c r="J341" i="6" s="1"/>
  <c r="B342" i="6"/>
  <c r="F342" i="6" s="1"/>
  <c r="J342" i="6" s="1"/>
  <c r="B343" i="6"/>
  <c r="F343" i="6" s="1"/>
  <c r="J343" i="6" s="1"/>
  <c r="B344" i="6"/>
  <c r="F344" i="6" s="1"/>
  <c r="J344" i="6" s="1"/>
  <c r="B345" i="6"/>
  <c r="F345" i="6" s="1"/>
  <c r="J345" i="6" s="1"/>
  <c r="B346" i="6"/>
  <c r="F346" i="6" s="1"/>
  <c r="J346" i="6" s="1"/>
  <c r="N346" i="6" s="1"/>
  <c r="B347" i="6"/>
  <c r="F347" i="6" s="1"/>
  <c r="J347" i="6" s="1"/>
  <c r="N347" i="6" s="1"/>
  <c r="B348" i="6"/>
  <c r="F348" i="6" s="1"/>
  <c r="J348" i="6" s="1"/>
  <c r="N348" i="6" s="1"/>
  <c r="B349" i="6"/>
  <c r="F349" i="6" s="1"/>
  <c r="J349" i="6" s="1"/>
  <c r="B350" i="6"/>
  <c r="F350" i="6" s="1"/>
  <c r="J350" i="6" s="1"/>
  <c r="B351" i="6"/>
  <c r="F351" i="6" s="1"/>
  <c r="J351" i="6" s="1"/>
  <c r="B352" i="6"/>
  <c r="F352" i="6" s="1"/>
  <c r="J352" i="6" s="1"/>
  <c r="B353" i="6"/>
  <c r="F353" i="6" s="1"/>
  <c r="J353" i="6" s="1"/>
  <c r="B354" i="6"/>
  <c r="F354" i="6" s="1"/>
  <c r="J354" i="6" s="1"/>
  <c r="B355" i="6"/>
  <c r="F355" i="6" s="1"/>
  <c r="J355" i="6" s="1"/>
  <c r="N355" i="6" s="1"/>
  <c r="B356" i="6"/>
  <c r="F356" i="6" s="1"/>
  <c r="J356" i="6" s="1"/>
  <c r="N356" i="6" s="1"/>
  <c r="B357" i="6"/>
  <c r="F357" i="6" s="1"/>
  <c r="J357" i="6" s="1"/>
  <c r="B358" i="6"/>
  <c r="F358" i="6" s="1"/>
  <c r="J358" i="6" s="1"/>
  <c r="B359" i="6"/>
  <c r="F359" i="6" s="1"/>
  <c r="J359" i="6" s="1"/>
  <c r="B360" i="6"/>
  <c r="F360" i="6" s="1"/>
  <c r="J360" i="6" s="1"/>
  <c r="B361" i="6"/>
  <c r="F361" i="6" s="1"/>
  <c r="J361" i="6" s="1"/>
  <c r="B362" i="6"/>
  <c r="F362" i="6" s="1"/>
  <c r="J362" i="6" s="1"/>
  <c r="N362" i="6" s="1"/>
  <c r="B363" i="6"/>
  <c r="F363" i="6" s="1"/>
  <c r="J363" i="6" s="1"/>
  <c r="N363" i="6" s="1"/>
  <c r="B4" i="6"/>
  <c r="F4" i="6" s="1"/>
  <c r="J4" i="6" s="1"/>
  <c r="N4" i="6" s="1"/>
  <c r="A362" i="5"/>
  <c r="A361" i="5"/>
  <c r="A360" i="5"/>
  <c r="A359" i="5"/>
  <c r="A358" i="5"/>
  <c r="A357" i="5"/>
  <c r="A356" i="5"/>
  <c r="A355" i="5"/>
  <c r="A354" i="5"/>
  <c r="A353" i="5"/>
  <c r="A352" i="5"/>
  <c r="A351" i="5"/>
  <c r="A350" i="5"/>
  <c r="A349" i="5"/>
  <c r="A348" i="5"/>
  <c r="A347" i="5"/>
  <c r="A346" i="5"/>
  <c r="A345" i="5"/>
  <c r="A344" i="5"/>
  <c r="A343" i="5"/>
  <c r="A342" i="5"/>
  <c r="A341" i="5"/>
  <c r="A340" i="5"/>
  <c r="A339" i="5"/>
  <c r="A338" i="5"/>
  <c r="A337" i="5"/>
  <c r="A336" i="5"/>
  <c r="A335" i="5"/>
  <c r="A334" i="5"/>
  <c r="A333" i="5"/>
  <c r="A332" i="5"/>
  <c r="A331" i="5"/>
  <c r="A330" i="5"/>
  <c r="A329" i="5"/>
  <c r="A328" i="5"/>
  <c r="A327" i="5"/>
  <c r="A326" i="5"/>
  <c r="A325" i="5"/>
  <c r="A324" i="5"/>
  <c r="A323" i="5"/>
  <c r="A322" i="5"/>
  <c r="A321" i="5"/>
  <c r="A320" i="5"/>
  <c r="A319" i="5"/>
  <c r="A318" i="5"/>
  <c r="A317" i="5"/>
  <c r="A316" i="5"/>
  <c r="A315" i="5"/>
  <c r="A314" i="5"/>
  <c r="A313" i="5"/>
  <c r="A312" i="5"/>
  <c r="A311" i="5"/>
  <c r="A310" i="5"/>
  <c r="A309" i="5"/>
  <c r="A308" i="5"/>
  <c r="A307" i="5"/>
  <c r="A306" i="5"/>
  <c r="A305" i="5"/>
  <c r="A304" i="5"/>
  <c r="A303" i="5"/>
  <c r="A302" i="5"/>
  <c r="A301" i="5"/>
  <c r="A300" i="5"/>
  <c r="A299" i="5"/>
  <c r="A298" i="5"/>
  <c r="A297" i="5"/>
  <c r="A296" i="5"/>
  <c r="A295" i="5"/>
  <c r="A294" i="5"/>
  <c r="A293" i="5"/>
  <c r="A292" i="5"/>
  <c r="A291" i="5"/>
  <c r="A290" i="5"/>
  <c r="A289" i="5"/>
  <c r="A288" i="5"/>
  <c r="A287" i="5"/>
  <c r="A286" i="5"/>
  <c r="A285" i="5"/>
  <c r="A284" i="5"/>
  <c r="A283" i="5"/>
  <c r="A282" i="5"/>
  <c r="A281" i="5"/>
  <c r="A280" i="5"/>
  <c r="A279" i="5"/>
  <c r="A278" i="5"/>
  <c r="A277" i="5"/>
  <c r="A276" i="5"/>
  <c r="A275" i="5"/>
  <c r="A274" i="5"/>
  <c r="A273" i="5"/>
  <c r="A272" i="5"/>
  <c r="A271" i="5"/>
  <c r="A270" i="5"/>
  <c r="A269" i="5"/>
  <c r="A268" i="5"/>
  <c r="A267" i="5"/>
  <c r="A266" i="5"/>
  <c r="A265" i="5"/>
  <c r="A264" i="5"/>
  <c r="A263" i="5"/>
  <c r="A262" i="5"/>
  <c r="A261" i="5"/>
  <c r="A260" i="5"/>
  <c r="A259" i="5"/>
  <c r="A258" i="5"/>
  <c r="A257" i="5"/>
  <c r="A256" i="5"/>
  <c r="A255" i="5"/>
  <c r="A254" i="5"/>
  <c r="A253" i="5"/>
  <c r="A252" i="5"/>
  <c r="A251" i="5"/>
  <c r="A250" i="5"/>
  <c r="A249" i="5"/>
  <c r="A248" i="5"/>
  <c r="A247" i="5"/>
  <c r="A246" i="5"/>
  <c r="A245" i="5"/>
  <c r="A244" i="5"/>
  <c r="A243" i="5"/>
  <c r="A242" i="5"/>
  <c r="A241" i="5"/>
  <c r="A240" i="5"/>
  <c r="A239" i="5"/>
  <c r="A238" i="5"/>
  <c r="A237" i="5"/>
  <c r="A236" i="5"/>
  <c r="A235" i="5"/>
  <c r="A234" i="5"/>
  <c r="A233" i="5"/>
  <c r="A232" i="5"/>
  <c r="A231" i="5"/>
  <c r="A230" i="5"/>
  <c r="A229" i="5"/>
  <c r="A228" i="5"/>
  <c r="A227" i="5"/>
  <c r="A226" i="5"/>
  <c r="A225" i="5"/>
  <c r="A224" i="5"/>
  <c r="A223" i="5"/>
  <c r="A222" i="5"/>
  <c r="A221" i="5"/>
  <c r="A220" i="5"/>
  <c r="A219" i="5"/>
  <c r="A218" i="5"/>
  <c r="A217" i="5"/>
  <c r="A216" i="5"/>
  <c r="A215" i="5"/>
  <c r="A214" i="5"/>
  <c r="A213" i="5"/>
  <c r="A212" i="5"/>
  <c r="A211" i="5"/>
  <c r="A210" i="5"/>
  <c r="A209" i="5"/>
  <c r="A208" i="5"/>
  <c r="A207" i="5"/>
  <c r="A206" i="5"/>
  <c r="A205" i="5"/>
  <c r="A204" i="5"/>
  <c r="A203" i="5"/>
  <c r="A202" i="5"/>
  <c r="A201" i="5"/>
  <c r="A200" i="5"/>
  <c r="A199" i="5"/>
  <c r="A198" i="5"/>
  <c r="A197" i="5"/>
  <c r="A196" i="5"/>
  <c r="A195" i="5"/>
  <c r="A194" i="5"/>
  <c r="A193" i="5"/>
  <c r="A192" i="5"/>
  <c r="A191" i="5"/>
  <c r="A190" i="5"/>
  <c r="A189" i="5"/>
  <c r="A188" i="5"/>
  <c r="A187" i="5"/>
  <c r="A186" i="5"/>
  <c r="A185" i="5"/>
  <c r="A184" i="5"/>
  <c r="A183" i="5"/>
  <c r="A182" i="5"/>
  <c r="A181" i="5"/>
  <c r="A180" i="5"/>
  <c r="A179" i="5"/>
  <c r="A178" i="5"/>
  <c r="A177" i="5"/>
  <c r="A176" i="5"/>
  <c r="A175" i="5"/>
  <c r="A174" i="5"/>
  <c r="A173" i="5"/>
  <c r="A172" i="5"/>
  <c r="A171" i="5"/>
  <c r="A170" i="5"/>
  <c r="A169" i="5"/>
  <c r="A168" i="5"/>
  <c r="A167" i="5"/>
  <c r="A166" i="5"/>
  <c r="A165" i="5"/>
  <c r="A164" i="5"/>
  <c r="A163" i="5"/>
  <c r="A162" i="5"/>
  <c r="A161" i="5"/>
  <c r="A160" i="5"/>
  <c r="A159" i="5"/>
  <c r="A158" i="5"/>
  <c r="A157" i="5"/>
  <c r="A156" i="5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4" i="5"/>
  <c r="B3" i="5"/>
  <c r="C3" i="5" s="1"/>
  <c r="A3" i="5"/>
  <c r="H361" i="9"/>
  <c r="H345" i="9"/>
  <c r="F355" i="9"/>
  <c r="F339" i="9"/>
  <c r="E348" i="9"/>
  <c r="D360" i="9"/>
  <c r="D344" i="9"/>
  <c r="D306" i="9"/>
  <c r="H273" i="9"/>
  <c r="H250" i="9"/>
  <c r="E291" i="9"/>
  <c r="F320" i="9"/>
  <c r="D291" i="9"/>
  <c r="F266" i="9"/>
  <c r="F250" i="9"/>
  <c r="E328" i="9"/>
  <c r="E272" i="9"/>
  <c r="E256" i="9"/>
  <c r="E331" i="9"/>
  <c r="D312" i="9"/>
  <c r="H233" i="9"/>
  <c r="F290" i="9"/>
  <c r="E224" i="9"/>
  <c r="E280" i="9"/>
  <c r="D258" i="9"/>
  <c r="D232" i="9"/>
  <c r="F208" i="9"/>
  <c r="D296" i="9"/>
  <c r="H241" i="9"/>
  <c r="E216" i="9"/>
  <c r="E200" i="9"/>
  <c r="H229" i="9"/>
  <c r="D235" i="9"/>
  <c r="E198" i="9"/>
  <c r="H175" i="9"/>
  <c r="H152" i="9"/>
  <c r="H231" i="9"/>
  <c r="D182" i="9"/>
  <c r="H161" i="9"/>
  <c r="H168" i="9"/>
  <c r="D216" i="9"/>
  <c r="D187" i="9"/>
  <c r="E155" i="9"/>
  <c r="E139" i="9"/>
  <c r="E123" i="9"/>
  <c r="H189" i="9"/>
  <c r="F162" i="9"/>
  <c r="D145" i="9"/>
  <c r="D129" i="9"/>
  <c r="D113" i="9"/>
  <c r="H223" i="9"/>
  <c r="E162" i="9"/>
  <c r="H207" i="9"/>
  <c r="H166" i="9"/>
  <c r="F143" i="9"/>
  <c r="E111" i="9"/>
  <c r="D56" i="9"/>
  <c r="D211" i="9"/>
  <c r="D89" i="9"/>
  <c r="H69" i="9"/>
  <c r="F43" i="9"/>
  <c r="F27" i="9"/>
  <c r="F194" i="9"/>
  <c r="H110" i="9"/>
  <c r="H78" i="9"/>
  <c r="E51" i="9"/>
  <c r="E27" i="9"/>
  <c r="D99" i="9"/>
  <c r="D43" i="9"/>
  <c r="F131" i="9"/>
  <c r="H104" i="9"/>
  <c r="H72" i="9"/>
  <c r="H32" i="9"/>
  <c r="H134" i="9"/>
  <c r="E103" i="9"/>
  <c r="H82" i="9"/>
  <c r="H58" i="9"/>
  <c r="E39" i="9"/>
  <c r="H18" i="9"/>
  <c r="E3" i="9"/>
  <c r="F97" i="9"/>
  <c r="F65" i="9"/>
  <c r="F33" i="9"/>
  <c r="D10" i="9"/>
  <c r="F71" i="9"/>
  <c r="E17" i="9"/>
  <c r="H10" i="9"/>
  <c r="D203" i="9"/>
  <c r="E46" i="9"/>
  <c r="E86" i="9"/>
  <c r="H5" i="5"/>
  <c r="H77" i="5"/>
  <c r="H141" i="5"/>
  <c r="H221" i="5"/>
  <c r="H285" i="5"/>
  <c r="H349" i="5"/>
  <c r="H54" i="5"/>
  <c r="H118" i="5"/>
  <c r="H55" i="5"/>
  <c r="H231" i="5"/>
  <c r="H295" i="5"/>
  <c r="H359" i="5"/>
  <c r="H72" i="5"/>
  <c r="H136" i="5"/>
  <c r="H33" i="5"/>
  <c r="H185" i="5"/>
  <c r="H249" i="5"/>
  <c r="H313" i="5"/>
  <c r="H10" i="5"/>
  <c r="H74" i="5"/>
  <c r="H138" i="5"/>
  <c r="H202" i="5"/>
  <c r="H266" i="5"/>
  <c r="H338" i="5"/>
  <c r="F22" i="5"/>
  <c r="F94" i="5"/>
  <c r="F174" i="5"/>
  <c r="F238" i="5"/>
  <c r="F302" i="5"/>
  <c r="F7" i="5"/>
  <c r="F71" i="5"/>
  <c r="F135" i="5"/>
  <c r="F192" i="5"/>
  <c r="F256" i="5"/>
  <c r="F320" i="5"/>
  <c r="F25" i="5"/>
  <c r="F97" i="5"/>
  <c r="H359" i="9"/>
  <c r="H343" i="9"/>
  <c r="F354" i="9"/>
  <c r="F338" i="9"/>
  <c r="E347" i="9"/>
  <c r="D356" i="9"/>
  <c r="D340" i="9"/>
  <c r="F299" i="9"/>
  <c r="H271" i="9"/>
  <c r="H249" i="9"/>
  <c r="D290" i="9"/>
  <c r="D314" i="9"/>
  <c r="H287" i="9"/>
  <c r="F264" i="9"/>
  <c r="F248" i="9"/>
  <c r="E320" i="9"/>
  <c r="E270" i="9"/>
  <c r="E254" i="9"/>
  <c r="H329" i="9"/>
  <c r="H306" i="9"/>
  <c r="F232" i="9"/>
  <c r="F288" i="9"/>
  <c r="H218" i="9"/>
  <c r="E278" i="9"/>
  <c r="D256" i="9"/>
  <c r="F226" i="9"/>
  <c r="F206" i="9"/>
  <c r="D294" i="9"/>
  <c r="D240" i="9"/>
  <c r="E214" i="9"/>
  <c r="H327" i="9"/>
  <c r="E227" i="9"/>
  <c r="D227" i="9"/>
  <c r="E194" i="9"/>
  <c r="E174" i="9"/>
  <c r="H150" i="9"/>
  <c r="E222" i="9"/>
  <c r="F179" i="9"/>
  <c r="H290" i="9"/>
  <c r="E167" i="9"/>
  <c r="D214" i="9"/>
  <c r="F184" i="9"/>
  <c r="E154" i="9"/>
  <c r="E137" i="9"/>
  <c r="D334" i="9"/>
  <c r="H185" i="9"/>
  <c r="E161" i="9"/>
  <c r="D143" i="9"/>
  <c r="D127" i="9"/>
  <c r="D111" i="9"/>
  <c r="D200" i="9"/>
  <c r="D161" i="9"/>
  <c r="H205" i="9"/>
  <c r="E163" i="9"/>
  <c r="F139" i="9"/>
  <c r="E105" i="9"/>
  <c r="E49" i="9"/>
  <c r="F106" i="9"/>
  <c r="H85" i="9"/>
  <c r="F67" i="9"/>
  <c r="E42" i="9"/>
  <c r="E26" i="9"/>
  <c r="F178" i="9"/>
  <c r="E106" i="9"/>
  <c r="E75" i="9"/>
  <c r="H46" i="9"/>
  <c r="D26" i="9"/>
  <c r="D91" i="9"/>
  <c r="D35" i="9"/>
  <c r="F129" i="9"/>
  <c r="F102" i="9"/>
  <c r="F70" i="9"/>
  <c r="F30" i="9"/>
  <c r="H130" i="9"/>
  <c r="D102" i="9"/>
  <c r="E79" i="9"/>
  <c r="F56" i="9"/>
  <c r="D38" i="9"/>
  <c r="E15" i="9"/>
  <c r="F119" i="9"/>
  <c r="D95" i="9"/>
  <c r="D63" i="9"/>
  <c r="D31" i="9"/>
  <c r="D9" i="9"/>
  <c r="F39" i="9"/>
  <c r="E102" i="9"/>
  <c r="H8" i="9"/>
  <c r="F11" i="9"/>
  <c r="H41" i="9"/>
  <c r="F63" i="9"/>
  <c r="H13" i="5"/>
  <c r="H85" i="5"/>
  <c r="H165" i="5"/>
  <c r="H229" i="5"/>
  <c r="H293" i="5"/>
  <c r="H357" i="5"/>
  <c r="H62" i="5"/>
  <c r="H126" i="5"/>
  <c r="H175" i="5"/>
  <c r="H239" i="5"/>
  <c r="H303" i="5"/>
  <c r="H8" i="5"/>
  <c r="H80" i="5"/>
  <c r="H144" i="5"/>
  <c r="H41" i="5"/>
  <c r="H193" i="5"/>
  <c r="H257" i="5"/>
  <c r="H321" i="5"/>
  <c r="H18" i="5"/>
  <c r="H82" i="5"/>
  <c r="H146" i="5"/>
  <c r="H210" i="5"/>
  <c r="H274" i="5"/>
  <c r="H346" i="5"/>
  <c r="F30" i="5"/>
  <c r="F102" i="5"/>
  <c r="F182" i="5"/>
  <c r="F246" i="5"/>
  <c r="F310" i="5"/>
  <c r="F15" i="5"/>
  <c r="F79" i="5"/>
  <c r="F143" i="5"/>
  <c r="F200" i="5"/>
  <c r="F264" i="5"/>
  <c r="F328" i="5"/>
  <c r="F33" i="5"/>
  <c r="F105" i="5"/>
  <c r="H355" i="9"/>
  <c r="H339" i="9"/>
  <c r="F352" i="9"/>
  <c r="E362" i="9"/>
  <c r="E346" i="9"/>
  <c r="D355" i="9"/>
  <c r="D339" i="9"/>
  <c r="E298" i="9"/>
  <c r="H266" i="9"/>
  <c r="H247" i="9"/>
  <c r="E283" i="9"/>
  <c r="F312" i="9"/>
  <c r="D283" i="9"/>
  <c r="F262" i="9"/>
  <c r="F246" i="9"/>
  <c r="F315" i="9"/>
  <c r="E267" i="9"/>
  <c r="E251" i="9"/>
  <c r="D328" i="9"/>
  <c r="D304" i="9"/>
  <c r="D230" i="9"/>
  <c r="F282" i="9"/>
  <c r="H303" i="9"/>
  <c r="D274" i="9"/>
  <c r="D254" i="9"/>
  <c r="D224" i="9"/>
  <c r="F203" i="9"/>
  <c r="H289" i="9"/>
  <c r="F235" i="9"/>
  <c r="E211" i="9"/>
  <c r="D318" i="9"/>
  <c r="D226" i="9"/>
  <c r="D219" i="9"/>
  <c r="H191" i="9"/>
  <c r="E170" i="9"/>
  <c r="H146" i="9"/>
  <c r="D198" i="9"/>
  <c r="D178" i="9"/>
  <c r="H210" i="9"/>
  <c r="D166" i="9"/>
  <c r="D210" i="9"/>
  <c r="D179" i="9"/>
  <c r="E153" i="9"/>
  <c r="E135" i="9"/>
  <c r="F230" i="9"/>
  <c r="E184" i="9"/>
  <c r="D159" i="9"/>
  <c r="D142" i="9"/>
  <c r="D126" i="9"/>
  <c r="D110" i="9"/>
  <c r="D192" i="9"/>
  <c r="E326" i="9"/>
  <c r="H201" i="9"/>
  <c r="D162" i="9"/>
  <c r="H136" i="9"/>
  <c r="E97" i="9"/>
  <c r="F42" i="9"/>
  <c r="D105" i="9"/>
  <c r="F83" i="9"/>
  <c r="D65" i="9"/>
  <c r="D41" i="9"/>
  <c r="D25" i="9"/>
  <c r="D163" i="9"/>
  <c r="H102" i="9"/>
  <c r="D74" i="9"/>
  <c r="E43" i="9"/>
  <c r="H22" i="9"/>
  <c r="D83" i="9"/>
  <c r="D27" i="9"/>
  <c r="F127" i="9"/>
  <c r="H96" i="9"/>
  <c r="H64" i="9"/>
  <c r="H24" i="9"/>
  <c r="H128" i="9"/>
  <c r="H98" i="9"/>
  <c r="D78" i="9"/>
  <c r="E55" i="9"/>
  <c r="H34" i="9"/>
  <c r="E14" i="9"/>
  <c r="H117" i="9"/>
  <c r="F89" i="9"/>
  <c r="E56" i="9"/>
  <c r="F25" i="9"/>
  <c r="D7" i="9"/>
  <c r="E30" i="9"/>
  <c r="F79" i="9"/>
  <c r="H6" i="9"/>
  <c r="E110" i="9"/>
  <c r="F9" i="9"/>
  <c r="E54" i="9"/>
  <c r="H21" i="5"/>
  <c r="H93" i="5"/>
  <c r="H173" i="5"/>
  <c r="H237" i="5"/>
  <c r="H301" i="5"/>
  <c r="H6" i="5"/>
  <c r="H70" i="5"/>
  <c r="H134" i="5"/>
  <c r="H183" i="5"/>
  <c r="H247" i="5"/>
  <c r="H311" i="5"/>
  <c r="H16" i="5"/>
  <c r="H88" i="5"/>
  <c r="H152" i="5"/>
  <c r="H73" i="5"/>
  <c r="H201" i="5"/>
  <c r="H265" i="5"/>
  <c r="H329" i="5"/>
  <c r="H26" i="5"/>
  <c r="H90" i="5"/>
  <c r="H154" i="5"/>
  <c r="H218" i="5"/>
  <c r="H282" i="5"/>
  <c r="H354" i="5"/>
  <c r="F38" i="5"/>
  <c r="F110" i="5"/>
  <c r="F190" i="5"/>
  <c r="F254" i="5"/>
  <c r="F318" i="5"/>
  <c r="F23" i="5"/>
  <c r="F87" i="5"/>
  <c r="F151" i="5"/>
  <c r="F208" i="5"/>
  <c r="F272" i="5"/>
  <c r="F336" i="5"/>
  <c r="F41" i="5"/>
  <c r="F113" i="5"/>
  <c r="E322" i="9"/>
  <c r="H354" i="9"/>
  <c r="H338" i="9"/>
  <c r="F348" i="9"/>
  <c r="E360" i="9"/>
  <c r="E344" i="9"/>
  <c r="D354" i="9"/>
  <c r="D338" i="9"/>
  <c r="F291" i="9"/>
  <c r="H265" i="9"/>
  <c r="E330" i="9"/>
  <c r="D282" i="9"/>
  <c r="D307" i="9"/>
  <c r="H279" i="9"/>
  <c r="F259" i="9"/>
  <c r="F243" i="9"/>
  <c r="E312" i="9"/>
  <c r="E266" i="9"/>
  <c r="E250" i="9"/>
  <c r="F326" i="9"/>
  <c r="H297" i="9"/>
  <c r="H225" i="9"/>
  <c r="F280" i="9"/>
  <c r="F298" i="9"/>
  <c r="D272" i="9"/>
  <c r="D250" i="9"/>
  <c r="F218" i="9"/>
  <c r="F202" i="9"/>
  <c r="D288" i="9"/>
  <c r="E234" i="9"/>
  <c r="E210" i="9"/>
  <c r="H311" i="9"/>
  <c r="H221" i="9"/>
  <c r="H282" i="9"/>
  <c r="E190" i="9"/>
  <c r="F166" i="9"/>
  <c r="H144" i="9"/>
  <c r="F195" i="9"/>
  <c r="D174" i="9"/>
  <c r="H202" i="9"/>
  <c r="H162" i="9"/>
  <c r="D208" i="9"/>
  <c r="F176" i="9"/>
  <c r="E151" i="9"/>
  <c r="E134" i="9"/>
  <c r="D218" i="9"/>
  <c r="H181" i="9"/>
  <c r="D155" i="9"/>
  <c r="D139" i="9"/>
  <c r="D123" i="9"/>
  <c r="D275" i="9"/>
  <c r="D184" i="9"/>
  <c r="F302" i="9"/>
  <c r="H194" i="9"/>
  <c r="F190" i="9"/>
  <c r="F134" i="9"/>
  <c r="E89" i="9"/>
  <c r="E41" i="9"/>
  <c r="H101" i="9"/>
  <c r="D81" i="9"/>
  <c r="F59" i="9"/>
  <c r="H37" i="9"/>
  <c r="H21" i="9"/>
  <c r="F142" i="9"/>
  <c r="E99" i="9"/>
  <c r="H70" i="9"/>
  <c r="D42" i="9"/>
  <c r="E19" i="9"/>
  <c r="D75" i="9"/>
  <c r="E302" i="9"/>
  <c r="F123" i="9"/>
  <c r="F94" i="9"/>
  <c r="F54" i="9"/>
  <c r="F22" i="9"/>
  <c r="H126" i="9"/>
  <c r="E95" i="9"/>
  <c r="H74" i="9"/>
  <c r="D54" i="9"/>
  <c r="E31" i="9"/>
  <c r="E11" i="9"/>
  <c r="F111" i="9"/>
  <c r="D87" i="9"/>
  <c r="D55" i="9"/>
  <c r="D23" i="9"/>
  <c r="D6" i="9"/>
  <c r="H25" i="9"/>
  <c r="E70" i="9"/>
  <c r="F121" i="9"/>
  <c r="H105" i="9"/>
  <c r="F23" i="9"/>
  <c r="F31" i="9"/>
  <c r="H29" i="5"/>
  <c r="H101" i="5"/>
  <c r="H181" i="5"/>
  <c r="H245" i="5"/>
  <c r="H309" i="5"/>
  <c r="H14" i="5"/>
  <c r="H78" i="5"/>
  <c r="H142" i="5"/>
  <c r="H191" i="5"/>
  <c r="H255" i="5"/>
  <c r="H319" i="5"/>
  <c r="H24" i="5"/>
  <c r="H96" i="5"/>
  <c r="H160" i="5"/>
  <c r="H105" i="5"/>
  <c r="H209" i="5"/>
  <c r="H273" i="5"/>
  <c r="H337" i="5"/>
  <c r="H34" i="5"/>
  <c r="H98" i="5"/>
  <c r="H162" i="5"/>
  <c r="H226" i="5"/>
  <c r="H290" i="5"/>
  <c r="H362" i="5"/>
  <c r="F46" i="5"/>
  <c r="F118" i="5"/>
  <c r="F198" i="5"/>
  <c r="F262" i="5"/>
  <c r="F326" i="5"/>
  <c r="F31" i="5"/>
  <c r="F95" i="5"/>
  <c r="F159" i="5"/>
  <c r="F216" i="5"/>
  <c r="F280" i="5"/>
  <c r="F344" i="5"/>
  <c r="F49" i="5"/>
  <c r="H353" i="9"/>
  <c r="H337" i="9"/>
  <c r="F347" i="9"/>
  <c r="E356" i="9"/>
  <c r="E340" i="9"/>
  <c r="D352" i="9"/>
  <c r="F330" i="9"/>
  <c r="E290" i="9"/>
  <c r="H263" i="9"/>
  <c r="E314" i="9"/>
  <c r="F336" i="9"/>
  <c r="H305" i="9"/>
  <c r="F275" i="9"/>
  <c r="F258" i="9"/>
  <c r="F242" i="9"/>
  <c r="E304" i="9"/>
  <c r="E264" i="9"/>
  <c r="E248" i="9"/>
  <c r="H321" i="9"/>
  <c r="D331" i="9"/>
  <c r="F224" i="9"/>
  <c r="D243" i="9"/>
  <c r="E296" i="9"/>
  <c r="D270" i="9"/>
  <c r="D248" i="9"/>
  <c r="F216" i="9"/>
  <c r="H335" i="9"/>
  <c r="D286" i="9"/>
  <c r="F227" i="9"/>
  <c r="E208" i="9"/>
  <c r="E306" i="9"/>
  <c r="E219" i="9"/>
  <c r="D242" i="9"/>
  <c r="E186" i="9"/>
  <c r="H160" i="9"/>
  <c r="H142" i="9"/>
  <c r="D194" i="9"/>
  <c r="F171" i="9"/>
  <c r="E195" i="9"/>
  <c r="F159" i="9"/>
  <c r="D206" i="9"/>
  <c r="D171" i="9"/>
  <c r="E147" i="9"/>
  <c r="E131" i="9"/>
  <c r="F200" i="9"/>
  <c r="H177" i="9"/>
  <c r="D154" i="9"/>
  <c r="D137" i="9"/>
  <c r="D121" i="9"/>
  <c r="D267" i="9"/>
  <c r="D176" i="9"/>
  <c r="H239" i="9"/>
  <c r="H186" i="9"/>
  <c r="F174" i="9"/>
  <c r="F126" i="9"/>
  <c r="E81" i="9"/>
  <c r="F34" i="9"/>
  <c r="F99" i="9"/>
  <c r="H77" i="9"/>
  <c r="H53" i="9"/>
  <c r="F35" i="9"/>
  <c r="F19" i="9"/>
  <c r="H138" i="9"/>
  <c r="H94" i="9"/>
  <c r="E67" i="9"/>
  <c r="H38" i="9"/>
  <c r="D18" i="9"/>
  <c r="D67" i="9"/>
  <c r="F198" i="9"/>
  <c r="F118" i="9"/>
  <c r="H88" i="9"/>
  <c r="H48" i="9"/>
  <c r="H16" i="9"/>
  <c r="H122" i="9"/>
  <c r="D94" i="9"/>
  <c r="E71" i="9"/>
  <c r="H50" i="9"/>
  <c r="D30" i="9"/>
  <c r="E10" i="9"/>
  <c r="H109" i="9"/>
  <c r="F81" i="9"/>
  <c r="F49" i="9"/>
  <c r="F17" i="9"/>
  <c r="D3" i="9"/>
  <c r="H17" i="9"/>
  <c r="F47" i="9"/>
  <c r="D19" i="9"/>
  <c r="F87" i="9"/>
  <c r="F18" i="9"/>
  <c r="H13" i="9"/>
  <c r="H37" i="5"/>
  <c r="H109" i="5"/>
  <c r="H189" i="5"/>
  <c r="H253" i="5"/>
  <c r="H317" i="5"/>
  <c r="H22" i="5"/>
  <c r="H86" i="5"/>
  <c r="H150" i="5"/>
  <c r="H199" i="5"/>
  <c r="H263" i="5"/>
  <c r="H327" i="5"/>
  <c r="H32" i="5"/>
  <c r="H104" i="5"/>
  <c r="H168" i="5"/>
  <c r="H153" i="5"/>
  <c r="H217" i="5"/>
  <c r="H281" i="5"/>
  <c r="H345" i="5"/>
  <c r="H42" i="5"/>
  <c r="H106" i="5"/>
  <c r="H170" i="5"/>
  <c r="H234" i="5"/>
  <c r="H298" i="5"/>
  <c r="H355" i="5"/>
  <c r="F54" i="5"/>
  <c r="F126" i="5"/>
  <c r="F206" i="5"/>
  <c r="F270" i="5"/>
  <c r="F334" i="5"/>
  <c r="F39" i="5"/>
  <c r="F103" i="5"/>
  <c r="F167" i="5"/>
  <c r="F224" i="5"/>
  <c r="F288" i="5"/>
  <c r="F352" i="5"/>
  <c r="F65" i="5"/>
  <c r="H351" i="9"/>
  <c r="F362" i="9"/>
  <c r="F346" i="9"/>
  <c r="E355" i="9"/>
  <c r="E339" i="9"/>
  <c r="D348" i="9"/>
  <c r="F322" i="9"/>
  <c r="F283" i="9"/>
  <c r="H258" i="9"/>
  <c r="E307" i="9"/>
  <c r="D330" i="9"/>
  <c r="F304" i="9"/>
  <c r="F274" i="9"/>
  <c r="F256" i="9"/>
  <c r="F240" i="9"/>
  <c r="F278" i="9"/>
  <c r="E262" i="9"/>
  <c r="E246" i="9"/>
  <c r="D320" i="9"/>
  <c r="H319" i="9"/>
  <c r="D222" i="9"/>
  <c r="H234" i="9"/>
  <c r="E294" i="9"/>
  <c r="D266" i="9"/>
  <c r="D246" i="9"/>
  <c r="F214" i="9"/>
  <c r="E318" i="9"/>
  <c r="H281" i="9"/>
  <c r="E226" i="9"/>
  <c r="E206" i="9"/>
  <c r="H237" i="9"/>
  <c r="H330" i="9"/>
  <c r="F238" i="9"/>
  <c r="H183" i="9"/>
  <c r="H158" i="9"/>
  <c r="H141" i="9"/>
  <c r="D190" i="9"/>
  <c r="D170" i="9"/>
  <c r="E187" i="9"/>
  <c r="F155" i="9"/>
  <c r="D202" i="9"/>
  <c r="D167" i="9"/>
  <c r="E145" i="9"/>
  <c r="E129" i="9"/>
  <c r="H197" i="9"/>
  <c r="E176" i="9"/>
  <c r="D153" i="9"/>
  <c r="D135" i="9"/>
  <c r="D119" i="9"/>
  <c r="D259" i="9"/>
  <c r="F169" i="9"/>
  <c r="H215" i="9"/>
  <c r="H178" i="9"/>
  <c r="D169" i="9"/>
  <c r="H120" i="9"/>
  <c r="F74" i="9"/>
  <c r="E33" i="9"/>
  <c r="D97" i="9"/>
  <c r="F75" i="9"/>
  <c r="F51" i="9"/>
  <c r="E34" i="9"/>
  <c r="E18" i="9"/>
  <c r="H133" i="9"/>
  <c r="E91" i="9"/>
  <c r="H62" i="9"/>
  <c r="E35" i="9"/>
  <c r="F115" i="9"/>
  <c r="D59" i="9"/>
  <c r="F182" i="9"/>
  <c r="E115" i="9"/>
  <c r="F86" i="9"/>
  <c r="F46" i="9"/>
  <c r="F186" i="9"/>
  <c r="E121" i="9"/>
  <c r="H90" i="9"/>
  <c r="D70" i="9"/>
  <c r="E47" i="9"/>
  <c r="H26" i="9"/>
  <c r="E9" i="9"/>
  <c r="H106" i="9"/>
  <c r="D79" i="9"/>
  <c r="D47" i="9"/>
  <c r="D15" i="9"/>
  <c r="E118" i="9"/>
  <c r="F3" i="9"/>
  <c r="E38" i="9"/>
  <c r="F14" i="9"/>
  <c r="E78" i="9"/>
  <c r="F15" i="9"/>
  <c r="H9" i="9"/>
  <c r="H45" i="5"/>
  <c r="H117" i="5"/>
  <c r="H197" i="5"/>
  <c r="H261" i="5"/>
  <c r="H325" i="5"/>
  <c r="H30" i="5"/>
  <c r="H94" i="5"/>
  <c r="H158" i="5"/>
  <c r="H207" i="5"/>
  <c r="H271" i="5"/>
  <c r="H335" i="5"/>
  <c r="H40" i="5"/>
  <c r="H112" i="5"/>
  <c r="H9" i="5"/>
  <c r="H161" i="5"/>
  <c r="H225" i="5"/>
  <c r="H289" i="5"/>
  <c r="H353" i="5"/>
  <c r="H50" i="5"/>
  <c r="H114" i="5"/>
  <c r="H178" i="5"/>
  <c r="H242" i="5"/>
  <c r="H306" i="5"/>
  <c r="F348" i="5"/>
  <c r="F70" i="5"/>
  <c r="F134" i="5"/>
  <c r="F214" i="5"/>
  <c r="F278" i="5"/>
  <c r="F342" i="5"/>
  <c r="F47" i="5"/>
  <c r="F111" i="5"/>
  <c r="F56" i="5"/>
  <c r="F232" i="5"/>
  <c r="F296" i="5"/>
  <c r="F360" i="5"/>
  <c r="F73" i="5"/>
  <c r="H347" i="9"/>
  <c r="F360" i="9"/>
  <c r="F344" i="9"/>
  <c r="E354" i="9"/>
  <c r="E338" i="9"/>
  <c r="D347" i="9"/>
  <c r="F314" i="9"/>
  <c r="E282" i="9"/>
  <c r="H257" i="9"/>
  <c r="E299" i="9"/>
  <c r="F328" i="9"/>
  <c r="D299" i="9"/>
  <c r="F272" i="9"/>
  <c r="F254" i="9"/>
  <c r="E336" i="9"/>
  <c r="E275" i="9"/>
  <c r="E259" i="9"/>
  <c r="E243" i="9"/>
  <c r="E315" i="9"/>
  <c r="H298" i="9"/>
  <c r="H217" i="9"/>
  <c r="E232" i="9"/>
  <c r="E288" i="9"/>
  <c r="D264" i="9"/>
  <c r="E240" i="9"/>
  <c r="F211" i="9"/>
  <c r="D315" i="9"/>
  <c r="D280" i="9"/>
  <c r="F219" i="9"/>
  <c r="E203" i="9"/>
  <c r="E235" i="9"/>
  <c r="H314" i="9"/>
  <c r="F222" i="9"/>
  <c r="E182" i="9"/>
  <c r="H154" i="9"/>
  <c r="H245" i="9"/>
  <c r="F187" i="9"/>
  <c r="F167" i="9"/>
  <c r="E179" i="9"/>
  <c r="F154" i="9"/>
  <c r="D195" i="9"/>
  <c r="F161" i="9"/>
  <c r="E143" i="9"/>
  <c r="E127" i="9"/>
  <c r="H193" i="9"/>
  <c r="H173" i="9"/>
  <c r="D151" i="9"/>
  <c r="D134" i="9"/>
  <c r="D118" i="9"/>
  <c r="D251" i="9"/>
  <c r="H165" i="9"/>
  <c r="H213" i="9"/>
  <c r="H170" i="9"/>
  <c r="F151" i="9"/>
  <c r="E119" i="9"/>
  <c r="E73" i="9"/>
  <c r="F26" i="9"/>
  <c r="H93" i="9"/>
  <c r="E74" i="9"/>
  <c r="D49" i="9"/>
  <c r="D33" i="9"/>
  <c r="D17" i="9"/>
  <c r="H125" i="9"/>
  <c r="H86" i="9"/>
  <c r="E59" i="9"/>
  <c r="D34" i="9"/>
  <c r="F107" i="9"/>
  <c r="H55" i="9"/>
  <c r="F145" i="9"/>
  <c r="F110" i="9"/>
  <c r="H80" i="9"/>
  <c r="H40" i="9"/>
  <c r="F170" i="9"/>
  <c r="H114" i="9"/>
  <c r="E87" i="9"/>
  <c r="H66" i="9"/>
  <c r="D46" i="9"/>
  <c r="E23" i="9"/>
  <c r="E7" i="9"/>
  <c r="F105" i="9"/>
  <c r="F73" i="9"/>
  <c r="F41" i="9"/>
  <c r="D14" i="9"/>
  <c r="F103" i="9"/>
  <c r="D107" i="9"/>
  <c r="H33" i="9"/>
  <c r="F10" i="9"/>
  <c r="H73" i="9"/>
  <c r="F7" i="9"/>
  <c r="H5" i="9"/>
  <c r="H53" i="5"/>
  <c r="H125" i="5"/>
  <c r="H205" i="5"/>
  <c r="H269" i="5"/>
  <c r="H333" i="5"/>
  <c r="H38" i="5"/>
  <c r="H102" i="5"/>
  <c r="H166" i="5"/>
  <c r="H215" i="5"/>
  <c r="H279" i="5"/>
  <c r="H343" i="5"/>
  <c r="H48" i="5"/>
  <c r="H120" i="5"/>
  <c r="H17" i="5"/>
  <c r="H169" i="5"/>
  <c r="H233" i="5"/>
  <c r="H297" i="5"/>
  <c r="H361" i="5"/>
  <c r="H58" i="5"/>
  <c r="H122" i="5"/>
  <c r="H186" i="5"/>
  <c r="H250" i="5"/>
  <c r="H314" i="5"/>
  <c r="F6" i="5"/>
  <c r="F78" i="5"/>
  <c r="F142" i="5"/>
  <c r="F222" i="5"/>
  <c r="F286" i="5"/>
  <c r="F350" i="5"/>
  <c r="F55" i="5"/>
  <c r="F119" i="5"/>
  <c r="F176" i="5"/>
  <c r="F240" i="5"/>
  <c r="F304" i="5"/>
  <c r="F9" i="5"/>
  <c r="F81" i="5"/>
  <c r="H253" i="9"/>
  <c r="H261" i="9"/>
  <c r="H269" i="9"/>
  <c r="H277" i="9"/>
  <c r="H285" i="9"/>
  <c r="F310" i="9"/>
  <c r="H317" i="9"/>
  <c r="H325" i="9"/>
  <c r="H333" i="9"/>
  <c r="H362" i="9"/>
  <c r="H274" i="9"/>
  <c r="E274" i="9"/>
  <c r="D262" i="9"/>
  <c r="H242" i="9"/>
  <c r="F153" i="9"/>
  <c r="D131" i="9"/>
  <c r="E65" i="9"/>
  <c r="E83" i="9"/>
  <c r="F38" i="9"/>
  <c r="D103" i="9"/>
  <c r="F55" i="9"/>
  <c r="H46" i="5"/>
  <c r="H25" i="5"/>
  <c r="H258" i="5"/>
  <c r="F63" i="5"/>
  <c r="F129" i="5"/>
  <c r="F18" i="5"/>
  <c r="F170" i="5"/>
  <c r="F234" i="5"/>
  <c r="F298" i="5"/>
  <c r="F362" i="5"/>
  <c r="F59" i="5"/>
  <c r="F123" i="5"/>
  <c r="F187" i="5"/>
  <c r="F251" i="5"/>
  <c r="F315" i="5"/>
  <c r="E30" i="5"/>
  <c r="E102" i="5"/>
  <c r="E182" i="5"/>
  <c r="E246" i="5"/>
  <c r="E310" i="5"/>
  <c r="E15" i="5"/>
  <c r="E79" i="5"/>
  <c r="E143" i="5"/>
  <c r="E200" i="5"/>
  <c r="E264" i="5"/>
  <c r="E328" i="5"/>
  <c r="E33" i="5"/>
  <c r="E105" i="5"/>
  <c r="E169" i="5"/>
  <c r="E154" i="5"/>
  <c r="E218" i="5"/>
  <c r="E282" i="5"/>
  <c r="E346" i="5"/>
  <c r="E51" i="5"/>
  <c r="E115" i="5"/>
  <c r="E179" i="5"/>
  <c r="E243" i="5"/>
  <c r="E307" i="5"/>
  <c r="E356" i="5"/>
  <c r="D291" i="5"/>
  <c r="D46" i="5"/>
  <c r="D118" i="5"/>
  <c r="D198" i="5"/>
  <c r="D262" i="5"/>
  <c r="D326" i="5"/>
  <c r="D131" i="5"/>
  <c r="D15" i="5"/>
  <c r="D79" i="5"/>
  <c r="D143" i="5"/>
  <c r="D184" i="5"/>
  <c r="D248" i="5"/>
  <c r="D312" i="5"/>
  <c r="D219" i="5"/>
  <c r="D41" i="5"/>
  <c r="D113" i="5"/>
  <c r="D27" i="5"/>
  <c r="D339" i="5"/>
  <c r="D154" i="5"/>
  <c r="D218" i="5"/>
  <c r="D282" i="5"/>
  <c r="D346" i="5"/>
  <c r="D187" i="5"/>
  <c r="E356" i="7"/>
  <c r="E331" i="7"/>
  <c r="F348" i="7"/>
  <c r="H329" i="7"/>
  <c r="D307" i="7"/>
  <c r="D283" i="7"/>
  <c r="H259" i="7"/>
  <c r="E316" i="7"/>
  <c r="H338" i="7"/>
  <c r="H306" i="7"/>
  <c r="F275" i="7"/>
  <c r="E268" i="7"/>
  <c r="F346" i="7"/>
  <c r="F314" i="7"/>
  <c r="D276" i="7"/>
  <c r="D258" i="7"/>
  <c r="H226" i="7"/>
  <c r="F250" i="7"/>
  <c r="F219" i="7"/>
  <c r="F195" i="7"/>
  <c r="E250" i="7"/>
  <c r="E219" i="7"/>
  <c r="E195" i="7"/>
  <c r="E314" i="7"/>
  <c r="F236" i="7"/>
  <c r="D212" i="7"/>
  <c r="D194" i="7"/>
  <c r="F299" i="7"/>
  <c r="D306" i="7"/>
  <c r="H201" i="7"/>
  <c r="H147" i="7"/>
  <c r="D282" i="7"/>
  <c r="F122" i="7"/>
  <c r="H179" i="7"/>
  <c r="E114" i="7"/>
  <c r="F172" i="7"/>
  <c r="D138" i="7"/>
  <c r="H186" i="7"/>
  <c r="E116" i="7"/>
  <c r="H202" i="7"/>
  <c r="D116" i="7"/>
  <c r="D82" i="7"/>
  <c r="F74" i="7"/>
  <c r="H67" i="7"/>
  <c r="H346" i="9"/>
  <c r="H255" i="9"/>
  <c r="E258" i="9"/>
  <c r="F234" i="9"/>
  <c r="H199" i="9"/>
  <c r="F192" i="9"/>
  <c r="D115" i="9"/>
  <c r="E25" i="9"/>
  <c r="H54" i="9"/>
  <c r="F137" i="9"/>
  <c r="D71" i="9"/>
  <c r="F95" i="9"/>
  <c r="H110" i="5"/>
  <c r="H177" i="5"/>
  <c r="H330" i="5"/>
  <c r="F127" i="5"/>
  <c r="F137" i="5"/>
  <c r="F26" i="5"/>
  <c r="F178" i="5"/>
  <c r="F242" i="5"/>
  <c r="F306" i="5"/>
  <c r="F356" i="5"/>
  <c r="F67" i="5"/>
  <c r="F131" i="5"/>
  <c r="F195" i="5"/>
  <c r="F259" i="5"/>
  <c r="F331" i="5"/>
  <c r="E38" i="5"/>
  <c r="E110" i="5"/>
  <c r="E190" i="5"/>
  <c r="E254" i="5"/>
  <c r="E318" i="5"/>
  <c r="E23" i="5"/>
  <c r="E87" i="5"/>
  <c r="E151" i="5"/>
  <c r="E208" i="5"/>
  <c r="E272" i="5"/>
  <c r="E336" i="5"/>
  <c r="E41" i="5"/>
  <c r="E113" i="5"/>
  <c r="E10" i="5"/>
  <c r="E162" i="5"/>
  <c r="E226" i="5"/>
  <c r="E290" i="5"/>
  <c r="E354" i="5"/>
  <c r="E59" i="5"/>
  <c r="E123" i="5"/>
  <c r="E187" i="5"/>
  <c r="E251" i="5"/>
  <c r="E315" i="5"/>
  <c r="D51" i="5"/>
  <c r="D331" i="5"/>
  <c r="D54" i="5"/>
  <c r="D126" i="5"/>
  <c r="D206" i="5"/>
  <c r="D270" i="5"/>
  <c r="D334" i="5"/>
  <c r="D155" i="5"/>
  <c r="D23" i="5"/>
  <c r="D87" i="5"/>
  <c r="D151" i="5"/>
  <c r="D192" i="5"/>
  <c r="D256" i="5"/>
  <c r="D320" i="5"/>
  <c r="D283" i="5"/>
  <c r="D49" i="5"/>
  <c r="D121" i="5"/>
  <c r="D75" i="5"/>
  <c r="D10" i="5"/>
  <c r="D162" i="5"/>
  <c r="D226" i="5"/>
  <c r="D290" i="5"/>
  <c r="D354" i="5"/>
  <c r="D235" i="5"/>
  <c r="E355" i="7"/>
  <c r="E323" i="7"/>
  <c r="D347" i="7"/>
  <c r="F324" i="7"/>
  <c r="H305" i="7"/>
  <c r="H281" i="7"/>
  <c r="H258" i="7"/>
  <c r="E308" i="7"/>
  <c r="D332" i="7"/>
  <c r="D300" i="7"/>
  <c r="F274" i="7"/>
  <c r="E267" i="7"/>
  <c r="H339" i="7"/>
  <c r="H307" i="7"/>
  <c r="D275" i="7"/>
  <c r="D252" i="7"/>
  <c r="F355" i="7"/>
  <c r="H243" i="7"/>
  <c r="F212" i="7"/>
  <c r="F194" i="7"/>
  <c r="F243" i="7"/>
  <c r="E212" i="7"/>
  <c r="E194" i="7"/>
  <c r="F307" i="7"/>
  <c r="E235" i="7"/>
  <c r="D211" i="7"/>
  <c r="D188" i="7"/>
  <c r="F260" i="7"/>
  <c r="D314" i="7"/>
  <c r="H195" i="7"/>
  <c r="H139" i="7"/>
  <c r="D235" i="7"/>
  <c r="F114" i="7"/>
  <c r="E178" i="7"/>
  <c r="E106" i="7"/>
  <c r="D170" i="7"/>
  <c r="F132" i="7"/>
  <c r="E172" i="7"/>
  <c r="E108" i="7"/>
  <c r="D172" i="7"/>
  <c r="D108" i="7"/>
  <c r="H81" i="7"/>
  <c r="F356" i="9"/>
  <c r="D298" i="9"/>
  <c r="D336" i="9"/>
  <c r="F210" i="9"/>
  <c r="E178" i="9"/>
  <c r="E159" i="9"/>
  <c r="E230" i="9"/>
  <c r="F91" i="9"/>
  <c r="H30" i="9"/>
  <c r="E113" i="9"/>
  <c r="D39" i="9"/>
  <c r="F113" i="9"/>
  <c r="H347" i="5"/>
  <c r="H241" i="5"/>
  <c r="F14" i="5"/>
  <c r="F184" i="5"/>
  <c r="F145" i="5"/>
  <c r="F34" i="5"/>
  <c r="F186" i="5"/>
  <c r="F250" i="5"/>
  <c r="F314" i="5"/>
  <c r="F11" i="5"/>
  <c r="F75" i="5"/>
  <c r="F139" i="5"/>
  <c r="F203" i="5"/>
  <c r="F267" i="5"/>
  <c r="F339" i="5"/>
  <c r="E46" i="5"/>
  <c r="E118" i="5"/>
  <c r="E198" i="5"/>
  <c r="E262" i="5"/>
  <c r="E326" i="5"/>
  <c r="E31" i="5"/>
  <c r="E95" i="5"/>
  <c r="E159" i="5"/>
  <c r="E216" i="5"/>
  <c r="E280" i="5"/>
  <c r="E344" i="5"/>
  <c r="E49" i="5"/>
  <c r="E121" i="5"/>
  <c r="E18" i="5"/>
  <c r="E170" i="5"/>
  <c r="E234" i="5"/>
  <c r="E298" i="5"/>
  <c r="E362" i="5"/>
  <c r="E67" i="5"/>
  <c r="E131" i="5"/>
  <c r="E195" i="5"/>
  <c r="E259" i="5"/>
  <c r="E331" i="5"/>
  <c r="D83" i="5"/>
  <c r="D340" i="5"/>
  <c r="D70" i="5"/>
  <c r="D134" i="5"/>
  <c r="D214" i="5"/>
  <c r="D278" i="5"/>
  <c r="D342" i="5"/>
  <c r="D195" i="5"/>
  <c r="D31" i="5"/>
  <c r="D95" i="5"/>
  <c r="D159" i="5"/>
  <c r="D200" i="5"/>
  <c r="D264" i="5"/>
  <c r="D328" i="5"/>
  <c r="D347" i="5"/>
  <c r="D65" i="5"/>
  <c r="D129" i="5"/>
  <c r="D107" i="5"/>
  <c r="D18" i="5"/>
  <c r="D170" i="5"/>
  <c r="D234" i="5"/>
  <c r="D298" i="5"/>
  <c r="D362" i="5"/>
  <c r="D275" i="5"/>
  <c r="D362" i="7"/>
  <c r="E315" i="7"/>
  <c r="H345" i="7"/>
  <c r="D323" i="7"/>
  <c r="F300" i="7"/>
  <c r="H275" i="7"/>
  <c r="H257" i="7"/>
  <c r="E300" i="7"/>
  <c r="H330" i="7"/>
  <c r="H298" i="7"/>
  <c r="F268" i="7"/>
  <c r="E266" i="7"/>
  <c r="F338" i="7"/>
  <c r="F306" i="7"/>
  <c r="D274" i="7"/>
  <c r="H355" i="7"/>
  <c r="F347" i="7"/>
  <c r="F242" i="7"/>
  <c r="F211" i="7"/>
  <c r="F188" i="7"/>
  <c r="E242" i="7"/>
  <c r="E211" i="7"/>
  <c r="E188" i="7"/>
  <c r="E282" i="7"/>
  <c r="D234" i="7"/>
  <c r="D210" i="7"/>
  <c r="D187" i="7"/>
  <c r="F258" i="7"/>
  <c r="D243" i="7"/>
  <c r="H193" i="7"/>
  <c r="H131" i="7"/>
  <c r="F178" i="7"/>
  <c r="F106" i="7"/>
  <c r="E170" i="7"/>
  <c r="E98" i="7"/>
  <c r="F164" i="7"/>
  <c r="D130" i="7"/>
  <c r="E164" i="7"/>
  <c r="E100" i="7"/>
  <c r="D164" i="7"/>
  <c r="D100" i="7"/>
  <c r="H161" i="7"/>
  <c r="H233" i="7"/>
  <c r="D52" i="7"/>
  <c r="F340" i="9"/>
  <c r="D322" i="9"/>
  <c r="H313" i="9"/>
  <c r="F306" i="9"/>
  <c r="H153" i="9"/>
  <c r="E142" i="9"/>
  <c r="F163" i="9"/>
  <c r="D73" i="9"/>
  <c r="D106" i="9"/>
  <c r="D86" i="9"/>
  <c r="D11" i="9"/>
  <c r="H69" i="5"/>
  <c r="H223" i="5"/>
  <c r="H305" i="5"/>
  <c r="F86" i="5"/>
  <c r="F248" i="5"/>
  <c r="F153" i="5"/>
  <c r="F42" i="5"/>
  <c r="F194" i="5"/>
  <c r="F258" i="5"/>
  <c r="F322" i="5"/>
  <c r="F19" i="5"/>
  <c r="F83" i="5"/>
  <c r="F147" i="5"/>
  <c r="F211" i="5"/>
  <c r="F275" i="5"/>
  <c r="F347" i="5"/>
  <c r="E54" i="5"/>
  <c r="E126" i="5"/>
  <c r="E206" i="5"/>
  <c r="E270" i="5"/>
  <c r="E334" i="5"/>
  <c r="E39" i="5"/>
  <c r="E103" i="5"/>
  <c r="E167" i="5"/>
  <c r="E224" i="5"/>
  <c r="E288" i="5"/>
  <c r="E352" i="5"/>
  <c r="E65" i="5"/>
  <c r="E129" i="5"/>
  <c r="E26" i="5"/>
  <c r="E178" i="5"/>
  <c r="E242" i="5"/>
  <c r="E306" i="5"/>
  <c r="E11" i="5"/>
  <c r="E75" i="5"/>
  <c r="E139" i="5"/>
  <c r="E203" i="5"/>
  <c r="E267" i="5"/>
  <c r="E339" i="5"/>
  <c r="D115" i="5"/>
  <c r="D6" i="5"/>
  <c r="D78" i="5"/>
  <c r="D142" i="5"/>
  <c r="D222" i="5"/>
  <c r="D286" i="5"/>
  <c r="D350" i="5"/>
  <c r="D227" i="5"/>
  <c r="D39" i="5"/>
  <c r="D103" i="5"/>
  <c r="D167" i="5"/>
  <c r="D208" i="5"/>
  <c r="D272" i="5"/>
  <c r="D336" i="5"/>
  <c r="D348" i="5"/>
  <c r="D73" i="5"/>
  <c r="D137" i="5"/>
  <c r="D139" i="5"/>
  <c r="D26" i="5"/>
  <c r="D178" i="5"/>
  <c r="D242" i="5"/>
  <c r="D306" i="5"/>
  <c r="D11" i="5"/>
  <c r="D315" i="5"/>
  <c r="D356" i="7"/>
  <c r="E307" i="7"/>
  <c r="F340" i="7"/>
  <c r="H321" i="7"/>
  <c r="D299" i="7"/>
  <c r="H274" i="7"/>
  <c r="H361" i="7"/>
  <c r="E292" i="7"/>
  <c r="D324" i="7"/>
  <c r="D292" i="7"/>
  <c r="F267" i="7"/>
  <c r="E260" i="7"/>
  <c r="H331" i="7"/>
  <c r="H299" i="7"/>
  <c r="D268" i="7"/>
  <c r="D330" i="7"/>
  <c r="E322" i="7"/>
  <c r="H235" i="7"/>
  <c r="F210" i="7"/>
  <c r="F187" i="7"/>
  <c r="F235" i="7"/>
  <c r="E210" i="7"/>
  <c r="E187" i="7"/>
  <c r="E251" i="7"/>
  <c r="F228" i="7"/>
  <c r="D204" i="7"/>
  <c r="D186" i="7"/>
  <c r="F252" i="7"/>
  <c r="E228" i="7"/>
  <c r="H187" i="7"/>
  <c r="H123" i="7"/>
  <c r="F170" i="7"/>
  <c r="F98" i="7"/>
  <c r="E162" i="7"/>
  <c r="E90" i="7"/>
  <c r="D162" i="7"/>
  <c r="F124" i="7"/>
  <c r="E156" i="7"/>
  <c r="E92" i="7"/>
  <c r="D156" i="7"/>
  <c r="D92" i="7"/>
  <c r="H129" i="7"/>
  <c r="F76" i="7"/>
  <c r="D48" i="7"/>
  <c r="E352" i="9"/>
  <c r="H295" i="9"/>
  <c r="D238" i="9"/>
  <c r="D278" i="9"/>
  <c r="E238" i="9"/>
  <c r="E126" i="9"/>
  <c r="H209" i="9"/>
  <c r="H45" i="9"/>
  <c r="D51" i="9"/>
  <c r="E63" i="9"/>
  <c r="E94" i="9"/>
  <c r="H133" i="5"/>
  <c r="H287" i="5"/>
  <c r="H339" i="5"/>
  <c r="F166" i="5"/>
  <c r="F312" i="5"/>
  <c r="F161" i="5"/>
  <c r="F74" i="5"/>
  <c r="F202" i="5"/>
  <c r="F266" i="5"/>
  <c r="F330" i="5"/>
  <c r="F27" i="5"/>
  <c r="F91" i="5"/>
  <c r="F155" i="5"/>
  <c r="F219" i="5"/>
  <c r="F283" i="5"/>
  <c r="F355" i="5"/>
  <c r="E70" i="5"/>
  <c r="E134" i="5"/>
  <c r="E214" i="5"/>
  <c r="E278" i="5"/>
  <c r="E342" i="5"/>
  <c r="E47" i="5"/>
  <c r="E111" i="5"/>
  <c r="E56" i="5"/>
  <c r="E232" i="5"/>
  <c r="E296" i="5"/>
  <c r="E360" i="5"/>
  <c r="E73" i="5"/>
  <c r="E137" i="5"/>
  <c r="E34" i="5"/>
  <c r="E186" i="5"/>
  <c r="E250" i="5"/>
  <c r="E314" i="5"/>
  <c r="E19" i="5"/>
  <c r="E83" i="5"/>
  <c r="E147" i="5"/>
  <c r="E211" i="5"/>
  <c r="E275" i="5"/>
  <c r="E347" i="5"/>
  <c r="D147" i="5"/>
  <c r="D14" i="5"/>
  <c r="D86" i="5"/>
  <c r="D166" i="5"/>
  <c r="D230" i="5"/>
  <c r="D294" i="5"/>
  <c r="D358" i="5"/>
  <c r="D267" i="5"/>
  <c r="D47" i="5"/>
  <c r="D111" i="5"/>
  <c r="D43" i="5"/>
  <c r="D216" i="5"/>
  <c r="D280" i="5"/>
  <c r="D344" i="5"/>
  <c r="D9" i="5"/>
  <c r="D81" i="5"/>
  <c r="D145" i="5"/>
  <c r="D171" i="5"/>
  <c r="D34" i="5"/>
  <c r="D186" i="5"/>
  <c r="D250" i="5"/>
  <c r="D314" i="5"/>
  <c r="D59" i="5"/>
  <c r="D356" i="5"/>
  <c r="D355" i="7"/>
  <c r="E299" i="7"/>
  <c r="D339" i="7"/>
  <c r="F316" i="7"/>
  <c r="H297" i="7"/>
  <c r="H273" i="7"/>
  <c r="E348" i="7"/>
  <c r="E284" i="7"/>
  <c r="H322" i="7"/>
  <c r="H290" i="7"/>
  <c r="F266" i="7"/>
  <c r="E259" i="7"/>
  <c r="F330" i="7"/>
  <c r="F298" i="7"/>
  <c r="D267" i="7"/>
  <c r="D298" i="7"/>
  <c r="F315" i="7"/>
  <c r="F234" i="7"/>
  <c r="F204" i="7"/>
  <c r="F186" i="7"/>
  <c r="E234" i="7"/>
  <c r="E204" i="7"/>
  <c r="E186" i="7"/>
  <c r="D250" i="7"/>
  <c r="E227" i="7"/>
  <c r="D203" i="7"/>
  <c r="D346" i="7"/>
  <c r="D244" i="7"/>
  <c r="D180" i="7"/>
  <c r="H185" i="7"/>
  <c r="H115" i="7"/>
  <c r="F162" i="7"/>
  <c r="F90" i="7"/>
  <c r="E154" i="7"/>
  <c r="E330" i="7"/>
  <c r="F156" i="7"/>
  <c r="F323" i="7"/>
  <c r="E148" i="7"/>
  <c r="E298" i="7"/>
  <c r="D148" i="7"/>
  <c r="F84" i="7"/>
  <c r="H121" i="7"/>
  <c r="E74" i="7"/>
  <c r="D44" i="7"/>
  <c r="D362" i="9"/>
  <c r="F267" i="9"/>
  <c r="F296" i="9"/>
  <c r="E218" i="9"/>
  <c r="D186" i="9"/>
  <c r="E192" i="9"/>
  <c r="E169" i="9"/>
  <c r="H29" i="9"/>
  <c r="F135" i="9"/>
  <c r="H42" i="9"/>
  <c r="E22" i="9"/>
  <c r="H213" i="5"/>
  <c r="H351" i="5"/>
  <c r="H66" i="5"/>
  <c r="F230" i="5"/>
  <c r="F17" i="5"/>
  <c r="F169" i="5"/>
  <c r="F106" i="5"/>
  <c r="F210" i="5"/>
  <c r="F274" i="5"/>
  <c r="F338" i="5"/>
  <c r="F35" i="5"/>
  <c r="F99" i="5"/>
  <c r="F163" i="5"/>
  <c r="F227" i="5"/>
  <c r="F291" i="5"/>
  <c r="E6" i="5"/>
  <c r="E78" i="5"/>
  <c r="E142" i="5"/>
  <c r="E222" i="5"/>
  <c r="E286" i="5"/>
  <c r="E350" i="5"/>
  <c r="E55" i="5"/>
  <c r="E119" i="5"/>
  <c r="E176" i="5"/>
  <c r="E240" i="5"/>
  <c r="E304" i="5"/>
  <c r="E9" i="5"/>
  <c r="E81" i="5"/>
  <c r="E145" i="5"/>
  <c r="E42" i="5"/>
  <c r="E194" i="5"/>
  <c r="E258" i="5"/>
  <c r="E322" i="5"/>
  <c r="E27" i="5"/>
  <c r="E91" i="5"/>
  <c r="E155" i="5"/>
  <c r="E219" i="5"/>
  <c r="E283" i="5"/>
  <c r="E355" i="5"/>
  <c r="D179" i="5"/>
  <c r="D22" i="5"/>
  <c r="D94" i="5"/>
  <c r="D174" i="5"/>
  <c r="D238" i="5"/>
  <c r="D302" i="5"/>
  <c r="D35" i="5"/>
  <c r="D307" i="5"/>
  <c r="D55" i="5"/>
  <c r="D119" i="5"/>
  <c r="D243" i="5"/>
  <c r="D224" i="5"/>
  <c r="D288" i="5"/>
  <c r="D352" i="5"/>
  <c r="D17" i="5"/>
  <c r="D89" i="5"/>
  <c r="D153" i="5"/>
  <c r="D203" i="5"/>
  <c r="D42" i="5"/>
  <c r="D194" i="5"/>
  <c r="D258" i="5"/>
  <c r="D322" i="5"/>
  <c r="D99" i="5"/>
  <c r="F362" i="7"/>
  <c r="H362" i="7"/>
  <c r="E291" i="7"/>
  <c r="H337" i="7"/>
  <c r="D315" i="7"/>
  <c r="F292" i="7"/>
  <c r="H267" i="7"/>
  <c r="E340" i="7"/>
  <c r="D348" i="7"/>
  <c r="D316" i="7"/>
  <c r="D284" i="7"/>
  <c r="E276" i="7"/>
  <c r="E258" i="7"/>
  <c r="H323" i="7"/>
  <c r="H291" i="7"/>
  <c r="D266" i="7"/>
  <c r="H250" i="7"/>
  <c r="F283" i="7"/>
  <c r="H227" i="7"/>
  <c r="F203" i="7"/>
  <c r="F180" i="7"/>
  <c r="F227" i="7"/>
  <c r="E203" i="7"/>
  <c r="E180" i="7"/>
  <c r="F244" i="7"/>
  <c r="D226" i="7"/>
  <c r="D202" i="7"/>
  <c r="E338" i="7"/>
  <c r="D236" i="7"/>
  <c r="D251" i="7"/>
  <c r="H171" i="7"/>
  <c r="H107" i="7"/>
  <c r="F154" i="7"/>
  <c r="H219" i="7"/>
  <c r="E138" i="7"/>
  <c r="E244" i="7"/>
  <c r="D154" i="7"/>
  <c r="H249" i="7"/>
  <c r="E140" i="7"/>
  <c r="E236" i="7"/>
  <c r="D140" i="7"/>
  <c r="E84" i="7"/>
  <c r="D346" i="9"/>
  <c r="F251" i="9"/>
  <c r="H226" i="9"/>
  <c r="E202" i="9"/>
  <c r="E166" i="9"/>
  <c r="H169" i="9"/>
  <c r="F147" i="9"/>
  <c r="E242" i="9"/>
  <c r="E107" i="9"/>
  <c r="D22" i="9"/>
  <c r="H14" i="9"/>
  <c r="H277" i="5"/>
  <c r="H64" i="5"/>
  <c r="H130" i="5"/>
  <c r="F294" i="5"/>
  <c r="F89" i="5"/>
  <c r="F340" i="5"/>
  <c r="F154" i="5"/>
  <c r="F218" i="5"/>
  <c r="F282" i="5"/>
  <c r="F346" i="5"/>
  <c r="F43" i="5"/>
  <c r="F107" i="5"/>
  <c r="F171" i="5"/>
  <c r="F235" i="5"/>
  <c r="F299" i="5"/>
  <c r="E14" i="5"/>
  <c r="E86" i="5"/>
  <c r="E166" i="5"/>
  <c r="E230" i="5"/>
  <c r="E294" i="5"/>
  <c r="E358" i="5"/>
  <c r="E63" i="5"/>
  <c r="E127" i="5"/>
  <c r="E184" i="5"/>
  <c r="E248" i="5"/>
  <c r="E312" i="5"/>
  <c r="E17" i="5"/>
  <c r="E89" i="5"/>
  <c r="E153" i="5"/>
  <c r="E74" i="5"/>
  <c r="E202" i="5"/>
  <c r="E266" i="5"/>
  <c r="E330" i="5"/>
  <c r="E35" i="5"/>
  <c r="E99" i="5"/>
  <c r="E163" i="5"/>
  <c r="E227" i="5"/>
  <c r="E291" i="5"/>
  <c r="E340" i="5"/>
  <c r="D211" i="5"/>
  <c r="D30" i="5"/>
  <c r="D102" i="5"/>
  <c r="D182" i="5"/>
  <c r="D246" i="5"/>
  <c r="D310" i="5"/>
  <c r="D67" i="5"/>
  <c r="D355" i="5"/>
  <c r="D63" i="5"/>
  <c r="D127" i="5"/>
  <c r="D56" i="5"/>
  <c r="D232" i="5"/>
  <c r="D296" i="5"/>
  <c r="D360" i="5"/>
  <c r="D25" i="5"/>
  <c r="D97" i="5"/>
  <c r="D161" i="5"/>
  <c r="D251" i="5"/>
  <c r="D74" i="5"/>
  <c r="D202" i="5"/>
  <c r="D266" i="5"/>
  <c r="D330" i="5"/>
  <c r="D123" i="5"/>
  <c r="F356" i="7"/>
  <c r="E347" i="7"/>
  <c r="E283" i="7"/>
  <c r="F332" i="7"/>
  <c r="H313" i="7"/>
  <c r="D291" i="7"/>
  <c r="H266" i="7"/>
  <c r="E332" i="7"/>
  <c r="H346" i="7"/>
  <c r="H314" i="7"/>
  <c r="H282" i="7"/>
  <c r="E275" i="7"/>
  <c r="E252" i="7"/>
  <c r="F322" i="7"/>
  <c r="H283" i="7"/>
  <c r="D260" i="7"/>
  <c r="H242" i="7"/>
  <c r="F259" i="7"/>
  <c r="F226" i="7"/>
  <c r="F202" i="7"/>
  <c r="D322" i="7"/>
  <c r="E226" i="7"/>
  <c r="E202" i="7"/>
  <c r="E346" i="7"/>
  <c r="E243" i="7"/>
  <c r="D220" i="7"/>
  <c r="D196" i="7"/>
  <c r="F331" i="7"/>
  <c r="D228" i="7"/>
  <c r="H225" i="7"/>
  <c r="H163" i="7"/>
  <c r="H99" i="7"/>
  <c r="F138" i="7"/>
  <c r="H211" i="7"/>
  <c r="E130" i="7"/>
  <c r="D227" i="7"/>
  <c r="F148" i="7"/>
  <c r="H241" i="7"/>
  <c r="E132" i="7"/>
  <c r="H218" i="7"/>
  <c r="D132" i="7"/>
  <c r="F82" i="7"/>
  <c r="F92" i="7"/>
  <c r="H75" i="7"/>
  <c r="E34" i="7"/>
  <c r="H118" i="9"/>
  <c r="F121" i="5"/>
  <c r="F179" i="5"/>
  <c r="E7" i="5"/>
  <c r="E161" i="5"/>
  <c r="E235" i="5"/>
  <c r="D318" i="5"/>
  <c r="D19" i="5"/>
  <c r="D338" i="5"/>
  <c r="H265" i="7"/>
  <c r="F282" i="7"/>
  <c r="E196" i="7"/>
  <c r="H155" i="7"/>
  <c r="E124" i="7"/>
  <c r="H73" i="7"/>
  <c r="E60" i="7"/>
  <c r="F28" i="7"/>
  <c r="F291" i="7"/>
  <c r="F50" i="7"/>
  <c r="E12" i="7"/>
  <c r="E50" i="7"/>
  <c r="D12" i="7"/>
  <c r="H33" i="7"/>
  <c r="E76" i="7"/>
  <c r="H137" i="7"/>
  <c r="F40" i="7"/>
  <c r="E8" i="7"/>
  <c r="D8" i="7"/>
  <c r="E71" i="5"/>
  <c r="D4" i="7"/>
  <c r="F307" i="9"/>
  <c r="F78" i="9"/>
  <c r="F10" i="5"/>
  <c r="E106" i="5"/>
  <c r="D163" i="5"/>
  <c r="D259" i="7"/>
  <c r="D60" i="7"/>
  <c r="F42" i="7"/>
  <c r="H25" i="7"/>
  <c r="H3" i="7"/>
  <c r="F331" i="9"/>
  <c r="E6" i="9"/>
  <c r="F162" i="5"/>
  <c r="F307" i="5"/>
  <c r="E135" i="5"/>
  <c r="E210" i="5"/>
  <c r="E348" i="5"/>
  <c r="D7" i="5"/>
  <c r="D105" i="5"/>
  <c r="E362" i="7"/>
  <c r="D340" i="7"/>
  <c r="H234" i="7"/>
  <c r="D242" i="7"/>
  <c r="F130" i="7"/>
  <c r="D124" i="7"/>
  <c r="D40" i="7"/>
  <c r="F34" i="7"/>
  <c r="F20" i="7"/>
  <c r="H41" i="7"/>
  <c r="E36" i="7"/>
  <c r="E4" i="7"/>
  <c r="H43" i="7"/>
  <c r="H105" i="7"/>
  <c r="H17" i="7"/>
  <c r="D68" i="7"/>
  <c r="H113" i="7"/>
  <c r="E32" i="7"/>
  <c r="H97" i="7"/>
  <c r="D3" i="5"/>
  <c r="F58" i="7"/>
  <c r="E286" i="9"/>
  <c r="F6" i="9"/>
  <c r="F226" i="5"/>
  <c r="E22" i="5"/>
  <c r="E192" i="5"/>
  <c r="E274" i="5"/>
  <c r="D259" i="5"/>
  <c r="D71" i="5"/>
  <c r="D169" i="5"/>
  <c r="E339" i="7"/>
  <c r="D308" i="7"/>
  <c r="H251" i="7"/>
  <c r="D219" i="7"/>
  <c r="H203" i="7"/>
  <c r="D76" i="7"/>
  <c r="E26" i="7"/>
  <c r="F26" i="7"/>
  <c r="D18" i="7"/>
  <c r="F10" i="7"/>
  <c r="H31" i="7"/>
  <c r="D3" i="7"/>
  <c r="E42" i="7"/>
  <c r="H169" i="7"/>
  <c r="H9" i="7"/>
  <c r="F32" i="7"/>
  <c r="E82" i="7"/>
  <c r="H27" i="7"/>
  <c r="E48" i="7"/>
  <c r="E3" i="5"/>
  <c r="H194" i="5"/>
  <c r="E25" i="5"/>
  <c r="D190" i="5"/>
  <c r="F308" i="7"/>
  <c r="D338" i="7"/>
  <c r="F36" i="7"/>
  <c r="E20" i="7"/>
  <c r="D106" i="7"/>
  <c r="D24" i="7"/>
  <c r="H112" i="9"/>
  <c r="E302" i="5"/>
  <c r="E171" i="5"/>
  <c r="D274" i="5"/>
  <c r="E220" i="7"/>
  <c r="E68" i="7"/>
  <c r="E3" i="7"/>
  <c r="D20" i="7"/>
  <c r="D42" i="7"/>
  <c r="F44" i="7"/>
  <c r="F243" i="5"/>
  <c r="D33" i="5"/>
  <c r="E324" i="7"/>
  <c r="H210" i="7"/>
  <c r="H57" i="7"/>
  <c r="D74" i="7"/>
  <c r="D234" i="9"/>
  <c r="H341" i="5"/>
  <c r="F290" i="5"/>
  <c r="E94" i="5"/>
  <c r="E256" i="5"/>
  <c r="E338" i="5"/>
  <c r="D38" i="5"/>
  <c r="D135" i="5"/>
  <c r="D299" i="5"/>
  <c r="H354" i="7"/>
  <c r="F276" i="7"/>
  <c r="F220" i="7"/>
  <c r="D195" i="7"/>
  <c r="E122" i="7"/>
  <c r="D114" i="7"/>
  <c r="E18" i="7"/>
  <c r="F18" i="7"/>
  <c r="F12" i="7"/>
  <c r="F116" i="7"/>
  <c r="E28" i="7"/>
  <c r="H83" i="7"/>
  <c r="H39" i="7"/>
  <c r="D90" i="7"/>
  <c r="E44" i="7"/>
  <c r="F24" i="7"/>
  <c r="F60" i="7"/>
  <c r="E24" i="7"/>
  <c r="E40" i="7"/>
  <c r="F51" i="5"/>
  <c r="D240" i="5"/>
  <c r="H347" i="7"/>
  <c r="F68" i="7"/>
  <c r="F4" i="7"/>
  <c r="E58" i="7"/>
  <c r="D50" i="7"/>
  <c r="F48" i="7"/>
  <c r="F115" i="5"/>
  <c r="D254" i="5"/>
  <c r="H315" i="7"/>
  <c r="H194" i="7"/>
  <c r="D34" i="7"/>
  <c r="H51" i="7"/>
  <c r="E52" i="7"/>
  <c r="D16" i="7"/>
  <c r="E299" i="5"/>
  <c r="F339" i="7"/>
  <c r="H49" i="7"/>
  <c r="H7" i="7"/>
  <c r="D122" i="7"/>
  <c r="F3" i="5"/>
  <c r="E171" i="9"/>
  <c r="H128" i="5"/>
  <c r="F354" i="5"/>
  <c r="E174" i="5"/>
  <c r="E320" i="5"/>
  <c r="E43" i="5"/>
  <c r="D110" i="5"/>
  <c r="D176" i="5"/>
  <c r="D106" i="5"/>
  <c r="D331" i="7"/>
  <c r="E274" i="7"/>
  <c r="F196" i="7"/>
  <c r="E306" i="7"/>
  <c r="D178" i="7"/>
  <c r="H89" i="7"/>
  <c r="E10" i="7"/>
  <c r="D84" i="7"/>
  <c r="D10" i="7"/>
  <c r="F108" i="7"/>
  <c r="H23" i="7"/>
  <c r="H59" i="7"/>
  <c r="D36" i="7"/>
  <c r="D58" i="7"/>
  <c r="H153" i="7"/>
  <c r="F16" i="7"/>
  <c r="F52" i="7"/>
  <c r="H19" i="7"/>
  <c r="D32" i="7"/>
  <c r="D147" i="9"/>
  <c r="E238" i="5"/>
  <c r="E107" i="5"/>
  <c r="D210" i="5"/>
  <c r="F251" i="7"/>
  <c r="F140" i="7"/>
  <c r="F3" i="7"/>
  <c r="F100" i="7"/>
  <c r="D28" i="7"/>
  <c r="F8" i="7"/>
  <c r="E16" i="7"/>
  <c r="F358" i="5"/>
  <c r="E97" i="5"/>
  <c r="D304" i="5"/>
  <c r="F284" i="7"/>
  <c r="H209" i="7"/>
  <c r="H177" i="7"/>
  <c r="H15" i="7"/>
  <c r="D98" i="7"/>
  <c r="H11" i="7"/>
  <c r="D91" i="5"/>
  <c r="H91" i="7"/>
  <c r="D26" i="7"/>
  <c r="H47" i="7"/>
  <c r="H35" i="7"/>
  <c r="P115" i="6" l="1"/>
  <c r="N357" i="6"/>
  <c r="N349" i="6"/>
  <c r="N341" i="6"/>
  <c r="N333" i="6"/>
  <c r="N325" i="6"/>
  <c r="N317" i="6"/>
  <c r="N309" i="6"/>
  <c r="N301" i="6"/>
  <c r="N293" i="6"/>
  <c r="N285" i="6"/>
  <c r="N277" i="6"/>
  <c r="N269" i="6"/>
  <c r="N261" i="6"/>
  <c r="N253" i="6"/>
  <c r="N245" i="6"/>
  <c r="N237" i="6"/>
  <c r="N229" i="6"/>
  <c r="N221" i="6"/>
  <c r="N213" i="6"/>
  <c r="N205" i="6"/>
  <c r="N197" i="6"/>
  <c r="N189" i="6"/>
  <c r="N181" i="6"/>
  <c r="N173" i="6"/>
  <c r="N165" i="6"/>
  <c r="N157" i="6"/>
  <c r="N149" i="6"/>
  <c r="N141" i="6"/>
  <c r="N133" i="6"/>
  <c r="N125" i="6"/>
  <c r="N117" i="6"/>
  <c r="N109" i="6"/>
  <c r="N101" i="6"/>
  <c r="N93" i="6"/>
  <c r="N85" i="6"/>
  <c r="N77" i="6"/>
  <c r="N69" i="6"/>
  <c r="N61" i="6"/>
  <c r="N53" i="6"/>
  <c r="N5" i="6"/>
  <c r="O357" i="6"/>
  <c r="O349" i="6"/>
  <c r="O341" i="6"/>
  <c r="O333" i="6"/>
  <c r="O325" i="6"/>
  <c r="O317" i="6"/>
  <c r="O309" i="6"/>
  <c r="O301" i="6"/>
  <c r="O293" i="6"/>
  <c r="O285" i="6"/>
  <c r="O277" i="6"/>
  <c r="O269" i="6"/>
  <c r="O261" i="6"/>
  <c r="O253" i="6"/>
  <c r="O245" i="6"/>
  <c r="O237" i="6"/>
  <c r="O229" i="6"/>
  <c r="O221" i="6"/>
  <c r="O213" i="6"/>
  <c r="O205" i="6"/>
  <c r="O197" i="6"/>
  <c r="O189" i="6"/>
  <c r="O181" i="6"/>
  <c r="O173" i="6"/>
  <c r="P83" i="6"/>
  <c r="O332" i="6"/>
  <c r="O324" i="6"/>
  <c r="O316" i="6"/>
  <c r="O308" i="6"/>
  <c r="O300" i="6"/>
  <c r="O292" i="6"/>
  <c r="O284" i="6"/>
  <c r="O276" i="6"/>
  <c r="O268" i="6"/>
  <c r="O260" i="6"/>
  <c r="O252" i="6"/>
  <c r="O244" i="6"/>
  <c r="O236" i="6"/>
  <c r="O228" i="6"/>
  <c r="O220" i="6"/>
  <c r="O212" i="6"/>
  <c r="O204" i="6"/>
  <c r="O196" i="6"/>
  <c r="O188" i="6"/>
  <c r="O180" i="6"/>
  <c r="O172" i="6"/>
  <c r="O164" i="6"/>
  <c r="O156" i="6"/>
  <c r="O148" i="6"/>
  <c r="O140" i="6"/>
  <c r="O132" i="6"/>
  <c r="O124" i="6"/>
  <c r="O116" i="6"/>
  <c r="O108" i="6"/>
  <c r="O100" i="6"/>
  <c r="P307" i="6"/>
  <c r="P51" i="6"/>
  <c r="O323" i="6"/>
  <c r="P275" i="6"/>
  <c r="P19" i="6"/>
  <c r="N354" i="6"/>
  <c r="N290" i="6"/>
  <c r="N218" i="6"/>
  <c r="N146" i="6"/>
  <c r="N66" i="6"/>
  <c r="P243" i="6"/>
  <c r="N321" i="6"/>
  <c r="N49" i="6"/>
  <c r="O361" i="6"/>
  <c r="O353" i="6"/>
  <c r="O345" i="6"/>
  <c r="O337" i="6"/>
  <c r="O329" i="6"/>
  <c r="O321" i="6"/>
  <c r="O313" i="6"/>
  <c r="O305" i="6"/>
  <c r="O297" i="6"/>
  <c r="O289" i="6"/>
  <c r="O281" i="6"/>
  <c r="O273" i="6"/>
  <c r="O265" i="6"/>
  <c r="O257" i="6"/>
  <c r="O249" i="6"/>
  <c r="O241" i="6"/>
  <c r="O233" i="6"/>
  <c r="O225" i="6"/>
  <c r="O217" i="6"/>
  <c r="O209" i="6"/>
  <c r="O201" i="6"/>
  <c r="O193" i="6"/>
  <c r="O185" i="6"/>
  <c r="O177" i="6"/>
  <c r="P363" i="6"/>
  <c r="P355" i="6"/>
  <c r="P347" i="6"/>
  <c r="P339" i="6"/>
  <c r="P331" i="6"/>
  <c r="P323" i="6"/>
  <c r="P315" i="6"/>
  <c r="P299" i="6"/>
  <c r="P291" i="6"/>
  <c r="P283" i="6"/>
  <c r="P267" i="6"/>
  <c r="P259" i="6"/>
  <c r="P251" i="6"/>
  <c r="P235" i="6"/>
  <c r="P227" i="6"/>
  <c r="P219" i="6"/>
  <c r="P203" i="6"/>
  <c r="P195" i="6"/>
  <c r="P187" i="6"/>
  <c r="P171" i="6"/>
  <c r="P163" i="6"/>
  <c r="P155" i="6"/>
  <c r="P139" i="6"/>
  <c r="P131" i="6"/>
  <c r="P123" i="6"/>
  <c r="P107" i="6"/>
  <c r="P99" i="6"/>
  <c r="P91" i="6"/>
  <c r="P75" i="6"/>
  <c r="P67" i="6"/>
  <c r="P59" i="6"/>
  <c r="P43" i="6"/>
  <c r="P35" i="6"/>
  <c r="P27" i="6"/>
  <c r="P11" i="6"/>
  <c r="P211" i="6"/>
  <c r="P179" i="6"/>
  <c r="N359" i="6"/>
  <c r="N351" i="6"/>
  <c r="N343" i="6"/>
  <c r="N335" i="6"/>
  <c r="N327" i="6"/>
  <c r="N319" i="6"/>
  <c r="N311" i="6"/>
  <c r="N303" i="6"/>
  <c r="N295" i="6"/>
  <c r="N287" i="6"/>
  <c r="N279" i="6"/>
  <c r="N271" i="6"/>
  <c r="N263" i="6"/>
  <c r="N255" i="6"/>
  <c r="N247" i="6"/>
  <c r="N239" i="6"/>
  <c r="N231" i="6"/>
  <c r="N223" i="6"/>
  <c r="N215" i="6"/>
  <c r="N207" i="6"/>
  <c r="N199" i="6"/>
  <c r="N191" i="6"/>
  <c r="N183" i="6"/>
  <c r="N175" i="6"/>
  <c r="N167" i="6"/>
  <c r="N159" i="6"/>
  <c r="N151" i="6"/>
  <c r="N143" i="6"/>
  <c r="N135" i="6"/>
  <c r="N127" i="6"/>
  <c r="N119" i="6"/>
  <c r="N111" i="6"/>
  <c r="N103" i="6"/>
  <c r="N95" i="6"/>
  <c r="N87" i="6"/>
  <c r="N79" i="6"/>
  <c r="N71" i="6"/>
  <c r="N63" i="6"/>
  <c r="N55" i="6"/>
  <c r="O359" i="6"/>
  <c r="O351" i="6"/>
  <c r="O343" i="6"/>
  <c r="O335" i="6"/>
  <c r="O327" i="6"/>
  <c r="O319" i="6"/>
  <c r="O311" i="6"/>
  <c r="O303" i="6"/>
  <c r="O295" i="6"/>
  <c r="O287" i="6"/>
  <c r="O279" i="6"/>
  <c r="O271" i="6"/>
  <c r="O263" i="6"/>
  <c r="O255" i="6"/>
  <c r="O247" i="6"/>
  <c r="O239" i="6"/>
  <c r="O231" i="6"/>
  <c r="O223" i="6"/>
  <c r="O215" i="6"/>
  <c r="O207" i="6"/>
  <c r="O199" i="6"/>
  <c r="O191" i="6"/>
  <c r="O183" i="6"/>
  <c r="O175" i="6"/>
  <c r="P147" i="6"/>
  <c r="O146" i="6"/>
  <c r="O138" i="6"/>
  <c r="O130" i="6"/>
  <c r="O122" i="6"/>
  <c r="O114" i="6"/>
  <c r="O98" i="6"/>
  <c r="O90" i="6"/>
  <c r="O82" i="6"/>
  <c r="O66" i="6"/>
  <c r="O58" i="6"/>
  <c r="O50" i="6"/>
  <c r="P289" i="6"/>
  <c r="P281" i="6"/>
  <c r="P273" i="6"/>
  <c r="P265" i="6"/>
  <c r="P257" i="6"/>
  <c r="P249" i="6"/>
  <c r="P241" i="6"/>
  <c r="P233" i="6"/>
  <c r="P225" i="6"/>
  <c r="P217" i="6"/>
  <c r="P209" i="6"/>
  <c r="P201" i="6"/>
  <c r="P193" i="6"/>
  <c r="P185" i="6"/>
  <c r="P177" i="6"/>
  <c r="P169" i="6"/>
  <c r="P161" i="6"/>
  <c r="P153" i="6"/>
  <c r="P145" i="6"/>
  <c r="P137" i="6"/>
  <c r="P129" i="6"/>
  <c r="P41" i="6"/>
  <c r="P33" i="6"/>
  <c r="O57" i="6"/>
  <c r="O168" i="6"/>
  <c r="O160" i="6"/>
  <c r="O152" i="6"/>
  <c r="O144" i="6"/>
  <c r="O136" i="6"/>
  <c r="O128" i="6"/>
  <c r="O120" i="6"/>
  <c r="O112" i="6"/>
  <c r="O104" i="6"/>
  <c r="O96" i="6"/>
  <c r="O88" i="6"/>
  <c r="O80" i="6"/>
  <c r="O72" i="6"/>
  <c r="O64" i="6"/>
  <c r="O48" i="6"/>
  <c r="O40" i="6"/>
  <c r="O32" i="6"/>
  <c r="O24" i="6"/>
  <c r="O16" i="6"/>
  <c r="O8" i="6"/>
  <c r="O158" i="6"/>
  <c r="O150" i="6"/>
  <c r="O62" i="6"/>
  <c r="P77" i="6"/>
  <c r="P69" i="6"/>
  <c r="P4" i="6"/>
  <c r="O165" i="6"/>
  <c r="O157" i="6"/>
  <c r="O149" i="6"/>
  <c r="O141" i="6"/>
  <c r="O133" i="6"/>
  <c r="O125" i="6"/>
  <c r="O117" i="6"/>
  <c r="O109" i="6"/>
  <c r="O101" i="6"/>
  <c r="O93" i="6"/>
  <c r="O85" i="6"/>
  <c r="O77" i="6"/>
  <c r="O69" i="6"/>
  <c r="O61" i="6"/>
  <c r="O53" i="6"/>
  <c r="O45" i="6"/>
  <c r="O37" i="6"/>
  <c r="O29" i="6"/>
  <c r="O21" i="6"/>
  <c r="O13" i="6"/>
  <c r="O5" i="6"/>
  <c r="P340" i="6"/>
  <c r="P332" i="6"/>
  <c r="P324" i="6"/>
  <c r="P316" i="6"/>
  <c r="P308" i="6"/>
  <c r="P300" i="6"/>
  <c r="P292" i="6"/>
  <c r="P284" i="6"/>
  <c r="P276" i="6"/>
  <c r="P268" i="6"/>
  <c r="P260" i="6"/>
  <c r="P252" i="6"/>
  <c r="P244" i="6"/>
  <c r="P236" i="6"/>
  <c r="P228" i="6"/>
  <c r="P220" i="6"/>
  <c r="P212" i="6"/>
  <c r="P204" i="6"/>
  <c r="P196" i="6"/>
  <c r="P188" i="6"/>
  <c r="P180" i="6"/>
  <c r="P172" i="6"/>
  <c r="P164" i="6"/>
  <c r="P156" i="6"/>
  <c r="P148" i="6"/>
  <c r="P140" i="6"/>
  <c r="P132" i="6"/>
  <c r="P124" i="6"/>
  <c r="P116" i="6"/>
  <c r="P108" i="6"/>
  <c r="P100" i="6"/>
  <c r="P92" i="6"/>
  <c r="P84" i="6"/>
  <c r="P76" i="6"/>
  <c r="P68" i="6"/>
  <c r="P60" i="6"/>
  <c r="P52" i="6"/>
  <c r="P44" i="6"/>
  <c r="P36" i="6"/>
  <c r="P28" i="6"/>
  <c r="P20" i="6"/>
  <c r="P12" i="6"/>
  <c r="O92" i="6"/>
  <c r="O84" i="6"/>
  <c r="O76" i="6"/>
  <c r="O68" i="6"/>
  <c r="O60" i="6"/>
  <c r="O52" i="6"/>
  <c r="O44" i="6"/>
  <c r="O36" i="6"/>
  <c r="O28" i="6"/>
  <c r="O20" i="6"/>
  <c r="O12" i="6"/>
  <c r="O4" i="6"/>
  <c r="G3" i="5"/>
  <c r="B6" i="9"/>
  <c r="B10" i="9"/>
  <c r="B14" i="9"/>
  <c r="B42" i="9"/>
  <c r="B74" i="9"/>
  <c r="B106" i="9"/>
  <c r="B7" i="9"/>
  <c r="B9" i="9"/>
  <c r="B11" i="9"/>
  <c r="B15" i="9"/>
  <c r="B34" i="9"/>
  <c r="B18" i="9"/>
  <c r="B26" i="9"/>
  <c r="B107" i="9"/>
  <c r="B110" i="9"/>
  <c r="B118" i="9"/>
  <c r="G3" i="9"/>
  <c r="B19" i="9"/>
  <c r="B27" i="9"/>
  <c r="B35" i="9"/>
  <c r="B43" i="9"/>
  <c r="B51" i="9"/>
  <c r="B59" i="9"/>
  <c r="B67" i="9"/>
  <c r="B75" i="9"/>
  <c r="B83" i="9"/>
  <c r="B91" i="9"/>
  <c r="B99" i="9"/>
  <c r="B115" i="9"/>
  <c r="B123" i="9"/>
  <c r="B127" i="9"/>
  <c r="B129" i="9"/>
  <c r="B131" i="9"/>
  <c r="B135" i="9"/>
  <c r="B17" i="9"/>
  <c r="B25" i="9"/>
  <c r="B33" i="9"/>
  <c r="B41" i="9"/>
  <c r="B49" i="9"/>
  <c r="B65" i="9"/>
  <c r="B73" i="9"/>
  <c r="B81" i="9"/>
  <c r="B89" i="9"/>
  <c r="B97" i="9"/>
  <c r="B105" i="9"/>
  <c r="B56" i="9"/>
  <c r="B23" i="9"/>
  <c r="B31" i="9"/>
  <c r="B39" i="9"/>
  <c r="B47" i="9"/>
  <c r="B55" i="9"/>
  <c r="B63" i="9"/>
  <c r="B71" i="9"/>
  <c r="B79" i="9"/>
  <c r="B87" i="9"/>
  <c r="B95" i="9"/>
  <c r="B103" i="9"/>
  <c r="B111" i="9"/>
  <c r="B119" i="9"/>
  <c r="B126" i="9"/>
  <c r="B134" i="9"/>
  <c r="B139" i="9"/>
  <c r="B22" i="9"/>
  <c r="B30" i="9"/>
  <c r="B38" i="9"/>
  <c r="B46" i="9"/>
  <c r="B54" i="9"/>
  <c r="B70" i="9"/>
  <c r="B78" i="9"/>
  <c r="B86" i="9"/>
  <c r="B94" i="9"/>
  <c r="B102" i="9"/>
  <c r="B113" i="9"/>
  <c r="B121" i="9"/>
  <c r="B137" i="9"/>
  <c r="B167" i="9"/>
  <c r="B171" i="9"/>
  <c r="B179" i="9"/>
  <c r="B187" i="9"/>
  <c r="B195" i="9"/>
  <c r="B202" i="9"/>
  <c r="B206" i="9"/>
  <c r="B208" i="9"/>
  <c r="B210" i="9"/>
  <c r="B214" i="9"/>
  <c r="B216" i="9"/>
  <c r="B240" i="9"/>
  <c r="B166" i="9"/>
  <c r="B224" i="9"/>
  <c r="B170" i="9"/>
  <c r="B174" i="9"/>
  <c r="B178" i="9"/>
  <c r="B182" i="9"/>
  <c r="B186" i="9"/>
  <c r="B190" i="9"/>
  <c r="B194" i="9"/>
  <c r="B198" i="9"/>
  <c r="B163" i="9"/>
  <c r="B169" i="9"/>
  <c r="B203" i="9"/>
  <c r="B211" i="9"/>
  <c r="B291" i="9"/>
  <c r="B162" i="9"/>
  <c r="B232" i="9"/>
  <c r="B246" i="9"/>
  <c r="B142" i="9"/>
  <c r="B143" i="9"/>
  <c r="B145" i="9"/>
  <c r="B147" i="9"/>
  <c r="B151" i="9"/>
  <c r="B153" i="9"/>
  <c r="B154" i="9"/>
  <c r="B155" i="9"/>
  <c r="B159" i="9"/>
  <c r="B161" i="9"/>
  <c r="B176" i="9"/>
  <c r="B184" i="9"/>
  <c r="B192" i="9"/>
  <c r="B200" i="9"/>
  <c r="B283" i="9"/>
  <c r="B243" i="9"/>
  <c r="B315" i="9"/>
  <c r="B331" i="9"/>
  <c r="B222" i="9"/>
  <c r="B230" i="9"/>
  <c r="B238" i="9"/>
  <c r="B312" i="9"/>
  <c r="B328" i="9"/>
  <c r="B242" i="9"/>
  <c r="B282" i="9"/>
  <c r="B290" i="9"/>
  <c r="B336" i="9"/>
  <c r="B304" i="9"/>
  <c r="B219" i="9"/>
  <c r="B227" i="9"/>
  <c r="B235" i="9"/>
  <c r="B218" i="9"/>
  <c r="B226" i="9"/>
  <c r="B234" i="9"/>
  <c r="B299" i="9"/>
  <c r="B320" i="9"/>
  <c r="B298" i="9"/>
  <c r="B307" i="9"/>
  <c r="B314" i="9"/>
  <c r="B322" i="9"/>
  <c r="B330" i="9"/>
  <c r="B280" i="9"/>
  <c r="B288" i="9"/>
  <c r="B296" i="9"/>
  <c r="B306" i="9"/>
  <c r="B248" i="9"/>
  <c r="B250" i="9"/>
  <c r="B251" i="9"/>
  <c r="B254" i="9"/>
  <c r="B256" i="9"/>
  <c r="B258" i="9"/>
  <c r="B259" i="9"/>
  <c r="B262" i="9"/>
  <c r="B264" i="9"/>
  <c r="B266" i="9"/>
  <c r="B267" i="9"/>
  <c r="B270" i="9"/>
  <c r="B272" i="9"/>
  <c r="B274" i="9"/>
  <c r="B275" i="9"/>
  <c r="B278" i="9"/>
  <c r="B286" i="9"/>
  <c r="B318" i="9"/>
  <c r="B326" i="9"/>
  <c r="B334" i="9"/>
  <c r="B338" i="9"/>
  <c r="B339" i="9"/>
  <c r="B340" i="9"/>
  <c r="B344" i="9"/>
  <c r="B346" i="9"/>
  <c r="B347" i="9"/>
  <c r="B348" i="9"/>
  <c r="B352" i="9"/>
  <c r="B354" i="9"/>
  <c r="B355" i="9"/>
  <c r="B356" i="9"/>
  <c r="B360" i="9"/>
  <c r="B362" i="9"/>
  <c r="B98" i="7"/>
  <c r="B4" i="7"/>
  <c r="B12" i="7"/>
  <c r="B20" i="7"/>
  <c r="B28" i="7"/>
  <c r="B36" i="7"/>
  <c r="B114" i="7"/>
  <c r="B138" i="7"/>
  <c r="B154" i="7"/>
  <c r="B10" i="7"/>
  <c r="B18" i="7"/>
  <c r="B26" i="7"/>
  <c r="B34" i="7"/>
  <c r="B170" i="7"/>
  <c r="B106" i="7"/>
  <c r="B40" i="7"/>
  <c r="B44" i="7"/>
  <c r="B48" i="7"/>
  <c r="B52" i="7"/>
  <c r="B60" i="7"/>
  <c r="B84" i="7"/>
  <c r="B8" i="7"/>
  <c r="B16" i="7"/>
  <c r="B24" i="7"/>
  <c r="B32" i="7"/>
  <c r="B42" i="7"/>
  <c r="B58" i="7"/>
  <c r="G3" i="7"/>
  <c r="B50" i="7"/>
  <c r="B178" i="7"/>
  <c r="B68" i="7"/>
  <c r="B74" i="7"/>
  <c r="B76" i="7"/>
  <c r="B234" i="7"/>
  <c r="B90" i="7"/>
  <c r="B122" i="7"/>
  <c r="B130" i="7"/>
  <c r="B162" i="7"/>
  <c r="B82" i="7"/>
  <c r="B203" i="7"/>
  <c r="B211" i="7"/>
  <c r="B219" i="7"/>
  <c r="B187" i="7"/>
  <c r="B195" i="7"/>
  <c r="B242" i="7"/>
  <c r="B250" i="7"/>
  <c r="B180" i="7"/>
  <c r="B204" i="7"/>
  <c r="B212" i="7"/>
  <c r="B220" i="7"/>
  <c r="B92" i="7"/>
  <c r="B100" i="7"/>
  <c r="B108" i="7"/>
  <c r="B116" i="7"/>
  <c r="B124" i="7"/>
  <c r="B132" i="7"/>
  <c r="B140" i="7"/>
  <c r="B148" i="7"/>
  <c r="B156" i="7"/>
  <c r="B164" i="7"/>
  <c r="B172" i="7"/>
  <c r="B186" i="7"/>
  <c r="B188" i="7"/>
  <c r="B194" i="7"/>
  <c r="B196" i="7"/>
  <c r="B202" i="7"/>
  <c r="B210" i="7"/>
  <c r="B226" i="7"/>
  <c r="B228" i="7"/>
  <c r="B236" i="7"/>
  <c r="B244" i="7"/>
  <c r="B252" i="7"/>
  <c r="B227" i="7"/>
  <c r="B235" i="7"/>
  <c r="B243" i="7"/>
  <c r="B251" i="7"/>
  <c r="B356" i="7"/>
  <c r="B284" i="7"/>
  <c r="B292" i="7"/>
  <c r="B300" i="7"/>
  <c r="B308" i="7"/>
  <c r="B316" i="7"/>
  <c r="B324" i="7"/>
  <c r="B332" i="7"/>
  <c r="B340" i="7"/>
  <c r="B348" i="7"/>
  <c r="B283" i="7"/>
  <c r="B291" i="7"/>
  <c r="B299" i="7"/>
  <c r="B307" i="7"/>
  <c r="B315" i="7"/>
  <c r="B323" i="7"/>
  <c r="B331" i="7"/>
  <c r="B339" i="7"/>
  <c r="B347" i="7"/>
  <c r="B362" i="7"/>
  <c r="B258" i="7"/>
  <c r="B259" i="7"/>
  <c r="B260" i="7"/>
  <c r="B266" i="7"/>
  <c r="B267" i="7"/>
  <c r="B268" i="7"/>
  <c r="B274" i="7"/>
  <c r="B275" i="7"/>
  <c r="B276" i="7"/>
  <c r="B282" i="7"/>
  <c r="B298" i="7"/>
  <c r="B306" i="7"/>
  <c r="B314" i="7"/>
  <c r="B322" i="7"/>
  <c r="B330" i="7"/>
  <c r="B338" i="7"/>
  <c r="B346" i="7"/>
  <c r="B355" i="7"/>
  <c r="N358" i="6"/>
  <c r="N350" i="6"/>
  <c r="N342" i="6"/>
  <c r="N334" i="6"/>
  <c r="N326" i="6"/>
  <c r="N318" i="6"/>
  <c r="N310" i="6"/>
  <c r="N302" i="6"/>
  <c r="N294" i="6"/>
  <c r="N286" i="6"/>
  <c r="N278" i="6"/>
  <c r="N270" i="6"/>
  <c r="N262" i="6"/>
  <c r="N254" i="6"/>
  <c r="N246" i="6"/>
  <c r="N238" i="6"/>
  <c r="N230" i="6"/>
  <c r="N214" i="6"/>
  <c r="N206" i="6"/>
  <c r="N198" i="6"/>
  <c r="N190" i="6"/>
  <c r="N182" i="6"/>
  <c r="N174" i="6"/>
  <c r="N166" i="6"/>
  <c r="N158" i="6"/>
  <c r="N150" i="6"/>
  <c r="N142" i="6"/>
  <c r="N134" i="6"/>
  <c r="N126" i="6"/>
  <c r="N118" i="6"/>
  <c r="N110" i="6"/>
  <c r="N102" i="6"/>
  <c r="N94" i="6"/>
  <c r="N86" i="6"/>
  <c r="N78" i="6"/>
  <c r="N70" i="6"/>
  <c r="N62" i="6"/>
  <c r="N54" i="6"/>
  <c r="N179" i="6"/>
  <c r="N171" i="6"/>
  <c r="N163" i="6"/>
  <c r="N155" i="6"/>
  <c r="N147" i="6"/>
  <c r="N139" i="6"/>
  <c r="N131" i="6"/>
  <c r="N123" i="6"/>
  <c r="N115" i="6"/>
  <c r="N107" i="6"/>
  <c r="N99" i="6"/>
  <c r="N91" i="6"/>
  <c r="N83" i="6"/>
  <c r="N75" i="6"/>
  <c r="N67" i="6"/>
  <c r="N59" i="6"/>
  <c r="N51" i="6"/>
  <c r="N222" i="6"/>
  <c r="N265" i="6"/>
  <c r="N201" i="6"/>
  <c r="N137" i="6"/>
  <c r="N73" i="6"/>
  <c r="N17" i="6"/>
  <c r="N360" i="6"/>
  <c r="N352" i="6"/>
  <c r="N344" i="6"/>
  <c r="N336" i="6"/>
  <c r="N328" i="6"/>
  <c r="N320" i="6"/>
  <c r="N312" i="6"/>
  <c r="N304" i="6"/>
  <c r="N296" i="6"/>
  <c r="N288" i="6"/>
  <c r="N280" i="6"/>
  <c r="N272" i="6"/>
  <c r="N264" i="6"/>
  <c r="N256" i="6"/>
  <c r="N248" i="6"/>
  <c r="N240" i="6"/>
  <c r="N232" i="6"/>
  <c r="N224" i="6"/>
  <c r="N216" i="6"/>
  <c r="N208" i="6"/>
  <c r="N200" i="6"/>
  <c r="N192" i="6"/>
  <c r="N184" i="6"/>
  <c r="N176" i="6"/>
  <c r="N168" i="6"/>
  <c r="N160" i="6"/>
  <c r="N152" i="6"/>
  <c r="N144" i="6"/>
  <c r="N136" i="6"/>
  <c r="N128" i="6"/>
  <c r="N120" i="6"/>
  <c r="N112" i="6"/>
  <c r="N104" i="6"/>
  <c r="N96" i="6"/>
  <c r="N88" i="6"/>
  <c r="N80" i="6"/>
  <c r="N72" i="6"/>
  <c r="N64" i="6"/>
  <c r="N56" i="6"/>
  <c r="N257" i="6"/>
  <c r="N21" i="6"/>
  <c r="N353" i="6"/>
  <c r="N297" i="6"/>
  <c r="N273" i="6"/>
  <c r="N233" i="6"/>
  <c r="N193" i="6"/>
  <c r="N169" i="6"/>
  <c r="N153" i="6"/>
  <c r="N113" i="6"/>
  <c r="N97" i="6"/>
  <c r="N81" i="6"/>
  <c r="N65" i="6"/>
  <c r="N313" i="6"/>
  <c r="N249" i="6"/>
  <c r="N185" i="6"/>
  <c r="N129" i="6"/>
  <c r="N43" i="6"/>
  <c r="N35" i="6"/>
  <c r="N27" i="6"/>
  <c r="N19" i="6"/>
  <c r="N11" i="6"/>
  <c r="N13" i="6"/>
  <c r="N329" i="6"/>
  <c r="N289" i="6"/>
  <c r="N217" i="6"/>
  <c r="N177" i="6"/>
  <c r="N161" i="6"/>
  <c r="N145" i="6"/>
  <c r="N121" i="6"/>
  <c r="N105" i="6"/>
  <c r="N89" i="6"/>
  <c r="N57" i="6"/>
  <c r="N37" i="6"/>
  <c r="N345" i="6"/>
  <c r="N305" i="6"/>
  <c r="N41" i="6"/>
  <c r="N33" i="6"/>
  <c r="N25" i="6"/>
  <c r="N9" i="6"/>
  <c r="N361" i="6"/>
  <c r="N241" i="6"/>
  <c r="N29" i="6"/>
  <c r="N337" i="6"/>
  <c r="N281" i="6"/>
  <c r="N209" i="6"/>
  <c r="N47" i="6"/>
  <c r="N39" i="6"/>
  <c r="N31" i="6"/>
  <c r="N23" i="6"/>
  <c r="N15" i="6"/>
  <c r="N7" i="6"/>
  <c r="N45" i="6"/>
  <c r="N225" i="6"/>
  <c r="N46" i="6"/>
  <c r="N38" i="6"/>
  <c r="N30" i="6"/>
  <c r="N22" i="6"/>
  <c r="N14" i="6"/>
  <c r="N6" i="6"/>
  <c r="B10" i="5"/>
  <c r="G10" i="5" s="1"/>
  <c r="B14" i="5"/>
  <c r="G14" i="5" s="1"/>
  <c r="B103" i="5"/>
  <c r="G103" i="5" s="1"/>
  <c r="B17" i="5"/>
  <c r="G17" i="5" s="1"/>
  <c r="B25" i="5"/>
  <c r="G25" i="5" s="1"/>
  <c r="B65" i="5"/>
  <c r="G65" i="5" s="1"/>
  <c r="B115" i="5"/>
  <c r="G115" i="5" s="1"/>
  <c r="B73" i="5"/>
  <c r="G73" i="5" s="1"/>
  <c r="B49" i="5"/>
  <c r="G49" i="5" s="1"/>
  <c r="B89" i="5"/>
  <c r="G89" i="5" s="1"/>
  <c r="B9" i="5"/>
  <c r="G9" i="5" s="1"/>
  <c r="B47" i="5"/>
  <c r="G47" i="5" s="1"/>
  <c r="B95" i="5"/>
  <c r="G95" i="5" s="1"/>
  <c r="B143" i="5"/>
  <c r="G143" i="5" s="1"/>
  <c r="B6" i="5"/>
  <c r="G6" i="5" s="1"/>
  <c r="B22" i="5"/>
  <c r="G22" i="5" s="1"/>
  <c r="B7" i="5"/>
  <c r="G7" i="5" s="1"/>
  <c r="B11" i="5"/>
  <c r="G11" i="5" s="1"/>
  <c r="B15" i="5"/>
  <c r="G15" i="5" s="1"/>
  <c r="B19" i="5"/>
  <c r="G19" i="5" s="1"/>
  <c r="B23" i="5"/>
  <c r="G23" i="5" s="1"/>
  <c r="B27" i="5"/>
  <c r="G27" i="5" s="1"/>
  <c r="B81" i="5"/>
  <c r="G81" i="5" s="1"/>
  <c r="B18" i="5"/>
  <c r="G18" i="5" s="1"/>
  <c r="B26" i="5"/>
  <c r="G26" i="5" s="1"/>
  <c r="B56" i="5"/>
  <c r="G56" i="5" s="1"/>
  <c r="B110" i="5"/>
  <c r="G110" i="5" s="1"/>
  <c r="B126" i="5"/>
  <c r="G126" i="5" s="1"/>
  <c r="B55" i="5"/>
  <c r="G55" i="5" s="1"/>
  <c r="B63" i="5"/>
  <c r="G63" i="5" s="1"/>
  <c r="B71" i="5"/>
  <c r="G71" i="5" s="1"/>
  <c r="B79" i="5"/>
  <c r="G79" i="5" s="1"/>
  <c r="B87" i="5"/>
  <c r="G87" i="5" s="1"/>
  <c r="B97" i="5"/>
  <c r="G97" i="5" s="1"/>
  <c r="B105" i="5"/>
  <c r="G105" i="5" s="1"/>
  <c r="B119" i="5"/>
  <c r="G119" i="5" s="1"/>
  <c r="B137" i="5"/>
  <c r="G137" i="5" s="1"/>
  <c r="B46" i="5"/>
  <c r="G46" i="5" s="1"/>
  <c r="B54" i="5"/>
  <c r="G54" i="5" s="1"/>
  <c r="B70" i="5"/>
  <c r="G70" i="5" s="1"/>
  <c r="B78" i="5"/>
  <c r="G78" i="5" s="1"/>
  <c r="B86" i="5"/>
  <c r="G86" i="5" s="1"/>
  <c r="B94" i="5"/>
  <c r="G94" i="5" s="1"/>
  <c r="B102" i="5"/>
  <c r="G102" i="5" s="1"/>
  <c r="B121" i="5"/>
  <c r="G121" i="5" s="1"/>
  <c r="B131" i="5"/>
  <c r="G131" i="5" s="1"/>
  <c r="B147" i="5"/>
  <c r="G147" i="5" s="1"/>
  <c r="B184" i="5"/>
  <c r="G184" i="5" s="1"/>
  <c r="B91" i="5"/>
  <c r="G91" i="5" s="1"/>
  <c r="B99" i="5"/>
  <c r="G99" i="5" s="1"/>
  <c r="B107" i="5"/>
  <c r="G107" i="5" s="1"/>
  <c r="B123" i="5"/>
  <c r="G123" i="5" s="1"/>
  <c r="B135" i="5"/>
  <c r="G135" i="5" s="1"/>
  <c r="B179" i="5"/>
  <c r="G179" i="5" s="1"/>
  <c r="B118" i="5"/>
  <c r="G118" i="5" s="1"/>
  <c r="B127" i="5"/>
  <c r="G127" i="5" s="1"/>
  <c r="B129" i="5"/>
  <c r="G129" i="5" s="1"/>
  <c r="B30" i="5"/>
  <c r="G30" i="5" s="1"/>
  <c r="B31" i="5"/>
  <c r="G31" i="5" s="1"/>
  <c r="B33" i="5"/>
  <c r="G33" i="5" s="1"/>
  <c r="B34" i="5"/>
  <c r="G34" i="5" s="1"/>
  <c r="B35" i="5"/>
  <c r="G35" i="5" s="1"/>
  <c r="B38" i="5"/>
  <c r="G38" i="5" s="1"/>
  <c r="B39" i="5"/>
  <c r="G39" i="5" s="1"/>
  <c r="B41" i="5"/>
  <c r="G41" i="5" s="1"/>
  <c r="B42" i="5"/>
  <c r="G42" i="5" s="1"/>
  <c r="B43" i="5"/>
  <c r="G43" i="5" s="1"/>
  <c r="B51" i="5"/>
  <c r="G51" i="5" s="1"/>
  <c r="B59" i="5"/>
  <c r="G59" i="5" s="1"/>
  <c r="B67" i="5"/>
  <c r="G67" i="5" s="1"/>
  <c r="B75" i="5"/>
  <c r="G75" i="5" s="1"/>
  <c r="B83" i="5"/>
  <c r="G83" i="5" s="1"/>
  <c r="B111" i="5"/>
  <c r="G111" i="5" s="1"/>
  <c r="B145" i="5"/>
  <c r="G145" i="5" s="1"/>
  <c r="B74" i="5"/>
  <c r="G74" i="5" s="1"/>
  <c r="B106" i="5"/>
  <c r="G106" i="5" s="1"/>
  <c r="B113" i="5"/>
  <c r="G113" i="5" s="1"/>
  <c r="B139" i="5"/>
  <c r="G139" i="5" s="1"/>
  <c r="B192" i="5"/>
  <c r="G192" i="5" s="1"/>
  <c r="B134" i="5"/>
  <c r="G134" i="5" s="1"/>
  <c r="B142" i="5"/>
  <c r="G142" i="5" s="1"/>
  <c r="B178" i="5"/>
  <c r="G178" i="5" s="1"/>
  <c r="B235" i="5"/>
  <c r="G235" i="5" s="1"/>
  <c r="B187" i="5"/>
  <c r="G187" i="5" s="1"/>
  <c r="B195" i="5"/>
  <c r="G195" i="5" s="1"/>
  <c r="B176" i="5"/>
  <c r="G176" i="5" s="1"/>
  <c r="B227" i="5"/>
  <c r="G227" i="5" s="1"/>
  <c r="B259" i="5"/>
  <c r="G259" i="5" s="1"/>
  <c r="B151" i="5"/>
  <c r="G151" i="5" s="1"/>
  <c r="B153" i="5"/>
  <c r="G153" i="5" s="1"/>
  <c r="B154" i="5"/>
  <c r="G154" i="5" s="1"/>
  <c r="B155" i="5"/>
  <c r="G155" i="5" s="1"/>
  <c r="B159" i="5"/>
  <c r="G159" i="5" s="1"/>
  <c r="B161" i="5"/>
  <c r="G161" i="5" s="1"/>
  <c r="B162" i="5"/>
  <c r="G162" i="5" s="1"/>
  <c r="B163" i="5"/>
  <c r="G163" i="5" s="1"/>
  <c r="B166" i="5"/>
  <c r="G166" i="5" s="1"/>
  <c r="B167" i="5"/>
  <c r="G167" i="5" s="1"/>
  <c r="B169" i="5"/>
  <c r="G169" i="5" s="1"/>
  <c r="B170" i="5"/>
  <c r="G170" i="5" s="1"/>
  <c r="B171" i="5"/>
  <c r="G171" i="5" s="1"/>
  <c r="B174" i="5"/>
  <c r="G174" i="5" s="1"/>
  <c r="B182" i="5"/>
  <c r="G182" i="5" s="1"/>
  <c r="B186" i="5"/>
  <c r="G186" i="5" s="1"/>
  <c r="B190" i="5"/>
  <c r="G190" i="5" s="1"/>
  <c r="B194" i="5"/>
  <c r="G194" i="5" s="1"/>
  <c r="B198" i="5"/>
  <c r="G198" i="5" s="1"/>
  <c r="B251" i="5"/>
  <c r="G251" i="5" s="1"/>
  <c r="B243" i="5"/>
  <c r="G243" i="5" s="1"/>
  <c r="B306" i="5"/>
  <c r="G306" i="5" s="1"/>
  <c r="B226" i="5"/>
  <c r="G226" i="5" s="1"/>
  <c r="B234" i="5"/>
  <c r="G234" i="5" s="1"/>
  <c r="B282" i="5"/>
  <c r="G282" i="5" s="1"/>
  <c r="B288" i="5"/>
  <c r="G288" i="5" s="1"/>
  <c r="B310" i="5"/>
  <c r="G310" i="5" s="1"/>
  <c r="B334" i="5"/>
  <c r="G334" i="5" s="1"/>
  <c r="B238" i="5"/>
  <c r="G238" i="5" s="1"/>
  <c r="B242" i="5"/>
  <c r="G242" i="5" s="1"/>
  <c r="B246" i="5"/>
  <c r="G246" i="5" s="1"/>
  <c r="B250" i="5"/>
  <c r="G250" i="5" s="1"/>
  <c r="B254" i="5"/>
  <c r="G254" i="5" s="1"/>
  <c r="B258" i="5"/>
  <c r="G258" i="5" s="1"/>
  <c r="B262" i="5"/>
  <c r="G262" i="5" s="1"/>
  <c r="B280" i="5"/>
  <c r="G280" i="5" s="1"/>
  <c r="B290" i="5"/>
  <c r="G290" i="5" s="1"/>
  <c r="B298" i="5"/>
  <c r="G298" i="5" s="1"/>
  <c r="B314" i="5"/>
  <c r="G314" i="5" s="1"/>
  <c r="B330" i="5"/>
  <c r="G330" i="5" s="1"/>
  <c r="B200" i="5"/>
  <c r="G200" i="5" s="1"/>
  <c r="B202" i="5"/>
  <c r="G202" i="5" s="1"/>
  <c r="B203" i="5"/>
  <c r="G203" i="5" s="1"/>
  <c r="B206" i="5"/>
  <c r="G206" i="5" s="1"/>
  <c r="B208" i="5"/>
  <c r="G208" i="5" s="1"/>
  <c r="B210" i="5"/>
  <c r="G210" i="5" s="1"/>
  <c r="B211" i="5"/>
  <c r="G211" i="5" s="1"/>
  <c r="B214" i="5"/>
  <c r="G214" i="5" s="1"/>
  <c r="B216" i="5"/>
  <c r="G216" i="5" s="1"/>
  <c r="B218" i="5"/>
  <c r="G218" i="5" s="1"/>
  <c r="B219" i="5"/>
  <c r="G219" i="5" s="1"/>
  <c r="B222" i="5"/>
  <c r="G222" i="5" s="1"/>
  <c r="B224" i="5"/>
  <c r="G224" i="5" s="1"/>
  <c r="B232" i="5"/>
  <c r="G232" i="5" s="1"/>
  <c r="B270" i="5"/>
  <c r="G270" i="5" s="1"/>
  <c r="B278" i="5"/>
  <c r="G278" i="5" s="1"/>
  <c r="B286" i="5"/>
  <c r="G286" i="5" s="1"/>
  <c r="B318" i="5"/>
  <c r="G318" i="5" s="1"/>
  <c r="B326" i="5"/>
  <c r="G326" i="5" s="1"/>
  <c r="B267" i="5"/>
  <c r="G267" i="5" s="1"/>
  <c r="B275" i="5"/>
  <c r="G275" i="5" s="1"/>
  <c r="B291" i="5"/>
  <c r="G291" i="5" s="1"/>
  <c r="B299" i="5"/>
  <c r="G299" i="5" s="1"/>
  <c r="B322" i="5"/>
  <c r="G322" i="5" s="1"/>
  <c r="B230" i="5"/>
  <c r="G230" i="5" s="1"/>
  <c r="B264" i="5"/>
  <c r="G264" i="5" s="1"/>
  <c r="B272" i="5"/>
  <c r="G272" i="5" s="1"/>
  <c r="B240" i="5"/>
  <c r="G240" i="5" s="1"/>
  <c r="B248" i="5"/>
  <c r="G248" i="5" s="1"/>
  <c r="B256" i="5"/>
  <c r="G256" i="5" s="1"/>
  <c r="B294" i="5"/>
  <c r="G294" i="5" s="1"/>
  <c r="B302" i="5"/>
  <c r="G302" i="5" s="1"/>
  <c r="B266" i="5"/>
  <c r="G266" i="5" s="1"/>
  <c r="B274" i="5"/>
  <c r="G274" i="5" s="1"/>
  <c r="B283" i="5"/>
  <c r="G283" i="5" s="1"/>
  <c r="B296" i="5"/>
  <c r="G296" i="5" s="1"/>
  <c r="B304" i="5"/>
  <c r="G304" i="5" s="1"/>
  <c r="B312" i="5"/>
  <c r="G312" i="5" s="1"/>
  <c r="B320" i="5"/>
  <c r="G320" i="5" s="1"/>
  <c r="B328" i="5"/>
  <c r="G328" i="5" s="1"/>
  <c r="B307" i="5"/>
  <c r="G307" i="5" s="1"/>
  <c r="B315" i="5"/>
  <c r="G315" i="5" s="1"/>
  <c r="B331" i="5"/>
  <c r="G331" i="5" s="1"/>
  <c r="B336" i="5"/>
  <c r="G336" i="5" s="1"/>
  <c r="B338" i="5"/>
  <c r="G338" i="5" s="1"/>
  <c r="B339" i="5"/>
  <c r="G339" i="5" s="1"/>
  <c r="B340" i="5"/>
  <c r="G340" i="5" s="1"/>
  <c r="B342" i="5"/>
  <c r="G342" i="5" s="1"/>
  <c r="B344" i="5"/>
  <c r="G344" i="5" s="1"/>
  <c r="B346" i="5"/>
  <c r="G346" i="5" s="1"/>
  <c r="B347" i="5"/>
  <c r="G347" i="5" s="1"/>
  <c r="B348" i="5"/>
  <c r="G348" i="5" s="1"/>
  <c r="B350" i="5"/>
  <c r="G350" i="5" s="1"/>
  <c r="B352" i="5"/>
  <c r="G352" i="5" s="1"/>
  <c r="B354" i="5"/>
  <c r="G354" i="5" s="1"/>
  <c r="B355" i="5"/>
  <c r="G355" i="5" s="1"/>
  <c r="B356" i="5"/>
  <c r="G356" i="5" s="1"/>
  <c r="B358" i="5"/>
  <c r="G358" i="5" s="1"/>
  <c r="B360" i="5"/>
  <c r="G360" i="5" s="1"/>
  <c r="B362" i="5"/>
  <c r="G362" i="5" s="1"/>
  <c r="E310" i="9"/>
  <c r="E358" i="9"/>
  <c r="E342" i="9"/>
  <c r="H293" i="9"/>
  <c r="E4" i="2"/>
  <c r="D326" i="9"/>
  <c r="D358" i="9"/>
  <c r="D342" i="9"/>
  <c r="F294" i="9"/>
  <c r="F270" i="9"/>
  <c r="H357" i="9"/>
  <c r="H341" i="9"/>
  <c r="F318" i="9"/>
  <c r="F358" i="9"/>
  <c r="F342" i="9"/>
  <c r="F334" i="9"/>
  <c r="E350" i="9"/>
  <c r="H309" i="9"/>
  <c r="D350" i="9"/>
  <c r="D310" i="9"/>
  <c r="F286" i="9"/>
  <c r="H349" i="9"/>
  <c r="D302" i="9"/>
  <c r="F3" i="2"/>
  <c r="E334" i="9"/>
  <c r="F350" i="9"/>
  <c r="H301" i="9"/>
  <c r="E3" i="2"/>
  <c r="B302" i="9" l="1"/>
  <c r="B350" i="9"/>
  <c r="B310" i="9"/>
  <c r="B342" i="9"/>
  <c r="B358" i="9"/>
  <c r="B294" i="9"/>
  <c r="C282" i="9"/>
  <c r="G282" i="9"/>
  <c r="G169" i="9"/>
  <c r="C169" i="9"/>
  <c r="C23" i="9"/>
  <c r="G23" i="9"/>
  <c r="C83" i="9"/>
  <c r="G83" i="9"/>
  <c r="G286" i="9"/>
  <c r="C286" i="9"/>
  <c r="G314" i="9"/>
  <c r="C314" i="9"/>
  <c r="G235" i="9"/>
  <c r="C235" i="9"/>
  <c r="G328" i="9"/>
  <c r="C328" i="9"/>
  <c r="G315" i="9"/>
  <c r="C315" i="9"/>
  <c r="C161" i="9"/>
  <c r="G161" i="9"/>
  <c r="G153" i="9"/>
  <c r="C153" i="9"/>
  <c r="G145" i="9"/>
  <c r="C145" i="9"/>
  <c r="C162" i="9"/>
  <c r="G162" i="9"/>
  <c r="G194" i="9"/>
  <c r="C194" i="9"/>
  <c r="G224" i="9"/>
  <c r="C224" i="9"/>
  <c r="G208" i="9"/>
  <c r="C208" i="9"/>
  <c r="C70" i="9"/>
  <c r="G70" i="9"/>
  <c r="C134" i="9"/>
  <c r="G134" i="9"/>
  <c r="C103" i="9"/>
  <c r="G103" i="9"/>
  <c r="C39" i="9"/>
  <c r="G39" i="9"/>
  <c r="C65" i="9"/>
  <c r="G65" i="9"/>
  <c r="G135" i="9"/>
  <c r="C135" i="9"/>
  <c r="C99" i="9"/>
  <c r="G99" i="9"/>
  <c r="C35" i="9"/>
  <c r="G35" i="9"/>
  <c r="G219" i="9"/>
  <c r="C219" i="9"/>
  <c r="G159" i="9"/>
  <c r="C159" i="9"/>
  <c r="G203" i="9"/>
  <c r="C203" i="9"/>
  <c r="C19" i="9"/>
  <c r="G19" i="9"/>
  <c r="G360" i="9"/>
  <c r="C360" i="9"/>
  <c r="G352" i="9"/>
  <c r="C352" i="9"/>
  <c r="G344" i="9"/>
  <c r="C344" i="9"/>
  <c r="G334" i="9"/>
  <c r="C334" i="9"/>
  <c r="G278" i="9"/>
  <c r="C278" i="9"/>
  <c r="G270" i="9"/>
  <c r="C270" i="9"/>
  <c r="G262" i="9"/>
  <c r="C262" i="9"/>
  <c r="G254" i="9"/>
  <c r="C254" i="9"/>
  <c r="G234" i="9"/>
  <c r="C234" i="9"/>
  <c r="G227" i="9"/>
  <c r="C227" i="9"/>
  <c r="C290" i="9"/>
  <c r="G290" i="9"/>
  <c r="G312" i="9"/>
  <c r="C312" i="9"/>
  <c r="G192" i="9"/>
  <c r="C192" i="9"/>
  <c r="G190" i="9"/>
  <c r="C190" i="9"/>
  <c r="C166" i="9"/>
  <c r="G166" i="9"/>
  <c r="G206" i="9"/>
  <c r="C206" i="9"/>
  <c r="G179" i="9"/>
  <c r="C179" i="9"/>
  <c r="C95" i="9"/>
  <c r="G95" i="9"/>
  <c r="C31" i="9"/>
  <c r="G31" i="9"/>
  <c r="C91" i="9"/>
  <c r="G91" i="9"/>
  <c r="C27" i="9"/>
  <c r="G27" i="9"/>
  <c r="C106" i="9"/>
  <c r="G106" i="9"/>
  <c r="G14" i="9"/>
  <c r="C14" i="9"/>
  <c r="C310" i="9"/>
  <c r="G310" i="9"/>
  <c r="G143" i="9"/>
  <c r="C143" i="9"/>
  <c r="G186" i="9"/>
  <c r="C186" i="9"/>
  <c r="C49" i="9"/>
  <c r="G49" i="9"/>
  <c r="G358" i="9"/>
  <c r="C358" i="9"/>
  <c r="G350" i="9"/>
  <c r="C350" i="9"/>
  <c r="G342" i="9"/>
  <c r="C342" i="9"/>
  <c r="G318" i="9"/>
  <c r="C318" i="9"/>
  <c r="C306" i="9"/>
  <c r="G306" i="9"/>
  <c r="G218" i="9"/>
  <c r="C218" i="9"/>
  <c r="C304" i="9"/>
  <c r="G304" i="9"/>
  <c r="G184" i="9"/>
  <c r="C184" i="9"/>
  <c r="G142" i="9"/>
  <c r="C142" i="9"/>
  <c r="C163" i="9"/>
  <c r="G163" i="9"/>
  <c r="G182" i="9"/>
  <c r="C182" i="9"/>
  <c r="G240" i="9"/>
  <c r="C240" i="9"/>
  <c r="G202" i="9"/>
  <c r="C202" i="9"/>
  <c r="G171" i="9"/>
  <c r="C171" i="9"/>
  <c r="C46" i="9"/>
  <c r="G46" i="9"/>
  <c r="C79" i="9"/>
  <c r="G79" i="9"/>
  <c r="C105" i="9"/>
  <c r="G105" i="9"/>
  <c r="C41" i="9"/>
  <c r="G41" i="9"/>
  <c r="C129" i="9"/>
  <c r="G129" i="9"/>
  <c r="C75" i="9"/>
  <c r="G75" i="9"/>
  <c r="G15" i="9"/>
  <c r="C15" i="9"/>
  <c r="C42" i="9"/>
  <c r="G42" i="9"/>
  <c r="G10" i="9"/>
  <c r="C10" i="9"/>
  <c r="C307" i="9"/>
  <c r="G307" i="9"/>
  <c r="G151" i="9"/>
  <c r="C151" i="9"/>
  <c r="C74" i="9"/>
  <c r="G74" i="9"/>
  <c r="G275" i="9"/>
  <c r="C275" i="9"/>
  <c r="G267" i="9"/>
  <c r="C267" i="9"/>
  <c r="G259" i="9"/>
  <c r="C259" i="9"/>
  <c r="G251" i="9"/>
  <c r="C251" i="9"/>
  <c r="C302" i="9"/>
  <c r="G302" i="9"/>
  <c r="C298" i="9"/>
  <c r="G298" i="9"/>
  <c r="G242" i="9"/>
  <c r="C242" i="9"/>
  <c r="G238" i="9"/>
  <c r="C238" i="9"/>
  <c r="G178" i="9"/>
  <c r="C178" i="9"/>
  <c r="G216" i="9"/>
  <c r="C216" i="9"/>
  <c r="G167" i="9"/>
  <c r="C167" i="9"/>
  <c r="C102" i="9"/>
  <c r="G102" i="9"/>
  <c r="C38" i="9"/>
  <c r="G38" i="9"/>
  <c r="C126" i="9"/>
  <c r="G126" i="9"/>
  <c r="C71" i="9"/>
  <c r="G71" i="9"/>
  <c r="C56" i="9"/>
  <c r="G56" i="9"/>
  <c r="C97" i="9"/>
  <c r="G97" i="9"/>
  <c r="C33" i="9"/>
  <c r="G33" i="9"/>
  <c r="C127" i="9"/>
  <c r="G127" i="9"/>
  <c r="C67" i="9"/>
  <c r="G67" i="9"/>
  <c r="C118" i="9"/>
  <c r="G118" i="9"/>
  <c r="C26" i="9"/>
  <c r="G26" i="9"/>
  <c r="G243" i="9"/>
  <c r="C243" i="9"/>
  <c r="C34" i="9"/>
  <c r="G34" i="9"/>
  <c r="G356" i="9"/>
  <c r="C356" i="9"/>
  <c r="G348" i="9"/>
  <c r="C348" i="9"/>
  <c r="G340" i="9"/>
  <c r="C340" i="9"/>
  <c r="G274" i="9"/>
  <c r="C274" i="9"/>
  <c r="G266" i="9"/>
  <c r="C266" i="9"/>
  <c r="G258" i="9"/>
  <c r="C258" i="9"/>
  <c r="G250" i="9"/>
  <c r="C250" i="9"/>
  <c r="C296" i="9"/>
  <c r="G296" i="9"/>
  <c r="G230" i="9"/>
  <c r="C230" i="9"/>
  <c r="G176" i="9"/>
  <c r="C176" i="9"/>
  <c r="G174" i="9"/>
  <c r="C174" i="9"/>
  <c r="G214" i="9"/>
  <c r="C214" i="9"/>
  <c r="G195" i="9"/>
  <c r="C195" i="9"/>
  <c r="G137" i="9"/>
  <c r="C137" i="9"/>
  <c r="C94" i="9"/>
  <c r="G94" i="9"/>
  <c r="C30" i="9"/>
  <c r="G30" i="9"/>
  <c r="C63" i="9"/>
  <c r="G63" i="9"/>
  <c r="C89" i="9"/>
  <c r="G89" i="9"/>
  <c r="C25" i="9"/>
  <c r="G25" i="9"/>
  <c r="C59" i="9"/>
  <c r="G59" i="9"/>
  <c r="C110" i="9"/>
  <c r="G110" i="9"/>
  <c r="C18" i="9"/>
  <c r="G18" i="9"/>
  <c r="G11" i="9"/>
  <c r="C11" i="9"/>
  <c r="G6" i="9"/>
  <c r="C6" i="9"/>
  <c r="G326" i="9"/>
  <c r="C326" i="9"/>
  <c r="G226" i="9"/>
  <c r="C226" i="9"/>
  <c r="C291" i="9"/>
  <c r="G291" i="9"/>
  <c r="C54" i="9"/>
  <c r="G54" i="9"/>
  <c r="G355" i="9"/>
  <c r="C355" i="9"/>
  <c r="G347" i="9"/>
  <c r="C347" i="9"/>
  <c r="G339" i="9"/>
  <c r="C339" i="9"/>
  <c r="C288" i="9"/>
  <c r="G288" i="9"/>
  <c r="G330" i="9"/>
  <c r="C330" i="9"/>
  <c r="G320" i="9"/>
  <c r="C320" i="9"/>
  <c r="G222" i="9"/>
  <c r="C222" i="9"/>
  <c r="C283" i="9"/>
  <c r="G283" i="9"/>
  <c r="G155" i="9"/>
  <c r="C155" i="9"/>
  <c r="G147" i="9"/>
  <c r="C147" i="9"/>
  <c r="G246" i="9"/>
  <c r="C246" i="9"/>
  <c r="G211" i="9"/>
  <c r="C211" i="9"/>
  <c r="G170" i="9"/>
  <c r="C170" i="9"/>
  <c r="C121" i="9"/>
  <c r="G121" i="9"/>
  <c r="C86" i="9"/>
  <c r="G86" i="9"/>
  <c r="C22" i="9"/>
  <c r="G22" i="9"/>
  <c r="C119" i="9"/>
  <c r="G119" i="9"/>
  <c r="C55" i="9"/>
  <c r="G55" i="9"/>
  <c r="C81" i="9"/>
  <c r="G81" i="9"/>
  <c r="C17" i="9"/>
  <c r="G17" i="9"/>
  <c r="C123" i="9"/>
  <c r="G123" i="9"/>
  <c r="C51" i="9"/>
  <c r="G51" i="9"/>
  <c r="C107" i="9"/>
  <c r="G107" i="9"/>
  <c r="G9" i="9"/>
  <c r="C9" i="9"/>
  <c r="C87" i="9"/>
  <c r="G87" i="9"/>
  <c r="C131" i="9"/>
  <c r="G131" i="9"/>
  <c r="G362" i="9"/>
  <c r="C362" i="9"/>
  <c r="G354" i="9"/>
  <c r="C354" i="9"/>
  <c r="G346" i="9"/>
  <c r="C346" i="9"/>
  <c r="G338" i="9"/>
  <c r="C338" i="9"/>
  <c r="G294" i="9"/>
  <c r="C294" i="9"/>
  <c r="G272" i="9"/>
  <c r="C272" i="9"/>
  <c r="G264" i="9"/>
  <c r="C264" i="9"/>
  <c r="G256" i="9"/>
  <c r="C256" i="9"/>
  <c r="G248" i="9"/>
  <c r="C248" i="9"/>
  <c r="C280" i="9"/>
  <c r="G280" i="9"/>
  <c r="G322" i="9"/>
  <c r="C322" i="9"/>
  <c r="C299" i="9"/>
  <c r="G299" i="9"/>
  <c r="G336" i="9"/>
  <c r="C336" i="9"/>
  <c r="G331" i="9"/>
  <c r="C331" i="9"/>
  <c r="G200" i="9"/>
  <c r="C200" i="9"/>
  <c r="G154" i="9"/>
  <c r="C154" i="9"/>
  <c r="G232" i="9"/>
  <c r="C232" i="9"/>
  <c r="G198" i="9"/>
  <c r="C198" i="9"/>
  <c r="G210" i="9"/>
  <c r="C210" i="9"/>
  <c r="G187" i="9"/>
  <c r="C187" i="9"/>
  <c r="C113" i="9"/>
  <c r="G113" i="9"/>
  <c r="C78" i="9"/>
  <c r="G78" i="9"/>
  <c r="G139" i="9"/>
  <c r="C139" i="9"/>
  <c r="C111" i="9"/>
  <c r="G111" i="9"/>
  <c r="C47" i="9"/>
  <c r="G47" i="9"/>
  <c r="C73" i="9"/>
  <c r="G73" i="9"/>
  <c r="C115" i="9"/>
  <c r="G115" i="9"/>
  <c r="C43" i="9"/>
  <c r="G43" i="9"/>
  <c r="G7" i="9"/>
  <c r="C7" i="9"/>
  <c r="G258" i="7"/>
  <c r="C258" i="7"/>
  <c r="G355" i="7"/>
  <c r="C355" i="7"/>
  <c r="C322" i="7"/>
  <c r="G322" i="7"/>
  <c r="C347" i="7"/>
  <c r="G347" i="7"/>
  <c r="C315" i="7"/>
  <c r="G315" i="7"/>
  <c r="C283" i="7"/>
  <c r="G283" i="7"/>
  <c r="C340" i="7"/>
  <c r="G340" i="7"/>
  <c r="C308" i="7"/>
  <c r="G308" i="7"/>
  <c r="G356" i="7"/>
  <c r="C356" i="7"/>
  <c r="G202" i="7"/>
  <c r="C202" i="7"/>
  <c r="G186" i="7"/>
  <c r="C186" i="7"/>
  <c r="G132" i="7"/>
  <c r="C132" i="7"/>
  <c r="G220" i="7"/>
  <c r="C220" i="7"/>
  <c r="G187" i="7"/>
  <c r="C187" i="7"/>
  <c r="G219" i="7"/>
  <c r="C219" i="7"/>
  <c r="G162" i="7"/>
  <c r="C162" i="7"/>
  <c r="C68" i="7"/>
  <c r="G68" i="7"/>
  <c r="C60" i="7"/>
  <c r="G60" i="7"/>
  <c r="G170" i="7"/>
  <c r="C170" i="7"/>
  <c r="C18" i="7"/>
  <c r="G18" i="7"/>
  <c r="C36" i="7"/>
  <c r="G36" i="7"/>
  <c r="G274" i="7"/>
  <c r="C274" i="7"/>
  <c r="G210" i="7"/>
  <c r="C210" i="7"/>
  <c r="C82" i="7"/>
  <c r="G82" i="7"/>
  <c r="C42" i="7"/>
  <c r="G42" i="7"/>
  <c r="G252" i="7"/>
  <c r="C252" i="7"/>
  <c r="G124" i="7"/>
  <c r="C124" i="7"/>
  <c r="G212" i="7"/>
  <c r="C212" i="7"/>
  <c r="G211" i="7"/>
  <c r="C211" i="7"/>
  <c r="G130" i="7"/>
  <c r="C130" i="7"/>
  <c r="C32" i="7"/>
  <c r="G32" i="7"/>
  <c r="C10" i="7"/>
  <c r="G10" i="7"/>
  <c r="C28" i="7"/>
  <c r="G28" i="7"/>
  <c r="G266" i="7"/>
  <c r="C266" i="7"/>
  <c r="G188" i="7"/>
  <c r="C188" i="7"/>
  <c r="C50" i="7"/>
  <c r="G50" i="7"/>
  <c r="C26" i="7"/>
  <c r="G26" i="7"/>
  <c r="C346" i="7"/>
  <c r="G346" i="7"/>
  <c r="C314" i="7"/>
  <c r="G314" i="7"/>
  <c r="C282" i="7"/>
  <c r="G282" i="7"/>
  <c r="C339" i="7"/>
  <c r="G339" i="7"/>
  <c r="C307" i="7"/>
  <c r="G307" i="7"/>
  <c r="C332" i="7"/>
  <c r="G332" i="7"/>
  <c r="C300" i="7"/>
  <c r="G300" i="7"/>
  <c r="G244" i="7"/>
  <c r="C244" i="7"/>
  <c r="G116" i="7"/>
  <c r="C116" i="7"/>
  <c r="G204" i="7"/>
  <c r="C204" i="7"/>
  <c r="G203" i="7"/>
  <c r="C203" i="7"/>
  <c r="G122" i="7"/>
  <c r="C122" i="7"/>
  <c r="C24" i="7"/>
  <c r="G24" i="7"/>
  <c r="C52" i="7"/>
  <c r="G52" i="7"/>
  <c r="G106" i="7"/>
  <c r="C106" i="7"/>
  <c r="C20" i="7"/>
  <c r="G20" i="7"/>
  <c r="G251" i="7"/>
  <c r="C251" i="7"/>
  <c r="G236" i="7"/>
  <c r="C236" i="7"/>
  <c r="G196" i="7"/>
  <c r="C196" i="7"/>
  <c r="G172" i="7"/>
  <c r="C172" i="7"/>
  <c r="G108" i="7"/>
  <c r="C108" i="7"/>
  <c r="C180" i="7"/>
  <c r="G180" i="7"/>
  <c r="C16" i="7"/>
  <c r="G16" i="7"/>
  <c r="C48" i="7"/>
  <c r="G48" i="7"/>
  <c r="G154" i="7"/>
  <c r="C154" i="7"/>
  <c r="C12" i="7"/>
  <c r="G12" i="7"/>
  <c r="C338" i="7"/>
  <c r="G338" i="7"/>
  <c r="C306" i="7"/>
  <c r="G306" i="7"/>
  <c r="C331" i="7"/>
  <c r="G331" i="7"/>
  <c r="C299" i="7"/>
  <c r="G299" i="7"/>
  <c r="C324" i="7"/>
  <c r="G324" i="7"/>
  <c r="C292" i="7"/>
  <c r="G292" i="7"/>
  <c r="G243" i="7"/>
  <c r="C243" i="7"/>
  <c r="G228" i="7"/>
  <c r="C228" i="7"/>
  <c r="G194" i="7"/>
  <c r="C194" i="7"/>
  <c r="G164" i="7"/>
  <c r="C164" i="7"/>
  <c r="G100" i="7"/>
  <c r="C100" i="7"/>
  <c r="G250" i="7"/>
  <c r="C250" i="7"/>
  <c r="G195" i="7"/>
  <c r="C195" i="7"/>
  <c r="G90" i="7"/>
  <c r="C90" i="7"/>
  <c r="C76" i="7"/>
  <c r="G76" i="7"/>
  <c r="C8" i="7"/>
  <c r="G8" i="7"/>
  <c r="C44" i="7"/>
  <c r="G44" i="7"/>
  <c r="G138" i="7"/>
  <c r="C138" i="7"/>
  <c r="C4" i="7"/>
  <c r="G4" i="7"/>
  <c r="G140" i="7"/>
  <c r="C140" i="7"/>
  <c r="G276" i="7"/>
  <c r="C276" i="7"/>
  <c r="G268" i="7"/>
  <c r="C268" i="7"/>
  <c r="G260" i="7"/>
  <c r="C260" i="7"/>
  <c r="G362" i="7"/>
  <c r="C362" i="7"/>
  <c r="G235" i="7"/>
  <c r="C235" i="7"/>
  <c r="G226" i="7"/>
  <c r="C226" i="7"/>
  <c r="G156" i="7"/>
  <c r="C156" i="7"/>
  <c r="G92" i="7"/>
  <c r="C92" i="7"/>
  <c r="G242" i="7"/>
  <c r="C242" i="7"/>
  <c r="C74" i="7"/>
  <c r="G74" i="7"/>
  <c r="C40" i="7"/>
  <c r="G40" i="7"/>
  <c r="G114" i="7"/>
  <c r="C114" i="7"/>
  <c r="G98" i="7"/>
  <c r="C98" i="7"/>
  <c r="C330" i="7"/>
  <c r="G330" i="7"/>
  <c r="C298" i="7"/>
  <c r="G298" i="7"/>
  <c r="G275" i="7"/>
  <c r="C275" i="7"/>
  <c r="G267" i="7"/>
  <c r="C267" i="7"/>
  <c r="G259" i="7"/>
  <c r="C259" i="7"/>
  <c r="C323" i="7"/>
  <c r="G323" i="7"/>
  <c r="C291" i="7"/>
  <c r="G291" i="7"/>
  <c r="C348" i="7"/>
  <c r="G348" i="7"/>
  <c r="C316" i="7"/>
  <c r="G316" i="7"/>
  <c r="C284" i="7"/>
  <c r="G284" i="7"/>
  <c r="G227" i="7"/>
  <c r="C227" i="7"/>
  <c r="G148" i="7"/>
  <c r="C148" i="7"/>
  <c r="G234" i="7"/>
  <c r="C234" i="7"/>
  <c r="G178" i="7"/>
  <c r="C178" i="7"/>
  <c r="C58" i="7"/>
  <c r="G58" i="7"/>
  <c r="C84" i="7"/>
  <c r="G84" i="7"/>
  <c r="C34" i="7"/>
  <c r="G34" i="7"/>
  <c r="C355" i="5"/>
  <c r="C347" i="5"/>
  <c r="C339" i="5"/>
  <c r="C320" i="5"/>
  <c r="C283" i="5"/>
  <c r="C274" i="5"/>
  <c r="C272" i="5"/>
  <c r="C326" i="5"/>
  <c r="C222" i="5"/>
  <c r="C214" i="5"/>
  <c r="C206" i="5"/>
  <c r="C314" i="5"/>
  <c r="C254" i="5"/>
  <c r="C310" i="5"/>
  <c r="C243" i="5"/>
  <c r="C167" i="5"/>
  <c r="C159" i="5"/>
  <c r="C151" i="5"/>
  <c r="C134" i="5"/>
  <c r="C139" i="5"/>
  <c r="C74" i="5"/>
  <c r="C75" i="5"/>
  <c r="C39" i="5"/>
  <c r="C31" i="5"/>
  <c r="C179" i="5"/>
  <c r="C54" i="5"/>
  <c r="C71" i="5"/>
  <c r="C110" i="5"/>
  <c r="C56" i="5"/>
  <c r="C19" i="5"/>
  <c r="C47" i="5"/>
  <c r="C362" i="5"/>
  <c r="C354" i="5"/>
  <c r="C346" i="5"/>
  <c r="C338" i="5"/>
  <c r="C315" i="5"/>
  <c r="C266" i="5"/>
  <c r="C256" i="5"/>
  <c r="C264" i="5"/>
  <c r="C318" i="5"/>
  <c r="C298" i="5"/>
  <c r="C250" i="5"/>
  <c r="C288" i="5"/>
  <c r="C251" i="5"/>
  <c r="C174" i="5"/>
  <c r="C166" i="5"/>
  <c r="C187" i="5"/>
  <c r="C192" i="5"/>
  <c r="C67" i="5"/>
  <c r="C38" i="5"/>
  <c r="C30" i="5"/>
  <c r="C135" i="5"/>
  <c r="C46" i="5"/>
  <c r="C63" i="5"/>
  <c r="C15" i="5"/>
  <c r="C9" i="5"/>
  <c r="C25" i="5"/>
  <c r="C312" i="5"/>
  <c r="C230" i="5"/>
  <c r="C286" i="5"/>
  <c r="C290" i="5"/>
  <c r="C246" i="5"/>
  <c r="C282" i="5"/>
  <c r="C259" i="5"/>
  <c r="C59" i="5"/>
  <c r="C129" i="5"/>
  <c r="C123" i="5"/>
  <c r="C102" i="5"/>
  <c r="C137" i="5"/>
  <c r="C55" i="5"/>
  <c r="C26" i="5"/>
  <c r="C11" i="5"/>
  <c r="C89" i="5"/>
  <c r="C360" i="5"/>
  <c r="C352" i="5"/>
  <c r="C344" i="5"/>
  <c r="C336" i="5"/>
  <c r="C307" i="5"/>
  <c r="C302" i="5"/>
  <c r="C248" i="5"/>
  <c r="C322" i="5"/>
  <c r="C278" i="5"/>
  <c r="C219" i="5"/>
  <c r="C211" i="5"/>
  <c r="C203" i="5"/>
  <c r="C280" i="5"/>
  <c r="C242" i="5"/>
  <c r="C198" i="5"/>
  <c r="C227" i="5"/>
  <c r="C113" i="5"/>
  <c r="C145" i="5"/>
  <c r="C51" i="5"/>
  <c r="C127" i="5"/>
  <c r="C107" i="5"/>
  <c r="C94" i="5"/>
  <c r="C119" i="5"/>
  <c r="C18" i="5"/>
  <c r="C7" i="5"/>
  <c r="C49" i="5"/>
  <c r="C17" i="5"/>
  <c r="C304" i="5"/>
  <c r="C294" i="5"/>
  <c r="C299" i="5"/>
  <c r="C270" i="5"/>
  <c r="C218" i="5"/>
  <c r="C210" i="5"/>
  <c r="C202" i="5"/>
  <c r="C238" i="5"/>
  <c r="C194" i="5"/>
  <c r="C171" i="5"/>
  <c r="C163" i="5"/>
  <c r="C155" i="5"/>
  <c r="C176" i="5"/>
  <c r="C235" i="5"/>
  <c r="C106" i="5"/>
  <c r="C111" i="5"/>
  <c r="C43" i="5"/>
  <c r="C35" i="5"/>
  <c r="C99" i="5"/>
  <c r="C184" i="5"/>
  <c r="C86" i="5"/>
  <c r="C105" i="5"/>
  <c r="C81" i="5"/>
  <c r="C22" i="5"/>
  <c r="C358" i="5"/>
  <c r="C350" i="5"/>
  <c r="C342" i="5"/>
  <c r="C331" i="5"/>
  <c r="C240" i="5"/>
  <c r="C291" i="5"/>
  <c r="C232" i="5"/>
  <c r="C234" i="5"/>
  <c r="C190" i="5"/>
  <c r="C170" i="5"/>
  <c r="C162" i="5"/>
  <c r="C154" i="5"/>
  <c r="C178" i="5"/>
  <c r="C42" i="5"/>
  <c r="C34" i="5"/>
  <c r="C118" i="5"/>
  <c r="C91" i="5"/>
  <c r="C147" i="5"/>
  <c r="C78" i="5"/>
  <c r="C97" i="5"/>
  <c r="C126" i="5"/>
  <c r="C6" i="5"/>
  <c r="C73" i="5"/>
  <c r="C103" i="5"/>
  <c r="C328" i="5"/>
  <c r="C296" i="5"/>
  <c r="C275" i="5"/>
  <c r="C224" i="5"/>
  <c r="C216" i="5"/>
  <c r="C208" i="5"/>
  <c r="C200" i="5"/>
  <c r="C262" i="5"/>
  <c r="C226" i="5"/>
  <c r="C186" i="5"/>
  <c r="C169" i="5"/>
  <c r="C161" i="5"/>
  <c r="C153" i="5"/>
  <c r="C41" i="5"/>
  <c r="C33" i="5"/>
  <c r="C131" i="5"/>
  <c r="C70" i="5"/>
  <c r="C87" i="5"/>
  <c r="C27" i="5"/>
  <c r="C143" i="5"/>
  <c r="C115" i="5"/>
  <c r="C14" i="5"/>
  <c r="C356" i="5"/>
  <c r="C348" i="5"/>
  <c r="C340" i="5"/>
  <c r="C267" i="5"/>
  <c r="C330" i="5"/>
  <c r="C258" i="5"/>
  <c r="C334" i="5"/>
  <c r="C306" i="5"/>
  <c r="C182" i="5"/>
  <c r="C195" i="5"/>
  <c r="C142" i="5"/>
  <c r="C83" i="5"/>
  <c r="C121" i="5"/>
  <c r="C79" i="5"/>
  <c r="C23" i="5"/>
  <c r="C95" i="5"/>
  <c r="C65" i="5"/>
  <c r="C10" i="5"/>
  <c r="B3" i="4"/>
  <c r="C3" i="4" s="1"/>
  <c r="C3" i="2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13" i="4"/>
  <c r="A14" i="4"/>
  <c r="A15" i="4"/>
  <c r="A16" i="4"/>
  <c r="A17" i="4"/>
  <c r="A18" i="4"/>
  <c r="A19" i="4"/>
  <c r="A20" i="4"/>
  <c r="A21" i="4"/>
  <c r="A22" i="4"/>
  <c r="A5" i="4"/>
  <c r="A6" i="4"/>
  <c r="A7" i="4"/>
  <c r="A8" i="4"/>
  <c r="A9" i="4"/>
  <c r="A10" i="4"/>
  <c r="A11" i="4"/>
  <c r="A12" i="4"/>
  <c r="A4" i="4"/>
  <c r="A3" i="4"/>
  <c r="E9" i="3"/>
  <c r="J9" i="3" s="1"/>
  <c r="K9" i="3" s="1"/>
  <c r="D23" i="3"/>
  <c r="H23" i="3" s="1"/>
  <c r="I23" i="3" s="1"/>
  <c r="D47" i="3"/>
  <c r="H47" i="3" s="1"/>
  <c r="I47" i="3" s="1"/>
  <c r="D63" i="3"/>
  <c r="H63" i="3" s="1"/>
  <c r="I63" i="3" s="1"/>
  <c r="E143" i="3"/>
  <c r="J143" i="3" s="1"/>
  <c r="K143" i="3" s="1"/>
  <c r="E223" i="3"/>
  <c r="J223" i="3" s="1"/>
  <c r="K223" i="3" s="1"/>
  <c r="E351" i="3"/>
  <c r="J351" i="3" s="1"/>
  <c r="K351" i="3" s="1"/>
  <c r="B4" i="3"/>
  <c r="E4" i="3" s="1"/>
  <c r="J4" i="3" s="1"/>
  <c r="K4" i="3" s="1"/>
  <c r="B5" i="3"/>
  <c r="B6" i="3"/>
  <c r="B7" i="3"/>
  <c r="D7" i="3" s="1"/>
  <c r="H7" i="3" s="1"/>
  <c r="I7" i="3" s="1"/>
  <c r="B8" i="3"/>
  <c r="B9" i="3"/>
  <c r="C9" i="3" s="1"/>
  <c r="F9" i="3" s="1"/>
  <c r="G9" i="3" s="1"/>
  <c r="B10" i="3"/>
  <c r="B11" i="3"/>
  <c r="B12" i="3"/>
  <c r="B13" i="3"/>
  <c r="E13" i="3" s="1"/>
  <c r="J13" i="3" s="1"/>
  <c r="K13" i="3" s="1"/>
  <c r="B14" i="3"/>
  <c r="E14" i="3" s="1"/>
  <c r="J14" i="3" s="1"/>
  <c r="K14" i="3" s="1"/>
  <c r="B15" i="3"/>
  <c r="B16" i="3"/>
  <c r="E16" i="3" s="1"/>
  <c r="J16" i="3" s="1"/>
  <c r="K16" i="3" s="1"/>
  <c r="B17" i="3"/>
  <c r="B18" i="3"/>
  <c r="E18" i="3" s="1"/>
  <c r="J18" i="3" s="1"/>
  <c r="K18" i="3" s="1"/>
  <c r="B19" i="3"/>
  <c r="C19" i="3" s="1"/>
  <c r="F19" i="3" s="1"/>
  <c r="G19" i="3" s="1"/>
  <c r="B20" i="3"/>
  <c r="B21" i="3"/>
  <c r="E21" i="3" s="1"/>
  <c r="J21" i="3" s="1"/>
  <c r="K21" i="3" s="1"/>
  <c r="B22" i="3"/>
  <c r="B23" i="3"/>
  <c r="B24" i="3"/>
  <c r="C24" i="3" s="1"/>
  <c r="F24" i="3" s="1"/>
  <c r="G24" i="3" s="1"/>
  <c r="B25" i="3"/>
  <c r="B26" i="3"/>
  <c r="B27" i="3"/>
  <c r="B28" i="3"/>
  <c r="D28" i="3" s="1"/>
  <c r="H28" i="3" s="1"/>
  <c r="I28" i="3" s="1"/>
  <c r="B29" i="3"/>
  <c r="B30" i="3"/>
  <c r="B31" i="3"/>
  <c r="C31" i="3" s="1"/>
  <c r="F31" i="3" s="1"/>
  <c r="G31" i="3" s="1"/>
  <c r="B32" i="3"/>
  <c r="B33" i="3"/>
  <c r="B34" i="3"/>
  <c r="B35" i="3"/>
  <c r="B36" i="3"/>
  <c r="B37" i="3"/>
  <c r="E37" i="3" s="1"/>
  <c r="J37" i="3" s="1"/>
  <c r="K37" i="3" s="1"/>
  <c r="B38" i="3"/>
  <c r="C38" i="3" s="1"/>
  <c r="F38" i="3" s="1"/>
  <c r="G38" i="3" s="1"/>
  <c r="B39" i="3"/>
  <c r="B40" i="3"/>
  <c r="D40" i="3" s="1"/>
  <c r="H40" i="3" s="1"/>
  <c r="I40" i="3" s="1"/>
  <c r="B41" i="3"/>
  <c r="B42" i="3"/>
  <c r="C42" i="3" s="1"/>
  <c r="F42" i="3" s="1"/>
  <c r="G42" i="3" s="1"/>
  <c r="B43" i="3"/>
  <c r="C43" i="3" s="1"/>
  <c r="F43" i="3" s="1"/>
  <c r="G43" i="3" s="1"/>
  <c r="B44" i="3"/>
  <c r="B45" i="3"/>
  <c r="D45" i="3" s="1"/>
  <c r="H45" i="3" s="1"/>
  <c r="I45" i="3" s="1"/>
  <c r="B46" i="3"/>
  <c r="B47" i="3"/>
  <c r="E47" i="3" s="1"/>
  <c r="J47" i="3" s="1"/>
  <c r="K47" i="3" s="1"/>
  <c r="B48" i="3"/>
  <c r="B49" i="3"/>
  <c r="B50" i="3"/>
  <c r="C50" i="3" s="1"/>
  <c r="F50" i="3" s="1"/>
  <c r="G50" i="3" s="1"/>
  <c r="B51" i="3"/>
  <c r="B52" i="3"/>
  <c r="C52" i="3" s="1"/>
  <c r="F52" i="3" s="1"/>
  <c r="G52" i="3" s="1"/>
  <c r="B53" i="3"/>
  <c r="B54" i="3"/>
  <c r="C54" i="3" s="1"/>
  <c r="F54" i="3" s="1"/>
  <c r="G54" i="3" s="1"/>
  <c r="B55" i="3"/>
  <c r="D55" i="3" s="1"/>
  <c r="H55" i="3" s="1"/>
  <c r="I55" i="3" s="1"/>
  <c r="B56" i="3"/>
  <c r="B57" i="3"/>
  <c r="B58" i="3"/>
  <c r="B59" i="3"/>
  <c r="E59" i="3" s="1"/>
  <c r="J59" i="3" s="1"/>
  <c r="K59" i="3" s="1"/>
  <c r="B60" i="3"/>
  <c r="B61" i="3"/>
  <c r="E61" i="3" s="1"/>
  <c r="J61" i="3" s="1"/>
  <c r="K61" i="3" s="1"/>
  <c r="B62" i="3"/>
  <c r="E62" i="3" s="1"/>
  <c r="J62" i="3" s="1"/>
  <c r="K62" i="3" s="1"/>
  <c r="B63" i="3"/>
  <c r="B64" i="3"/>
  <c r="B65" i="3"/>
  <c r="B66" i="3"/>
  <c r="E66" i="3" s="1"/>
  <c r="J66" i="3" s="1"/>
  <c r="K66" i="3" s="1"/>
  <c r="B67" i="3"/>
  <c r="E67" i="3" s="1"/>
  <c r="J67" i="3" s="1"/>
  <c r="K67" i="3" s="1"/>
  <c r="B68" i="3"/>
  <c r="B69" i="3"/>
  <c r="E69" i="3" s="1"/>
  <c r="J69" i="3" s="1"/>
  <c r="K69" i="3" s="1"/>
  <c r="B70" i="3"/>
  <c r="E70" i="3" s="1"/>
  <c r="J70" i="3" s="1"/>
  <c r="K70" i="3" s="1"/>
  <c r="B71" i="3"/>
  <c r="B72" i="3"/>
  <c r="E72" i="3" s="1"/>
  <c r="J72" i="3" s="1"/>
  <c r="K72" i="3" s="1"/>
  <c r="B73" i="3"/>
  <c r="B74" i="3"/>
  <c r="C74" i="3" s="1"/>
  <c r="F74" i="3" s="1"/>
  <c r="G74" i="3" s="1"/>
  <c r="B75" i="3"/>
  <c r="E75" i="3" s="1"/>
  <c r="J75" i="3" s="1"/>
  <c r="K75" i="3" s="1"/>
  <c r="B76" i="3"/>
  <c r="B77" i="3"/>
  <c r="C77" i="3" s="1"/>
  <c r="F77" i="3" s="1"/>
  <c r="G77" i="3" s="1"/>
  <c r="B78" i="3"/>
  <c r="E78" i="3" s="1"/>
  <c r="J78" i="3" s="1"/>
  <c r="K78" i="3" s="1"/>
  <c r="B79" i="3"/>
  <c r="E79" i="3" s="1"/>
  <c r="J79" i="3" s="1"/>
  <c r="K79" i="3" s="1"/>
  <c r="B80" i="3"/>
  <c r="B81" i="3"/>
  <c r="B82" i="3"/>
  <c r="B83" i="3"/>
  <c r="C83" i="3" s="1"/>
  <c r="F83" i="3" s="1"/>
  <c r="G83" i="3" s="1"/>
  <c r="B84" i="3"/>
  <c r="B85" i="3"/>
  <c r="C85" i="3" s="1"/>
  <c r="F85" i="3" s="1"/>
  <c r="G85" i="3" s="1"/>
  <c r="B86" i="3"/>
  <c r="E86" i="3" s="1"/>
  <c r="J86" i="3" s="1"/>
  <c r="K86" i="3" s="1"/>
  <c r="B87" i="3"/>
  <c r="E87" i="3" s="1"/>
  <c r="J87" i="3" s="1"/>
  <c r="K87" i="3" s="1"/>
  <c r="B88" i="3"/>
  <c r="B89" i="3"/>
  <c r="B90" i="3"/>
  <c r="D90" i="3" s="1"/>
  <c r="H90" i="3" s="1"/>
  <c r="I90" i="3" s="1"/>
  <c r="B91" i="3"/>
  <c r="C91" i="3" s="1"/>
  <c r="F91" i="3" s="1"/>
  <c r="G91" i="3" s="1"/>
  <c r="B92" i="3"/>
  <c r="B93" i="3"/>
  <c r="C93" i="3" s="1"/>
  <c r="F93" i="3" s="1"/>
  <c r="G93" i="3" s="1"/>
  <c r="B94" i="3"/>
  <c r="E94" i="3" s="1"/>
  <c r="J94" i="3" s="1"/>
  <c r="K94" i="3" s="1"/>
  <c r="B95" i="3"/>
  <c r="E95" i="3" s="1"/>
  <c r="J95" i="3" s="1"/>
  <c r="K95" i="3" s="1"/>
  <c r="B96" i="3"/>
  <c r="B97" i="3"/>
  <c r="B98" i="3"/>
  <c r="D98" i="3" s="1"/>
  <c r="H98" i="3" s="1"/>
  <c r="I98" i="3" s="1"/>
  <c r="B99" i="3"/>
  <c r="C99" i="3" s="1"/>
  <c r="F99" i="3" s="1"/>
  <c r="G99" i="3" s="1"/>
  <c r="B100" i="3"/>
  <c r="B101" i="3"/>
  <c r="C101" i="3" s="1"/>
  <c r="F101" i="3" s="1"/>
  <c r="G101" i="3" s="1"/>
  <c r="B102" i="3"/>
  <c r="E102" i="3" s="1"/>
  <c r="J102" i="3" s="1"/>
  <c r="K102" i="3" s="1"/>
  <c r="B103" i="3"/>
  <c r="B104" i="3"/>
  <c r="B105" i="3"/>
  <c r="B106" i="3"/>
  <c r="B107" i="3"/>
  <c r="C107" i="3" s="1"/>
  <c r="F107" i="3" s="1"/>
  <c r="G107" i="3" s="1"/>
  <c r="B108" i="3"/>
  <c r="B109" i="3"/>
  <c r="B110" i="3"/>
  <c r="E110" i="3" s="1"/>
  <c r="J110" i="3" s="1"/>
  <c r="K110" i="3" s="1"/>
  <c r="B111" i="3"/>
  <c r="E111" i="3" s="1"/>
  <c r="J111" i="3" s="1"/>
  <c r="K111" i="3" s="1"/>
  <c r="B112" i="3"/>
  <c r="E112" i="3" s="1"/>
  <c r="J112" i="3" s="1"/>
  <c r="K112" i="3" s="1"/>
  <c r="B113" i="3"/>
  <c r="C113" i="3" s="1"/>
  <c r="F113" i="3" s="1"/>
  <c r="G113" i="3" s="1"/>
  <c r="B114" i="3"/>
  <c r="D114" i="3" s="1"/>
  <c r="H114" i="3" s="1"/>
  <c r="I114" i="3" s="1"/>
  <c r="B115" i="3"/>
  <c r="C115" i="3" s="1"/>
  <c r="F115" i="3" s="1"/>
  <c r="G115" i="3" s="1"/>
  <c r="B116" i="3"/>
  <c r="B117" i="3"/>
  <c r="C117" i="3" s="1"/>
  <c r="F117" i="3" s="1"/>
  <c r="G117" i="3" s="1"/>
  <c r="B118" i="3"/>
  <c r="E118" i="3" s="1"/>
  <c r="J118" i="3" s="1"/>
  <c r="K118" i="3" s="1"/>
  <c r="B119" i="3"/>
  <c r="E119" i="3" s="1"/>
  <c r="J119" i="3" s="1"/>
  <c r="K119" i="3" s="1"/>
  <c r="B120" i="3"/>
  <c r="E120" i="3" s="1"/>
  <c r="J120" i="3" s="1"/>
  <c r="K120" i="3" s="1"/>
  <c r="B121" i="3"/>
  <c r="C121" i="3" s="1"/>
  <c r="F121" i="3" s="1"/>
  <c r="G121" i="3" s="1"/>
  <c r="B122" i="3"/>
  <c r="D122" i="3" s="1"/>
  <c r="H122" i="3" s="1"/>
  <c r="I122" i="3" s="1"/>
  <c r="B123" i="3"/>
  <c r="C123" i="3" s="1"/>
  <c r="F123" i="3" s="1"/>
  <c r="G123" i="3" s="1"/>
  <c r="B124" i="3"/>
  <c r="B125" i="3"/>
  <c r="C125" i="3" s="1"/>
  <c r="F125" i="3" s="1"/>
  <c r="G125" i="3" s="1"/>
  <c r="B126" i="3"/>
  <c r="E126" i="3" s="1"/>
  <c r="J126" i="3" s="1"/>
  <c r="K126" i="3" s="1"/>
  <c r="B127" i="3"/>
  <c r="E127" i="3" s="1"/>
  <c r="J127" i="3" s="1"/>
  <c r="K127" i="3" s="1"/>
  <c r="B128" i="3"/>
  <c r="E128" i="3" s="1"/>
  <c r="J128" i="3" s="1"/>
  <c r="K128" i="3" s="1"/>
  <c r="B129" i="3"/>
  <c r="C129" i="3" s="1"/>
  <c r="F129" i="3" s="1"/>
  <c r="G129" i="3" s="1"/>
  <c r="B130" i="3"/>
  <c r="D130" i="3" s="1"/>
  <c r="H130" i="3" s="1"/>
  <c r="I130" i="3" s="1"/>
  <c r="B131" i="3"/>
  <c r="C131" i="3" s="1"/>
  <c r="F131" i="3" s="1"/>
  <c r="G131" i="3" s="1"/>
  <c r="B132" i="3"/>
  <c r="B133" i="3"/>
  <c r="C133" i="3" s="1"/>
  <c r="F133" i="3" s="1"/>
  <c r="G133" i="3" s="1"/>
  <c r="B134" i="3"/>
  <c r="E134" i="3" s="1"/>
  <c r="J134" i="3" s="1"/>
  <c r="K134" i="3" s="1"/>
  <c r="B135" i="3"/>
  <c r="E135" i="3" s="1"/>
  <c r="J135" i="3" s="1"/>
  <c r="K135" i="3" s="1"/>
  <c r="B136" i="3"/>
  <c r="E136" i="3" s="1"/>
  <c r="J136" i="3" s="1"/>
  <c r="K136" i="3" s="1"/>
  <c r="B137" i="3"/>
  <c r="B138" i="3"/>
  <c r="D138" i="3" s="1"/>
  <c r="H138" i="3" s="1"/>
  <c r="I138" i="3" s="1"/>
  <c r="B139" i="3"/>
  <c r="C139" i="3" s="1"/>
  <c r="F139" i="3" s="1"/>
  <c r="G139" i="3" s="1"/>
  <c r="B140" i="3"/>
  <c r="B141" i="3"/>
  <c r="D141" i="3" s="1"/>
  <c r="H141" i="3" s="1"/>
  <c r="I141" i="3" s="1"/>
  <c r="B142" i="3"/>
  <c r="E142" i="3" s="1"/>
  <c r="J142" i="3" s="1"/>
  <c r="K142" i="3" s="1"/>
  <c r="B143" i="3"/>
  <c r="D143" i="3" s="1"/>
  <c r="H143" i="3" s="1"/>
  <c r="I143" i="3" s="1"/>
  <c r="B144" i="3"/>
  <c r="C144" i="3" s="1"/>
  <c r="F144" i="3" s="1"/>
  <c r="G144" i="3" s="1"/>
  <c r="B145" i="3"/>
  <c r="D145" i="3" s="1"/>
  <c r="H145" i="3" s="1"/>
  <c r="I145" i="3" s="1"/>
  <c r="B146" i="3"/>
  <c r="D146" i="3" s="1"/>
  <c r="H146" i="3" s="1"/>
  <c r="I146" i="3" s="1"/>
  <c r="B147" i="3"/>
  <c r="C147" i="3" s="1"/>
  <c r="F147" i="3" s="1"/>
  <c r="G147" i="3" s="1"/>
  <c r="B148" i="3"/>
  <c r="B149" i="3"/>
  <c r="D149" i="3" s="1"/>
  <c r="H149" i="3" s="1"/>
  <c r="I149" i="3" s="1"/>
  <c r="B150" i="3"/>
  <c r="E150" i="3" s="1"/>
  <c r="J150" i="3" s="1"/>
  <c r="K150" i="3" s="1"/>
  <c r="B151" i="3"/>
  <c r="D151" i="3" s="1"/>
  <c r="H151" i="3" s="1"/>
  <c r="I151" i="3" s="1"/>
  <c r="B152" i="3"/>
  <c r="C152" i="3" s="1"/>
  <c r="F152" i="3" s="1"/>
  <c r="G152" i="3" s="1"/>
  <c r="B153" i="3"/>
  <c r="D153" i="3" s="1"/>
  <c r="H153" i="3" s="1"/>
  <c r="I153" i="3" s="1"/>
  <c r="B154" i="3"/>
  <c r="B155" i="3"/>
  <c r="C155" i="3" s="1"/>
  <c r="F155" i="3" s="1"/>
  <c r="G155" i="3" s="1"/>
  <c r="B156" i="3"/>
  <c r="B157" i="3"/>
  <c r="D157" i="3" s="1"/>
  <c r="H157" i="3" s="1"/>
  <c r="I157" i="3" s="1"/>
  <c r="B158" i="3"/>
  <c r="E158" i="3" s="1"/>
  <c r="J158" i="3" s="1"/>
  <c r="K158" i="3" s="1"/>
  <c r="B159" i="3"/>
  <c r="D159" i="3" s="1"/>
  <c r="H159" i="3" s="1"/>
  <c r="I159" i="3" s="1"/>
  <c r="B160" i="3"/>
  <c r="C160" i="3" s="1"/>
  <c r="F160" i="3" s="1"/>
  <c r="G160" i="3" s="1"/>
  <c r="B161" i="3"/>
  <c r="D161" i="3" s="1"/>
  <c r="H161" i="3" s="1"/>
  <c r="I161" i="3" s="1"/>
  <c r="B162" i="3"/>
  <c r="D162" i="3" s="1"/>
  <c r="H162" i="3" s="1"/>
  <c r="I162" i="3" s="1"/>
  <c r="B163" i="3"/>
  <c r="C163" i="3" s="1"/>
  <c r="F163" i="3" s="1"/>
  <c r="G163" i="3" s="1"/>
  <c r="B164" i="3"/>
  <c r="B165" i="3"/>
  <c r="D165" i="3" s="1"/>
  <c r="H165" i="3" s="1"/>
  <c r="I165" i="3" s="1"/>
  <c r="B166" i="3"/>
  <c r="E166" i="3" s="1"/>
  <c r="J166" i="3" s="1"/>
  <c r="K166" i="3" s="1"/>
  <c r="B167" i="3"/>
  <c r="D167" i="3" s="1"/>
  <c r="H167" i="3" s="1"/>
  <c r="I167" i="3" s="1"/>
  <c r="B168" i="3"/>
  <c r="C168" i="3" s="1"/>
  <c r="F168" i="3" s="1"/>
  <c r="G168" i="3" s="1"/>
  <c r="B169" i="3"/>
  <c r="D169" i="3" s="1"/>
  <c r="H169" i="3" s="1"/>
  <c r="I169" i="3" s="1"/>
  <c r="B170" i="3"/>
  <c r="D170" i="3" s="1"/>
  <c r="H170" i="3" s="1"/>
  <c r="I170" i="3" s="1"/>
  <c r="B171" i="3"/>
  <c r="D171" i="3" s="1"/>
  <c r="H171" i="3" s="1"/>
  <c r="I171" i="3" s="1"/>
  <c r="B172" i="3"/>
  <c r="B173" i="3"/>
  <c r="D173" i="3" s="1"/>
  <c r="H173" i="3" s="1"/>
  <c r="I173" i="3" s="1"/>
  <c r="B174" i="3"/>
  <c r="E174" i="3" s="1"/>
  <c r="J174" i="3" s="1"/>
  <c r="K174" i="3" s="1"/>
  <c r="B175" i="3"/>
  <c r="D175" i="3" s="1"/>
  <c r="H175" i="3" s="1"/>
  <c r="I175" i="3" s="1"/>
  <c r="B176" i="3"/>
  <c r="C176" i="3" s="1"/>
  <c r="F176" i="3" s="1"/>
  <c r="G176" i="3" s="1"/>
  <c r="B177" i="3"/>
  <c r="D177" i="3" s="1"/>
  <c r="H177" i="3" s="1"/>
  <c r="I177" i="3" s="1"/>
  <c r="B178" i="3"/>
  <c r="B179" i="3"/>
  <c r="E179" i="3" s="1"/>
  <c r="J179" i="3" s="1"/>
  <c r="K179" i="3" s="1"/>
  <c r="B180" i="3"/>
  <c r="D180" i="3" s="1"/>
  <c r="H180" i="3" s="1"/>
  <c r="I180" i="3" s="1"/>
  <c r="B181" i="3"/>
  <c r="D181" i="3" s="1"/>
  <c r="H181" i="3" s="1"/>
  <c r="I181" i="3" s="1"/>
  <c r="B182" i="3"/>
  <c r="E182" i="3" s="1"/>
  <c r="J182" i="3" s="1"/>
  <c r="K182" i="3" s="1"/>
  <c r="B183" i="3"/>
  <c r="D183" i="3" s="1"/>
  <c r="H183" i="3" s="1"/>
  <c r="I183" i="3" s="1"/>
  <c r="B184" i="3"/>
  <c r="C184" i="3" s="1"/>
  <c r="F184" i="3" s="1"/>
  <c r="G184" i="3" s="1"/>
  <c r="B185" i="3"/>
  <c r="D185" i="3" s="1"/>
  <c r="H185" i="3" s="1"/>
  <c r="I185" i="3" s="1"/>
  <c r="B186" i="3"/>
  <c r="D186" i="3" s="1"/>
  <c r="H186" i="3" s="1"/>
  <c r="I186" i="3" s="1"/>
  <c r="B187" i="3"/>
  <c r="C187" i="3" s="1"/>
  <c r="F187" i="3" s="1"/>
  <c r="G187" i="3" s="1"/>
  <c r="B188" i="3"/>
  <c r="B189" i="3"/>
  <c r="D189" i="3" s="1"/>
  <c r="H189" i="3" s="1"/>
  <c r="I189" i="3" s="1"/>
  <c r="B190" i="3"/>
  <c r="E190" i="3" s="1"/>
  <c r="J190" i="3" s="1"/>
  <c r="K190" i="3" s="1"/>
  <c r="B191" i="3"/>
  <c r="D191" i="3" s="1"/>
  <c r="H191" i="3" s="1"/>
  <c r="I191" i="3" s="1"/>
  <c r="B192" i="3"/>
  <c r="C192" i="3" s="1"/>
  <c r="F192" i="3" s="1"/>
  <c r="G192" i="3" s="1"/>
  <c r="B193" i="3"/>
  <c r="D193" i="3" s="1"/>
  <c r="H193" i="3" s="1"/>
  <c r="I193" i="3" s="1"/>
  <c r="B194" i="3"/>
  <c r="D194" i="3" s="1"/>
  <c r="H194" i="3" s="1"/>
  <c r="I194" i="3" s="1"/>
  <c r="B195" i="3"/>
  <c r="D195" i="3" s="1"/>
  <c r="H195" i="3" s="1"/>
  <c r="I195" i="3" s="1"/>
  <c r="B196" i="3"/>
  <c r="B197" i="3"/>
  <c r="D197" i="3" s="1"/>
  <c r="H197" i="3" s="1"/>
  <c r="I197" i="3" s="1"/>
  <c r="B198" i="3"/>
  <c r="E198" i="3" s="1"/>
  <c r="J198" i="3" s="1"/>
  <c r="K198" i="3" s="1"/>
  <c r="B199" i="3"/>
  <c r="D199" i="3" s="1"/>
  <c r="H199" i="3" s="1"/>
  <c r="I199" i="3" s="1"/>
  <c r="B200" i="3"/>
  <c r="C200" i="3" s="1"/>
  <c r="F200" i="3" s="1"/>
  <c r="G200" i="3" s="1"/>
  <c r="B201" i="3"/>
  <c r="D201" i="3" s="1"/>
  <c r="H201" i="3" s="1"/>
  <c r="I201" i="3" s="1"/>
  <c r="B202" i="3"/>
  <c r="D202" i="3" s="1"/>
  <c r="H202" i="3" s="1"/>
  <c r="I202" i="3" s="1"/>
  <c r="B203" i="3"/>
  <c r="E203" i="3" s="1"/>
  <c r="J203" i="3" s="1"/>
  <c r="K203" i="3" s="1"/>
  <c r="B204" i="3"/>
  <c r="B205" i="3"/>
  <c r="D205" i="3" s="1"/>
  <c r="H205" i="3" s="1"/>
  <c r="I205" i="3" s="1"/>
  <c r="B206" i="3"/>
  <c r="E206" i="3" s="1"/>
  <c r="J206" i="3" s="1"/>
  <c r="K206" i="3" s="1"/>
  <c r="B207" i="3"/>
  <c r="D207" i="3" s="1"/>
  <c r="H207" i="3" s="1"/>
  <c r="I207" i="3" s="1"/>
  <c r="B208" i="3"/>
  <c r="C208" i="3" s="1"/>
  <c r="F208" i="3" s="1"/>
  <c r="G208" i="3" s="1"/>
  <c r="B209" i="3"/>
  <c r="D209" i="3" s="1"/>
  <c r="H209" i="3" s="1"/>
  <c r="I209" i="3" s="1"/>
  <c r="B210" i="3"/>
  <c r="D210" i="3" s="1"/>
  <c r="H210" i="3" s="1"/>
  <c r="I210" i="3" s="1"/>
  <c r="B211" i="3"/>
  <c r="C211" i="3" s="1"/>
  <c r="F211" i="3" s="1"/>
  <c r="G211" i="3" s="1"/>
  <c r="B212" i="3"/>
  <c r="B213" i="3"/>
  <c r="D213" i="3" s="1"/>
  <c r="H213" i="3" s="1"/>
  <c r="I213" i="3" s="1"/>
  <c r="B214" i="3"/>
  <c r="E214" i="3" s="1"/>
  <c r="J214" i="3" s="1"/>
  <c r="K214" i="3" s="1"/>
  <c r="B215" i="3"/>
  <c r="D215" i="3" s="1"/>
  <c r="H215" i="3" s="1"/>
  <c r="I215" i="3" s="1"/>
  <c r="B216" i="3"/>
  <c r="C216" i="3" s="1"/>
  <c r="F216" i="3" s="1"/>
  <c r="G216" i="3" s="1"/>
  <c r="B217" i="3"/>
  <c r="D217" i="3" s="1"/>
  <c r="H217" i="3" s="1"/>
  <c r="I217" i="3" s="1"/>
  <c r="B218" i="3"/>
  <c r="B219" i="3"/>
  <c r="C219" i="3" s="1"/>
  <c r="F219" i="3" s="1"/>
  <c r="G219" i="3" s="1"/>
  <c r="B220" i="3"/>
  <c r="B221" i="3"/>
  <c r="D221" i="3" s="1"/>
  <c r="H221" i="3" s="1"/>
  <c r="I221" i="3" s="1"/>
  <c r="B222" i="3"/>
  <c r="E222" i="3" s="1"/>
  <c r="J222" i="3" s="1"/>
  <c r="K222" i="3" s="1"/>
  <c r="B223" i="3"/>
  <c r="D223" i="3" s="1"/>
  <c r="H223" i="3" s="1"/>
  <c r="I223" i="3" s="1"/>
  <c r="B224" i="3"/>
  <c r="C224" i="3" s="1"/>
  <c r="F224" i="3" s="1"/>
  <c r="G224" i="3" s="1"/>
  <c r="B225" i="3"/>
  <c r="D225" i="3" s="1"/>
  <c r="H225" i="3" s="1"/>
  <c r="I225" i="3" s="1"/>
  <c r="B226" i="3"/>
  <c r="D226" i="3" s="1"/>
  <c r="H226" i="3" s="1"/>
  <c r="I226" i="3" s="1"/>
  <c r="B227" i="3"/>
  <c r="C227" i="3" s="1"/>
  <c r="F227" i="3" s="1"/>
  <c r="G227" i="3" s="1"/>
  <c r="B228" i="3"/>
  <c r="B229" i="3"/>
  <c r="D229" i="3" s="1"/>
  <c r="H229" i="3" s="1"/>
  <c r="I229" i="3" s="1"/>
  <c r="B230" i="3"/>
  <c r="E230" i="3" s="1"/>
  <c r="J230" i="3" s="1"/>
  <c r="K230" i="3" s="1"/>
  <c r="B231" i="3"/>
  <c r="D231" i="3" s="1"/>
  <c r="H231" i="3" s="1"/>
  <c r="I231" i="3" s="1"/>
  <c r="B232" i="3"/>
  <c r="C232" i="3" s="1"/>
  <c r="F232" i="3" s="1"/>
  <c r="G232" i="3" s="1"/>
  <c r="B233" i="3"/>
  <c r="D233" i="3" s="1"/>
  <c r="H233" i="3" s="1"/>
  <c r="I233" i="3" s="1"/>
  <c r="B234" i="3"/>
  <c r="D234" i="3" s="1"/>
  <c r="H234" i="3" s="1"/>
  <c r="I234" i="3" s="1"/>
  <c r="B235" i="3"/>
  <c r="D235" i="3" s="1"/>
  <c r="H235" i="3" s="1"/>
  <c r="I235" i="3" s="1"/>
  <c r="B236" i="3"/>
  <c r="B237" i="3"/>
  <c r="D237" i="3" s="1"/>
  <c r="H237" i="3" s="1"/>
  <c r="I237" i="3" s="1"/>
  <c r="B238" i="3"/>
  <c r="E238" i="3" s="1"/>
  <c r="J238" i="3" s="1"/>
  <c r="K238" i="3" s="1"/>
  <c r="B239" i="3"/>
  <c r="D239" i="3" s="1"/>
  <c r="H239" i="3" s="1"/>
  <c r="I239" i="3" s="1"/>
  <c r="B240" i="3"/>
  <c r="C240" i="3" s="1"/>
  <c r="F240" i="3" s="1"/>
  <c r="G240" i="3" s="1"/>
  <c r="B241" i="3"/>
  <c r="D241" i="3" s="1"/>
  <c r="H241" i="3" s="1"/>
  <c r="I241" i="3" s="1"/>
  <c r="B242" i="3"/>
  <c r="B243" i="3"/>
  <c r="E243" i="3" s="1"/>
  <c r="J243" i="3" s="1"/>
  <c r="K243" i="3" s="1"/>
  <c r="B244" i="3"/>
  <c r="D244" i="3" s="1"/>
  <c r="H244" i="3" s="1"/>
  <c r="I244" i="3" s="1"/>
  <c r="B245" i="3"/>
  <c r="D245" i="3" s="1"/>
  <c r="H245" i="3" s="1"/>
  <c r="I245" i="3" s="1"/>
  <c r="B246" i="3"/>
  <c r="E246" i="3" s="1"/>
  <c r="J246" i="3" s="1"/>
  <c r="K246" i="3" s="1"/>
  <c r="B247" i="3"/>
  <c r="D247" i="3" s="1"/>
  <c r="H247" i="3" s="1"/>
  <c r="I247" i="3" s="1"/>
  <c r="B248" i="3"/>
  <c r="C248" i="3" s="1"/>
  <c r="F248" i="3" s="1"/>
  <c r="G248" i="3" s="1"/>
  <c r="B249" i="3"/>
  <c r="D249" i="3" s="1"/>
  <c r="H249" i="3" s="1"/>
  <c r="I249" i="3" s="1"/>
  <c r="B250" i="3"/>
  <c r="D250" i="3" s="1"/>
  <c r="H250" i="3" s="1"/>
  <c r="I250" i="3" s="1"/>
  <c r="B251" i="3"/>
  <c r="C251" i="3" s="1"/>
  <c r="F251" i="3" s="1"/>
  <c r="G251" i="3" s="1"/>
  <c r="B252" i="3"/>
  <c r="B253" i="3"/>
  <c r="D253" i="3" s="1"/>
  <c r="H253" i="3" s="1"/>
  <c r="I253" i="3" s="1"/>
  <c r="B254" i="3"/>
  <c r="E254" i="3" s="1"/>
  <c r="J254" i="3" s="1"/>
  <c r="K254" i="3" s="1"/>
  <c r="B255" i="3"/>
  <c r="D255" i="3" s="1"/>
  <c r="H255" i="3" s="1"/>
  <c r="I255" i="3" s="1"/>
  <c r="B256" i="3"/>
  <c r="C256" i="3" s="1"/>
  <c r="F256" i="3" s="1"/>
  <c r="G256" i="3" s="1"/>
  <c r="B257" i="3"/>
  <c r="D257" i="3" s="1"/>
  <c r="H257" i="3" s="1"/>
  <c r="I257" i="3" s="1"/>
  <c r="B258" i="3"/>
  <c r="D258" i="3" s="1"/>
  <c r="H258" i="3" s="1"/>
  <c r="I258" i="3" s="1"/>
  <c r="B259" i="3"/>
  <c r="D259" i="3" s="1"/>
  <c r="H259" i="3" s="1"/>
  <c r="I259" i="3" s="1"/>
  <c r="B260" i="3"/>
  <c r="B261" i="3"/>
  <c r="D261" i="3" s="1"/>
  <c r="H261" i="3" s="1"/>
  <c r="I261" i="3" s="1"/>
  <c r="B262" i="3"/>
  <c r="E262" i="3" s="1"/>
  <c r="J262" i="3" s="1"/>
  <c r="K262" i="3" s="1"/>
  <c r="B263" i="3"/>
  <c r="D263" i="3" s="1"/>
  <c r="H263" i="3" s="1"/>
  <c r="I263" i="3" s="1"/>
  <c r="B264" i="3"/>
  <c r="C264" i="3" s="1"/>
  <c r="F264" i="3" s="1"/>
  <c r="G264" i="3" s="1"/>
  <c r="B265" i="3"/>
  <c r="D265" i="3" s="1"/>
  <c r="H265" i="3" s="1"/>
  <c r="I265" i="3" s="1"/>
  <c r="B266" i="3"/>
  <c r="D266" i="3" s="1"/>
  <c r="H266" i="3" s="1"/>
  <c r="I266" i="3" s="1"/>
  <c r="B267" i="3"/>
  <c r="E267" i="3" s="1"/>
  <c r="J267" i="3" s="1"/>
  <c r="K267" i="3" s="1"/>
  <c r="B268" i="3"/>
  <c r="B269" i="3"/>
  <c r="D269" i="3" s="1"/>
  <c r="H269" i="3" s="1"/>
  <c r="I269" i="3" s="1"/>
  <c r="B270" i="3"/>
  <c r="E270" i="3" s="1"/>
  <c r="J270" i="3" s="1"/>
  <c r="K270" i="3" s="1"/>
  <c r="B271" i="3"/>
  <c r="D271" i="3" s="1"/>
  <c r="H271" i="3" s="1"/>
  <c r="I271" i="3" s="1"/>
  <c r="B272" i="3"/>
  <c r="C272" i="3" s="1"/>
  <c r="F272" i="3" s="1"/>
  <c r="G272" i="3" s="1"/>
  <c r="B273" i="3"/>
  <c r="D273" i="3" s="1"/>
  <c r="H273" i="3" s="1"/>
  <c r="I273" i="3" s="1"/>
  <c r="B274" i="3"/>
  <c r="D274" i="3" s="1"/>
  <c r="H274" i="3" s="1"/>
  <c r="I274" i="3" s="1"/>
  <c r="B275" i="3"/>
  <c r="E275" i="3" s="1"/>
  <c r="J275" i="3" s="1"/>
  <c r="K275" i="3" s="1"/>
  <c r="B276" i="3"/>
  <c r="B277" i="3"/>
  <c r="D277" i="3" s="1"/>
  <c r="H277" i="3" s="1"/>
  <c r="I277" i="3" s="1"/>
  <c r="B278" i="3"/>
  <c r="E278" i="3" s="1"/>
  <c r="J278" i="3" s="1"/>
  <c r="K278" i="3" s="1"/>
  <c r="B279" i="3"/>
  <c r="D279" i="3" s="1"/>
  <c r="H279" i="3" s="1"/>
  <c r="I279" i="3" s="1"/>
  <c r="B280" i="3"/>
  <c r="C280" i="3" s="1"/>
  <c r="F280" i="3" s="1"/>
  <c r="G280" i="3" s="1"/>
  <c r="B281" i="3"/>
  <c r="D281" i="3" s="1"/>
  <c r="H281" i="3" s="1"/>
  <c r="I281" i="3" s="1"/>
  <c r="B282" i="3"/>
  <c r="B283" i="3"/>
  <c r="C283" i="3" s="1"/>
  <c r="F283" i="3" s="1"/>
  <c r="G283" i="3" s="1"/>
  <c r="B284" i="3"/>
  <c r="C284" i="3" s="1"/>
  <c r="F284" i="3" s="1"/>
  <c r="G284" i="3" s="1"/>
  <c r="B285" i="3"/>
  <c r="D285" i="3" s="1"/>
  <c r="H285" i="3" s="1"/>
  <c r="I285" i="3" s="1"/>
  <c r="B286" i="3"/>
  <c r="E286" i="3" s="1"/>
  <c r="J286" i="3" s="1"/>
  <c r="K286" i="3" s="1"/>
  <c r="B287" i="3"/>
  <c r="C287" i="3" s="1"/>
  <c r="F287" i="3" s="1"/>
  <c r="G287" i="3" s="1"/>
  <c r="B288" i="3"/>
  <c r="C288" i="3" s="1"/>
  <c r="F288" i="3" s="1"/>
  <c r="G288" i="3" s="1"/>
  <c r="B289" i="3"/>
  <c r="D289" i="3" s="1"/>
  <c r="H289" i="3" s="1"/>
  <c r="I289" i="3" s="1"/>
  <c r="B290" i="3"/>
  <c r="E290" i="3" s="1"/>
  <c r="J290" i="3" s="1"/>
  <c r="K290" i="3" s="1"/>
  <c r="B291" i="3"/>
  <c r="E291" i="3" s="1"/>
  <c r="J291" i="3" s="1"/>
  <c r="K291" i="3" s="1"/>
  <c r="B292" i="3"/>
  <c r="C292" i="3" s="1"/>
  <c r="F292" i="3" s="1"/>
  <c r="G292" i="3" s="1"/>
  <c r="B293" i="3"/>
  <c r="D293" i="3" s="1"/>
  <c r="H293" i="3" s="1"/>
  <c r="I293" i="3" s="1"/>
  <c r="B294" i="3"/>
  <c r="E294" i="3" s="1"/>
  <c r="J294" i="3" s="1"/>
  <c r="K294" i="3" s="1"/>
  <c r="B295" i="3"/>
  <c r="D295" i="3" s="1"/>
  <c r="H295" i="3" s="1"/>
  <c r="I295" i="3" s="1"/>
  <c r="B296" i="3"/>
  <c r="C296" i="3" s="1"/>
  <c r="F296" i="3" s="1"/>
  <c r="G296" i="3" s="1"/>
  <c r="B297" i="3"/>
  <c r="D297" i="3" s="1"/>
  <c r="H297" i="3" s="1"/>
  <c r="I297" i="3" s="1"/>
  <c r="B298" i="3"/>
  <c r="E298" i="3" s="1"/>
  <c r="J298" i="3" s="1"/>
  <c r="K298" i="3" s="1"/>
  <c r="B299" i="3"/>
  <c r="C299" i="3" s="1"/>
  <c r="F299" i="3" s="1"/>
  <c r="G299" i="3" s="1"/>
  <c r="B300" i="3"/>
  <c r="C300" i="3" s="1"/>
  <c r="F300" i="3" s="1"/>
  <c r="G300" i="3" s="1"/>
  <c r="B301" i="3"/>
  <c r="D301" i="3" s="1"/>
  <c r="H301" i="3" s="1"/>
  <c r="I301" i="3" s="1"/>
  <c r="B302" i="3"/>
  <c r="E302" i="3" s="1"/>
  <c r="J302" i="3" s="1"/>
  <c r="K302" i="3" s="1"/>
  <c r="B303" i="3"/>
  <c r="E303" i="3" s="1"/>
  <c r="J303" i="3" s="1"/>
  <c r="K303" i="3" s="1"/>
  <c r="B304" i="3"/>
  <c r="C304" i="3" s="1"/>
  <c r="F304" i="3" s="1"/>
  <c r="G304" i="3" s="1"/>
  <c r="B305" i="3"/>
  <c r="D305" i="3" s="1"/>
  <c r="H305" i="3" s="1"/>
  <c r="I305" i="3" s="1"/>
  <c r="B306" i="3"/>
  <c r="E306" i="3" s="1"/>
  <c r="J306" i="3" s="1"/>
  <c r="K306" i="3" s="1"/>
  <c r="B307" i="3"/>
  <c r="D307" i="3" s="1"/>
  <c r="H307" i="3" s="1"/>
  <c r="I307" i="3" s="1"/>
  <c r="B308" i="3"/>
  <c r="C308" i="3" s="1"/>
  <c r="F308" i="3" s="1"/>
  <c r="G308" i="3" s="1"/>
  <c r="B309" i="3"/>
  <c r="D309" i="3" s="1"/>
  <c r="H309" i="3" s="1"/>
  <c r="I309" i="3" s="1"/>
  <c r="B310" i="3"/>
  <c r="E310" i="3" s="1"/>
  <c r="J310" i="3" s="1"/>
  <c r="K310" i="3" s="1"/>
  <c r="B311" i="3"/>
  <c r="C311" i="3" s="1"/>
  <c r="F311" i="3" s="1"/>
  <c r="G311" i="3" s="1"/>
  <c r="B312" i="3"/>
  <c r="C312" i="3" s="1"/>
  <c r="F312" i="3" s="1"/>
  <c r="G312" i="3" s="1"/>
  <c r="B313" i="3"/>
  <c r="D313" i="3" s="1"/>
  <c r="H313" i="3" s="1"/>
  <c r="I313" i="3" s="1"/>
  <c r="B314" i="3"/>
  <c r="E314" i="3" s="1"/>
  <c r="J314" i="3" s="1"/>
  <c r="K314" i="3" s="1"/>
  <c r="B315" i="3"/>
  <c r="C315" i="3" s="1"/>
  <c r="F315" i="3" s="1"/>
  <c r="G315" i="3" s="1"/>
  <c r="B316" i="3"/>
  <c r="C316" i="3" s="1"/>
  <c r="F316" i="3" s="1"/>
  <c r="G316" i="3" s="1"/>
  <c r="B317" i="3"/>
  <c r="D317" i="3" s="1"/>
  <c r="H317" i="3" s="1"/>
  <c r="I317" i="3" s="1"/>
  <c r="B318" i="3"/>
  <c r="E318" i="3" s="1"/>
  <c r="J318" i="3" s="1"/>
  <c r="K318" i="3" s="1"/>
  <c r="B319" i="3"/>
  <c r="C319" i="3" s="1"/>
  <c r="F319" i="3" s="1"/>
  <c r="G319" i="3" s="1"/>
  <c r="B320" i="3"/>
  <c r="C320" i="3" s="1"/>
  <c r="F320" i="3" s="1"/>
  <c r="G320" i="3" s="1"/>
  <c r="B321" i="3"/>
  <c r="D321" i="3" s="1"/>
  <c r="H321" i="3" s="1"/>
  <c r="I321" i="3" s="1"/>
  <c r="B322" i="3"/>
  <c r="E322" i="3" s="1"/>
  <c r="J322" i="3" s="1"/>
  <c r="K322" i="3" s="1"/>
  <c r="B323" i="3"/>
  <c r="E323" i="3" s="1"/>
  <c r="J323" i="3" s="1"/>
  <c r="K323" i="3" s="1"/>
  <c r="B324" i="3"/>
  <c r="C324" i="3" s="1"/>
  <c r="F324" i="3" s="1"/>
  <c r="G324" i="3" s="1"/>
  <c r="B325" i="3"/>
  <c r="D325" i="3" s="1"/>
  <c r="H325" i="3" s="1"/>
  <c r="I325" i="3" s="1"/>
  <c r="B326" i="3"/>
  <c r="E326" i="3" s="1"/>
  <c r="J326" i="3" s="1"/>
  <c r="K326" i="3" s="1"/>
  <c r="B327" i="3"/>
  <c r="D327" i="3" s="1"/>
  <c r="H327" i="3" s="1"/>
  <c r="I327" i="3" s="1"/>
  <c r="B328" i="3"/>
  <c r="C328" i="3" s="1"/>
  <c r="F328" i="3" s="1"/>
  <c r="G328" i="3" s="1"/>
  <c r="B329" i="3"/>
  <c r="D329" i="3" s="1"/>
  <c r="H329" i="3" s="1"/>
  <c r="I329" i="3" s="1"/>
  <c r="B330" i="3"/>
  <c r="E330" i="3" s="1"/>
  <c r="J330" i="3" s="1"/>
  <c r="K330" i="3" s="1"/>
  <c r="B331" i="3"/>
  <c r="C331" i="3" s="1"/>
  <c r="F331" i="3" s="1"/>
  <c r="G331" i="3" s="1"/>
  <c r="B332" i="3"/>
  <c r="C332" i="3" s="1"/>
  <c r="F332" i="3" s="1"/>
  <c r="G332" i="3" s="1"/>
  <c r="B333" i="3"/>
  <c r="D333" i="3" s="1"/>
  <c r="H333" i="3" s="1"/>
  <c r="I333" i="3" s="1"/>
  <c r="B334" i="3"/>
  <c r="E334" i="3" s="1"/>
  <c r="J334" i="3" s="1"/>
  <c r="K334" i="3" s="1"/>
  <c r="B335" i="3"/>
  <c r="E335" i="3" s="1"/>
  <c r="J335" i="3" s="1"/>
  <c r="K335" i="3" s="1"/>
  <c r="B336" i="3"/>
  <c r="C336" i="3" s="1"/>
  <c r="F336" i="3" s="1"/>
  <c r="G336" i="3" s="1"/>
  <c r="B337" i="3"/>
  <c r="D337" i="3" s="1"/>
  <c r="H337" i="3" s="1"/>
  <c r="I337" i="3" s="1"/>
  <c r="B338" i="3"/>
  <c r="E338" i="3" s="1"/>
  <c r="J338" i="3" s="1"/>
  <c r="K338" i="3" s="1"/>
  <c r="B339" i="3"/>
  <c r="D339" i="3" s="1"/>
  <c r="H339" i="3" s="1"/>
  <c r="I339" i="3" s="1"/>
  <c r="B340" i="3"/>
  <c r="C340" i="3" s="1"/>
  <c r="F340" i="3" s="1"/>
  <c r="G340" i="3" s="1"/>
  <c r="B341" i="3"/>
  <c r="D341" i="3" s="1"/>
  <c r="H341" i="3" s="1"/>
  <c r="I341" i="3" s="1"/>
  <c r="B342" i="3"/>
  <c r="E342" i="3" s="1"/>
  <c r="J342" i="3" s="1"/>
  <c r="K342" i="3" s="1"/>
  <c r="B343" i="3"/>
  <c r="C343" i="3" s="1"/>
  <c r="F343" i="3" s="1"/>
  <c r="G343" i="3" s="1"/>
  <c r="B344" i="3"/>
  <c r="C344" i="3" s="1"/>
  <c r="F344" i="3" s="1"/>
  <c r="G344" i="3" s="1"/>
  <c r="B345" i="3"/>
  <c r="D345" i="3" s="1"/>
  <c r="H345" i="3" s="1"/>
  <c r="I345" i="3" s="1"/>
  <c r="B346" i="3"/>
  <c r="E346" i="3" s="1"/>
  <c r="J346" i="3" s="1"/>
  <c r="K346" i="3" s="1"/>
  <c r="B347" i="3"/>
  <c r="C347" i="3" s="1"/>
  <c r="F347" i="3" s="1"/>
  <c r="G347" i="3" s="1"/>
  <c r="B348" i="3"/>
  <c r="C348" i="3" s="1"/>
  <c r="F348" i="3" s="1"/>
  <c r="G348" i="3" s="1"/>
  <c r="B349" i="3"/>
  <c r="D349" i="3" s="1"/>
  <c r="H349" i="3" s="1"/>
  <c r="I349" i="3" s="1"/>
  <c r="B350" i="3"/>
  <c r="E350" i="3" s="1"/>
  <c r="J350" i="3" s="1"/>
  <c r="K350" i="3" s="1"/>
  <c r="B351" i="3"/>
  <c r="C351" i="3" s="1"/>
  <c r="F351" i="3" s="1"/>
  <c r="G351" i="3" s="1"/>
  <c r="B352" i="3"/>
  <c r="C352" i="3" s="1"/>
  <c r="F352" i="3" s="1"/>
  <c r="G352" i="3" s="1"/>
  <c r="B353" i="3"/>
  <c r="D353" i="3" s="1"/>
  <c r="H353" i="3" s="1"/>
  <c r="I353" i="3" s="1"/>
  <c r="B354" i="3"/>
  <c r="E354" i="3" s="1"/>
  <c r="J354" i="3" s="1"/>
  <c r="K354" i="3" s="1"/>
  <c r="B355" i="3"/>
  <c r="E355" i="3" s="1"/>
  <c r="J355" i="3" s="1"/>
  <c r="K355" i="3" s="1"/>
  <c r="B356" i="3"/>
  <c r="C356" i="3" s="1"/>
  <c r="F356" i="3" s="1"/>
  <c r="G356" i="3" s="1"/>
  <c r="B357" i="3"/>
  <c r="D357" i="3" s="1"/>
  <c r="H357" i="3" s="1"/>
  <c r="I357" i="3" s="1"/>
  <c r="B358" i="3"/>
  <c r="E358" i="3" s="1"/>
  <c r="J358" i="3" s="1"/>
  <c r="K358" i="3" s="1"/>
  <c r="B359" i="3"/>
  <c r="D359" i="3" s="1"/>
  <c r="H359" i="3" s="1"/>
  <c r="I359" i="3" s="1"/>
  <c r="B360" i="3"/>
  <c r="C360" i="3" s="1"/>
  <c r="F360" i="3" s="1"/>
  <c r="G360" i="3" s="1"/>
  <c r="B361" i="3"/>
  <c r="D361" i="3" s="1"/>
  <c r="H361" i="3" s="1"/>
  <c r="I361" i="3" s="1"/>
  <c r="B362" i="3"/>
  <c r="E362" i="3" s="1"/>
  <c r="J362" i="3" s="1"/>
  <c r="K362" i="3" s="1"/>
  <c r="B363" i="3"/>
  <c r="C363" i="3" s="1"/>
  <c r="F363" i="3" s="1"/>
  <c r="G363" i="3" s="1"/>
  <c r="B3" i="3"/>
  <c r="E3" i="3" s="1"/>
  <c r="J3" i="3" s="1"/>
  <c r="K3" i="3" s="1"/>
  <c r="O3" i="3" s="1"/>
  <c r="F89" i="7"/>
  <c r="D73" i="7"/>
  <c r="D28" i="9"/>
  <c r="E96" i="9"/>
  <c r="H113" i="5"/>
  <c r="H318" i="9"/>
  <c r="E135" i="7"/>
  <c r="F289" i="9"/>
  <c r="F290" i="7"/>
  <c r="D172" i="5"/>
  <c r="F300" i="5"/>
  <c r="F253" i="5"/>
  <c r="F317" i="5"/>
  <c r="D46" i="7"/>
  <c r="H24" i="7"/>
  <c r="D13" i="7"/>
  <c r="D193" i="7"/>
  <c r="F128" i="7"/>
  <c r="D256" i="7"/>
  <c r="F137" i="7"/>
  <c r="H146" i="7"/>
  <c r="D142" i="7"/>
  <c r="D278" i="7"/>
  <c r="F36" i="9"/>
  <c r="D53" i="9"/>
  <c r="D117" i="9"/>
  <c r="E32" i="9"/>
  <c r="D104" i="9"/>
  <c r="E168" i="9"/>
  <c r="F122" i="9"/>
  <c r="D199" i="9"/>
  <c r="H262" i="9"/>
  <c r="H326" i="9"/>
  <c r="D79" i="7"/>
  <c r="H206" i="7"/>
  <c r="E335" i="7"/>
  <c r="D233" i="5"/>
  <c r="H296" i="5"/>
  <c r="E361" i="5"/>
  <c r="E116" i="9"/>
  <c r="D180" i="5"/>
  <c r="D244" i="9"/>
  <c r="D308" i="9"/>
  <c r="F197" i="9"/>
  <c r="H260" i="9"/>
  <c r="D325" i="9"/>
  <c r="E69" i="7"/>
  <c r="D197" i="7"/>
  <c r="F325" i="7"/>
  <c r="D134" i="7"/>
  <c r="H190" i="5"/>
  <c r="H224" i="7"/>
  <c r="D33" i="7"/>
  <c r="D11" i="7"/>
  <c r="F233" i="7"/>
  <c r="H135" i="7"/>
  <c r="E264" i="7"/>
  <c r="E201" i="7"/>
  <c r="E155" i="7"/>
  <c r="D150" i="7"/>
  <c r="E286" i="7"/>
  <c r="D44" i="9"/>
  <c r="H60" i="5"/>
  <c r="E125" i="9"/>
  <c r="D40" i="9"/>
  <c r="H111" i="9"/>
  <c r="E57" i="9"/>
  <c r="H49" i="5"/>
  <c r="E130" i="9"/>
  <c r="H206" i="9"/>
  <c r="E271" i="9"/>
  <c r="H334" i="9"/>
  <c r="H86" i="7"/>
  <c r="H214" i="7"/>
  <c r="D343" i="7"/>
  <c r="H176" i="9"/>
  <c r="H240" i="9"/>
  <c r="E305" i="5"/>
  <c r="D124" i="9"/>
  <c r="H187" i="9"/>
  <c r="E252" i="9"/>
  <c r="E316" i="9"/>
  <c r="F205" i="9"/>
  <c r="D269" i="9"/>
  <c r="H332" i="9"/>
  <c r="F77" i="7"/>
  <c r="D205" i="7"/>
  <c r="H332" i="7"/>
  <c r="D248" i="7"/>
  <c r="H44" i="9"/>
  <c r="F45" i="7"/>
  <c r="D41" i="7"/>
  <c r="H18" i="7"/>
  <c r="F273" i="7"/>
  <c r="F144" i="7"/>
  <c r="E272" i="7"/>
  <c r="F265" i="7"/>
  <c r="H162" i="7"/>
  <c r="D158" i="7"/>
  <c r="F294" i="7"/>
  <c r="H51" i="5"/>
  <c r="F5" i="9"/>
  <c r="H68" i="5"/>
  <c r="H132" i="9"/>
  <c r="D62" i="9"/>
  <c r="E48" i="9"/>
  <c r="F120" i="9"/>
  <c r="D58" i="9"/>
  <c r="D138" i="9"/>
  <c r="H214" i="9"/>
  <c r="H278" i="9"/>
  <c r="F343" i="9"/>
  <c r="E95" i="7"/>
  <c r="D223" i="7"/>
  <c r="F351" i="7"/>
  <c r="E185" i="9"/>
  <c r="E249" i="5"/>
  <c r="E313" i="5"/>
  <c r="E132" i="9"/>
  <c r="F196" i="9"/>
  <c r="E260" i="9"/>
  <c r="F324" i="9"/>
  <c r="F213" i="9"/>
  <c r="H276" i="9"/>
  <c r="H340" i="9"/>
  <c r="H84" i="7"/>
  <c r="H212" i="7"/>
  <c r="E89" i="7"/>
  <c r="H72" i="7"/>
  <c r="H27" i="9"/>
  <c r="F96" i="5"/>
  <c r="F114" i="5"/>
  <c r="F319" i="9"/>
  <c r="F135" i="7"/>
  <c r="E289" i="9"/>
  <c r="D290" i="7"/>
  <c r="F172" i="5"/>
  <c r="E300" i="5"/>
  <c r="E253" i="5"/>
  <c r="E317" i="5"/>
  <c r="H45" i="7"/>
  <c r="E25" i="7"/>
  <c r="H12" i="7"/>
  <c r="H192" i="7"/>
  <c r="H127" i="7"/>
  <c r="F256" i="7"/>
  <c r="E137" i="7"/>
  <c r="D147" i="7"/>
  <c r="F142" i="7"/>
  <c r="E278" i="7"/>
  <c r="D36" i="9"/>
  <c r="E53" i="9"/>
  <c r="H116" i="9"/>
  <c r="F32" i="5"/>
  <c r="F104" i="9"/>
  <c r="F168" i="5"/>
  <c r="D122" i="9"/>
  <c r="F199" i="5"/>
  <c r="E263" i="9"/>
  <c r="F327" i="9"/>
  <c r="F79" i="7"/>
  <c r="D207" i="7"/>
  <c r="F335" i="7"/>
  <c r="E233" i="5"/>
  <c r="D297" i="5"/>
  <c r="D361" i="5"/>
  <c r="D116" i="9"/>
  <c r="F180" i="9"/>
  <c r="H243" i="9"/>
  <c r="H307" i="5"/>
  <c r="H196" i="5"/>
  <c r="F261" i="5"/>
  <c r="H324" i="9"/>
  <c r="F69" i="7"/>
  <c r="H196" i="7"/>
  <c r="H324" i="7"/>
  <c r="F134" i="7"/>
  <c r="F191" i="5"/>
  <c r="E225" i="7"/>
  <c r="E33" i="7"/>
  <c r="E11" i="7"/>
  <c r="H232" i="7"/>
  <c r="E136" i="7"/>
  <c r="D264" i="7"/>
  <c r="H200" i="7"/>
  <c r="F155" i="7"/>
  <c r="F150" i="7"/>
  <c r="D286" i="7"/>
  <c r="F44" i="5"/>
  <c r="D61" i="9"/>
  <c r="D125" i="9"/>
  <c r="F40" i="5"/>
  <c r="F112" i="5"/>
  <c r="H56" i="5"/>
  <c r="F50" i="5"/>
  <c r="D130" i="9"/>
  <c r="H206" i="5"/>
  <c r="H270" i="5"/>
  <c r="H334" i="5"/>
  <c r="F87" i="7"/>
  <c r="D215" i="7"/>
  <c r="H342" i="7"/>
  <c r="D177" i="5"/>
  <c r="D241" i="5"/>
  <c r="D305" i="5"/>
  <c r="H123" i="9"/>
  <c r="F188" i="5"/>
  <c r="D252" i="9"/>
  <c r="F316" i="9"/>
  <c r="H204" i="5"/>
  <c r="H268" i="5"/>
  <c r="H332" i="5"/>
  <c r="D77" i="7"/>
  <c r="E205" i="7"/>
  <c r="D333" i="7"/>
  <c r="H247" i="7"/>
  <c r="F45" i="9"/>
  <c r="H44" i="7"/>
  <c r="E41" i="7"/>
  <c r="D19" i="7"/>
  <c r="D273" i="7"/>
  <c r="H143" i="7"/>
  <c r="D272" i="7"/>
  <c r="D265" i="7"/>
  <c r="D163" i="7"/>
  <c r="F158" i="7"/>
  <c r="H293" i="7"/>
  <c r="F52" i="9"/>
  <c r="E5" i="9"/>
  <c r="E69" i="9"/>
  <c r="H132" i="5"/>
  <c r="F62" i="9"/>
  <c r="F48" i="5"/>
  <c r="F120" i="5"/>
  <c r="E58" i="9"/>
  <c r="E138" i="5"/>
  <c r="H214" i="5"/>
  <c r="H278" i="5"/>
  <c r="E343" i="9"/>
  <c r="D95" i="7"/>
  <c r="H222" i="7"/>
  <c r="E351" i="7"/>
  <c r="D185" i="9"/>
  <c r="D249" i="5"/>
  <c r="D313" i="5"/>
  <c r="D132" i="9"/>
  <c r="E196" i="5"/>
  <c r="D260" i="9"/>
  <c r="E324" i="5"/>
  <c r="H212" i="5"/>
  <c r="H276" i="5"/>
  <c r="F341" i="9"/>
  <c r="E85" i="7"/>
  <c r="D213" i="7"/>
  <c r="D120" i="7"/>
  <c r="D270" i="7"/>
  <c r="H27" i="5"/>
  <c r="E96" i="5"/>
  <c r="H113" i="9"/>
  <c r="E319" i="5"/>
  <c r="H262" i="7"/>
  <c r="E289" i="5"/>
  <c r="F172" i="9"/>
  <c r="F300" i="9"/>
  <c r="F253" i="9"/>
  <c r="E317" i="9"/>
  <c r="F189" i="7"/>
  <c r="F47" i="7"/>
  <c r="D105" i="7"/>
  <c r="D249" i="7"/>
  <c r="E64" i="7"/>
  <c r="F192" i="7"/>
  <c r="E320" i="7"/>
  <c r="E83" i="7"/>
  <c r="H77" i="7"/>
  <c r="F206" i="7"/>
  <c r="F342" i="7"/>
  <c r="F36" i="5"/>
  <c r="H52" i="9"/>
  <c r="E117" i="9"/>
  <c r="E32" i="5"/>
  <c r="F104" i="5"/>
  <c r="E168" i="5"/>
  <c r="H121" i="5"/>
  <c r="E199" i="5"/>
  <c r="F263" i="5"/>
  <c r="F327" i="5"/>
  <c r="F143" i="7"/>
  <c r="F271" i="7"/>
  <c r="F233" i="9"/>
  <c r="E297" i="9"/>
  <c r="H360" i="9"/>
  <c r="E354" i="7"/>
  <c r="H115" i="5"/>
  <c r="E180" i="9"/>
  <c r="F244" i="5"/>
  <c r="F308" i="9"/>
  <c r="H196" i="9"/>
  <c r="E261" i="9"/>
  <c r="H324" i="5"/>
  <c r="H132" i="7"/>
  <c r="D261" i="7"/>
  <c r="D169" i="7"/>
  <c r="E191" i="9"/>
  <c r="E125" i="7"/>
  <c r="F209" i="7"/>
  <c r="D121" i="7"/>
  <c r="F313" i="7"/>
  <c r="E72" i="7"/>
  <c r="E200" i="7"/>
  <c r="H327" i="7"/>
  <c r="D91" i="7"/>
  <c r="H85" i="7"/>
  <c r="F214" i="7"/>
  <c r="F350" i="7"/>
  <c r="H43" i="9"/>
  <c r="F61" i="9"/>
  <c r="H124" i="9"/>
  <c r="E40" i="5"/>
  <c r="H111" i="5"/>
  <c r="F57" i="5"/>
  <c r="F50" i="9"/>
  <c r="D130" i="5"/>
  <c r="F207" i="5"/>
  <c r="F271" i="5"/>
  <c r="F335" i="5"/>
  <c r="D151" i="7"/>
  <c r="F279" i="7"/>
  <c r="D177" i="9"/>
  <c r="F241" i="9"/>
  <c r="H304" i="9"/>
  <c r="D49" i="7"/>
  <c r="F124" i="9"/>
  <c r="D188" i="5"/>
  <c r="F252" i="5"/>
  <c r="F316" i="5"/>
  <c r="D205" i="9"/>
  <c r="E269" i="5"/>
  <c r="F333" i="9"/>
  <c r="E141" i="7"/>
  <c r="D269" i="7"/>
  <c r="E39" i="7"/>
  <c r="F198" i="7"/>
  <c r="D45" i="9"/>
  <c r="F281" i="7"/>
  <c r="F145" i="7"/>
  <c r="E65" i="7"/>
  <c r="D80" i="7"/>
  <c r="E208" i="7"/>
  <c r="E336" i="7"/>
  <c r="E99" i="7"/>
  <c r="E94" i="7"/>
  <c r="F230" i="7"/>
  <c r="E358" i="7"/>
  <c r="D52" i="9"/>
  <c r="F5" i="5"/>
  <c r="H68" i="9"/>
  <c r="F133" i="5"/>
  <c r="F62" i="5"/>
  <c r="H47" i="5"/>
  <c r="E120" i="5"/>
  <c r="H57" i="5"/>
  <c r="E138" i="9"/>
  <c r="F215" i="5"/>
  <c r="F279" i="5"/>
  <c r="H342" i="5"/>
  <c r="F159" i="7"/>
  <c r="D287" i="7"/>
  <c r="F185" i="9"/>
  <c r="H248" i="9"/>
  <c r="H312" i="9"/>
  <c r="D321" i="7"/>
  <c r="E132" i="5"/>
  <c r="H195" i="5"/>
  <c r="E260" i="5"/>
  <c r="E324" i="9"/>
  <c r="D213" i="5"/>
  <c r="D277" i="5"/>
  <c r="H340" i="5"/>
  <c r="H148" i="7"/>
  <c r="D277" i="7"/>
  <c r="H119" i="7"/>
  <c r="F270" i="7"/>
  <c r="F28" i="5"/>
  <c r="H95" i="9"/>
  <c r="E114" i="5"/>
  <c r="D319" i="5"/>
  <c r="E263" i="7"/>
  <c r="H288" i="5"/>
  <c r="E172" i="9"/>
  <c r="H299" i="9"/>
  <c r="D253" i="9"/>
  <c r="D317" i="9"/>
  <c r="H188" i="7"/>
  <c r="H46" i="7"/>
  <c r="H104" i="7"/>
  <c r="E249" i="7"/>
  <c r="H63" i="7"/>
  <c r="E192" i="7"/>
  <c r="H319" i="7"/>
  <c r="D83" i="7"/>
  <c r="F78" i="7"/>
  <c r="H205" i="7"/>
  <c r="H341" i="7"/>
  <c r="H35" i="5"/>
  <c r="D53" i="5"/>
  <c r="D117" i="5"/>
  <c r="H31" i="5"/>
  <c r="E104" i="5"/>
  <c r="H167" i="9"/>
  <c r="F122" i="5"/>
  <c r="F199" i="9"/>
  <c r="E263" i="5"/>
  <c r="E327" i="5"/>
  <c r="D143" i="7"/>
  <c r="H270" i="7"/>
  <c r="D233" i="9"/>
  <c r="F297" i="9"/>
  <c r="F361" i="9"/>
  <c r="D354" i="7"/>
  <c r="F116" i="5"/>
  <c r="F180" i="5"/>
  <c r="D244" i="5"/>
  <c r="F308" i="5"/>
  <c r="F197" i="5"/>
  <c r="D261" i="9"/>
  <c r="F325" i="5"/>
  <c r="F133" i="7"/>
  <c r="H260" i="7"/>
  <c r="H168" i="7"/>
  <c r="D191" i="9"/>
  <c r="D125" i="7"/>
  <c r="D209" i="7"/>
  <c r="H120" i="7"/>
  <c r="E313" i="7"/>
  <c r="D72" i="7"/>
  <c r="F200" i="7"/>
  <c r="F328" i="7"/>
  <c r="H90" i="7"/>
  <c r="F86" i="7"/>
  <c r="E214" i="7"/>
  <c r="H349" i="7"/>
  <c r="H43" i="5"/>
  <c r="D61" i="5"/>
  <c r="D125" i="5"/>
  <c r="H39" i="5"/>
  <c r="D112" i="5"/>
  <c r="E57" i="5"/>
  <c r="E50" i="5"/>
  <c r="E130" i="5"/>
  <c r="E207" i="9"/>
  <c r="E271" i="5"/>
  <c r="E335" i="5"/>
  <c r="H150" i="7"/>
  <c r="E279" i="7"/>
  <c r="E177" i="9"/>
  <c r="E241" i="9"/>
  <c r="E305" i="9"/>
  <c r="E49" i="7"/>
  <c r="D124" i="5"/>
  <c r="D188" i="9"/>
  <c r="H251" i="5"/>
  <c r="D316" i="5"/>
  <c r="E205" i="5"/>
  <c r="F269" i="5"/>
  <c r="E333" i="5"/>
  <c r="D141" i="7"/>
  <c r="F269" i="7"/>
  <c r="D39" i="7"/>
  <c r="H197" i="7"/>
  <c r="E45" i="5"/>
  <c r="E281" i="7"/>
  <c r="E145" i="7"/>
  <c r="F65" i="7"/>
  <c r="H79" i="7"/>
  <c r="F208" i="7"/>
  <c r="H335" i="7"/>
  <c r="H98" i="7"/>
  <c r="D94" i="7"/>
  <c r="E230" i="7"/>
  <c r="F358" i="7"/>
  <c r="F52" i="5"/>
  <c r="H4" i="9"/>
  <c r="F69" i="5"/>
  <c r="F133" i="9"/>
  <c r="D62" i="5"/>
  <c r="E48" i="5"/>
  <c r="H119" i="5"/>
  <c r="F58" i="5"/>
  <c r="D138" i="5"/>
  <c r="E215" i="9"/>
  <c r="E279" i="9"/>
  <c r="F343" i="5"/>
  <c r="D159" i="7"/>
  <c r="H286" i="7"/>
  <c r="H184" i="9"/>
  <c r="F249" i="9"/>
  <c r="E313" i="9"/>
  <c r="F321" i="7"/>
  <c r="F132" i="5"/>
  <c r="F196" i="5"/>
  <c r="F260" i="5"/>
  <c r="D324" i="5"/>
  <c r="E213" i="5"/>
  <c r="E277" i="9"/>
  <c r="D341" i="5"/>
  <c r="F149" i="7"/>
  <c r="F277" i="7"/>
  <c r="F120" i="7"/>
  <c r="H269" i="7"/>
  <c r="D28" i="5"/>
  <c r="H95" i="5"/>
  <c r="D114" i="9"/>
  <c r="H318" i="5"/>
  <c r="F263" i="7"/>
  <c r="D289" i="5"/>
  <c r="H171" i="5"/>
  <c r="E300" i="9"/>
  <c r="H252" i="9"/>
  <c r="F317" i="9"/>
  <c r="E189" i="7"/>
  <c r="E47" i="7"/>
  <c r="F105" i="7"/>
  <c r="F249" i="7"/>
  <c r="F64" i="7"/>
  <c r="D192" i="7"/>
  <c r="F320" i="7"/>
  <c r="F83" i="7"/>
  <c r="D78" i="7"/>
  <c r="D206" i="7"/>
  <c r="D342" i="7"/>
  <c r="E36" i="5"/>
  <c r="E53" i="5"/>
  <c r="E117" i="5"/>
  <c r="H31" i="9"/>
  <c r="H103" i="5"/>
  <c r="H167" i="5"/>
  <c r="E122" i="5"/>
  <c r="H198" i="5"/>
  <c r="H262" i="5"/>
  <c r="D327" i="5"/>
  <c r="H142" i="7"/>
  <c r="E271" i="7"/>
  <c r="E233" i="9"/>
  <c r="D297" i="9"/>
  <c r="E361" i="9"/>
  <c r="H353" i="7"/>
  <c r="D116" i="5"/>
  <c r="H179" i="5"/>
  <c r="H243" i="5"/>
  <c r="D308" i="5"/>
  <c r="E197" i="5"/>
  <c r="E261" i="5"/>
  <c r="E325" i="5"/>
  <c r="E133" i="7"/>
  <c r="E261" i="7"/>
  <c r="F169" i="7"/>
  <c r="F191" i="9"/>
  <c r="H124" i="7"/>
  <c r="H208" i="7"/>
  <c r="F121" i="7"/>
  <c r="D313" i="7"/>
  <c r="H71" i="7"/>
  <c r="H199" i="7"/>
  <c r="D328" i="7"/>
  <c r="E91" i="7"/>
  <c r="D86" i="7"/>
  <c r="H213" i="7"/>
  <c r="D350" i="7"/>
  <c r="E44" i="5"/>
  <c r="F61" i="5"/>
  <c r="E125" i="5"/>
  <c r="F40" i="9"/>
  <c r="E112" i="9"/>
  <c r="D57" i="9"/>
  <c r="D50" i="9"/>
  <c r="H129" i="5"/>
  <c r="E207" i="5"/>
  <c r="H270" i="9"/>
  <c r="D335" i="5"/>
  <c r="E151" i="7"/>
  <c r="D279" i="7"/>
  <c r="F177" i="9"/>
  <c r="D241" i="9"/>
  <c r="F305" i="9"/>
  <c r="F49" i="7"/>
  <c r="F124" i="5"/>
  <c r="H187" i="5"/>
  <c r="E252" i="5"/>
  <c r="H315" i="5"/>
  <c r="F205" i="5"/>
  <c r="E269" i="9"/>
  <c r="F333" i="5"/>
  <c r="H140" i="7"/>
  <c r="H268" i="7"/>
  <c r="F39" i="7"/>
  <c r="E198" i="7"/>
  <c r="F45" i="5"/>
  <c r="D281" i="7"/>
  <c r="D145" i="7"/>
  <c r="D65" i="7"/>
  <c r="F80" i="7"/>
  <c r="D208" i="7"/>
  <c r="F336" i="7"/>
  <c r="F99" i="7"/>
  <c r="H93" i="7"/>
  <c r="H229" i="7"/>
  <c r="H357" i="7"/>
  <c r="E52" i="5"/>
  <c r="D5" i="5"/>
  <c r="D69" i="5"/>
  <c r="D133" i="5"/>
  <c r="E62" i="5"/>
  <c r="H47" i="9"/>
  <c r="H119" i="9"/>
  <c r="E58" i="5"/>
  <c r="H137" i="5"/>
  <c r="E215" i="5"/>
  <c r="E279" i="5"/>
  <c r="D343" i="5"/>
  <c r="H158" i="7"/>
  <c r="F287" i="7"/>
  <c r="H184" i="5"/>
  <c r="D249" i="9"/>
  <c r="D313" i="9"/>
  <c r="E321" i="7"/>
  <c r="H131" i="5"/>
  <c r="D196" i="5"/>
  <c r="D260" i="5"/>
  <c r="H323" i="5"/>
  <c r="F213" i="5"/>
  <c r="E277" i="5"/>
  <c r="E341" i="5"/>
  <c r="D149" i="7"/>
  <c r="H276" i="7"/>
  <c r="E120" i="7"/>
  <c r="E270" i="7"/>
  <c r="E28" i="5"/>
  <c r="D96" i="5"/>
  <c r="D114" i="5"/>
  <c r="F319" i="5"/>
  <c r="D263" i="7"/>
  <c r="F289" i="5"/>
  <c r="H171" i="9"/>
  <c r="D300" i="5"/>
  <c r="H252" i="5"/>
  <c r="H316" i="5"/>
  <c r="D189" i="7"/>
  <c r="D47" i="7"/>
  <c r="E105" i="7"/>
  <c r="H248" i="7"/>
  <c r="D64" i="7"/>
  <c r="H191" i="7"/>
  <c r="D320" i="7"/>
  <c r="H82" i="7"/>
  <c r="E78" i="7"/>
  <c r="E206" i="7"/>
  <c r="E342" i="7"/>
  <c r="D36" i="5"/>
  <c r="F53" i="5"/>
  <c r="F117" i="5"/>
  <c r="D32" i="5"/>
  <c r="D104" i="5"/>
  <c r="D168" i="5"/>
  <c r="D122" i="5"/>
  <c r="D199" i="5"/>
  <c r="D263" i="5"/>
  <c r="H326" i="5"/>
  <c r="E143" i="7"/>
  <c r="D271" i="7"/>
  <c r="H232" i="9"/>
  <c r="H296" i="9"/>
  <c r="D361" i="9"/>
  <c r="F354" i="7"/>
  <c r="E116" i="5"/>
  <c r="E180" i="5"/>
  <c r="E244" i="5"/>
  <c r="E308" i="5"/>
  <c r="D197" i="5"/>
  <c r="D261" i="5"/>
  <c r="D325" i="5"/>
  <c r="D133" i="7"/>
  <c r="F261" i="7"/>
  <c r="E169" i="7"/>
  <c r="H190" i="9"/>
  <c r="F125" i="7"/>
  <c r="E209" i="7"/>
  <c r="E121" i="7"/>
  <c r="H312" i="7"/>
  <c r="F72" i="7"/>
  <c r="D200" i="7"/>
  <c r="E328" i="7"/>
  <c r="F91" i="7"/>
  <c r="E86" i="7"/>
  <c r="D214" i="7"/>
  <c r="E350" i="7"/>
  <c r="D44" i="5"/>
  <c r="E61" i="5"/>
  <c r="F125" i="5"/>
  <c r="D40" i="5"/>
  <c r="E112" i="5"/>
  <c r="D57" i="5"/>
  <c r="D50" i="5"/>
  <c r="F130" i="5"/>
  <c r="D207" i="5"/>
  <c r="D271" i="5"/>
  <c r="F335" i="9"/>
  <c r="F151" i="7"/>
  <c r="H278" i="7"/>
  <c r="H176" i="5"/>
  <c r="H240" i="5"/>
  <c r="D305" i="9"/>
  <c r="H48" i="7"/>
  <c r="E124" i="5"/>
  <c r="E188" i="5"/>
  <c r="D252" i="5"/>
  <c r="E316" i="5"/>
  <c r="D205" i="5"/>
  <c r="D269" i="5"/>
  <c r="D333" i="5"/>
  <c r="F141" i="7"/>
  <c r="E269" i="7"/>
  <c r="H38" i="7"/>
  <c r="D198" i="7"/>
  <c r="D45" i="5"/>
  <c r="H280" i="7"/>
  <c r="H144" i="7"/>
  <c r="H64" i="7"/>
  <c r="E80" i="7"/>
  <c r="H207" i="7"/>
  <c r="D336" i="7"/>
  <c r="D99" i="7"/>
  <c r="F94" i="7"/>
  <c r="D230" i="7"/>
  <c r="D358" i="7"/>
  <c r="D52" i="5"/>
  <c r="E5" i="5"/>
  <c r="E69" i="5"/>
  <c r="E133" i="5"/>
  <c r="H61" i="5"/>
  <c r="D48" i="5"/>
  <c r="D120" i="5"/>
  <c r="D58" i="5"/>
  <c r="F138" i="5"/>
  <c r="D215" i="5"/>
  <c r="D279" i="5"/>
  <c r="E343" i="5"/>
  <c r="E159" i="7"/>
  <c r="E287" i="7"/>
  <c r="F185" i="5"/>
  <c r="E249" i="9"/>
  <c r="F313" i="9"/>
  <c r="H320" i="7"/>
  <c r="D132" i="5"/>
  <c r="E196" i="9"/>
  <c r="H259" i="5"/>
  <c r="F324" i="5"/>
  <c r="H212" i="9"/>
  <c r="F277" i="5"/>
  <c r="F341" i="5"/>
  <c r="E149" i="7"/>
  <c r="E277" i="7"/>
  <c r="D89" i="7"/>
  <c r="E73" i="7"/>
  <c r="E28" i="9"/>
  <c r="D96" i="9"/>
  <c r="F114" i="9"/>
  <c r="E319" i="9"/>
  <c r="D135" i="7"/>
  <c r="D289" i="9"/>
  <c r="H289" i="7"/>
  <c r="D172" i="9"/>
  <c r="D300" i="9"/>
  <c r="E253" i="9"/>
  <c r="H316" i="9"/>
  <c r="F46" i="7"/>
  <c r="F25" i="7"/>
  <c r="F13" i="7"/>
  <c r="F193" i="7"/>
  <c r="E128" i="7"/>
  <c r="H255" i="7"/>
  <c r="D137" i="7"/>
  <c r="E147" i="7"/>
  <c r="E142" i="7"/>
  <c r="F278" i="7"/>
  <c r="H35" i="9"/>
  <c r="H52" i="5"/>
  <c r="F117" i="9"/>
  <c r="D32" i="9"/>
  <c r="E104" i="9"/>
  <c r="D168" i="9"/>
  <c r="H121" i="9"/>
  <c r="H198" i="9"/>
  <c r="F263" i="9"/>
  <c r="E327" i="9"/>
  <c r="E79" i="7"/>
  <c r="E207" i="7"/>
  <c r="D335" i="7"/>
  <c r="H232" i="5"/>
  <c r="F297" i="5"/>
  <c r="H360" i="5"/>
  <c r="H115" i="9"/>
  <c r="H179" i="9"/>
  <c r="F244" i="9"/>
  <c r="E308" i="9"/>
  <c r="E197" i="9"/>
  <c r="F261" i="9"/>
  <c r="F325" i="9"/>
  <c r="D69" i="7"/>
  <c r="F197" i="7"/>
  <c r="E325" i="7"/>
  <c r="E134" i="7"/>
  <c r="E191" i="5"/>
  <c r="F225" i="7"/>
  <c r="H32" i="7"/>
  <c r="F11" i="7"/>
  <c r="D233" i="7"/>
  <c r="D136" i="7"/>
  <c r="F264" i="7"/>
  <c r="F201" i="7"/>
  <c r="H154" i="7"/>
  <c r="E150" i="7"/>
  <c r="F286" i="7"/>
  <c r="E44" i="9"/>
  <c r="E61" i="9"/>
  <c r="F125" i="9"/>
  <c r="E40" i="9"/>
  <c r="D112" i="9"/>
  <c r="F57" i="9"/>
  <c r="E50" i="9"/>
  <c r="H129" i="9"/>
  <c r="D207" i="9"/>
  <c r="F271" i="9"/>
  <c r="E335" i="9"/>
  <c r="D87" i="7"/>
  <c r="E215" i="7"/>
  <c r="F343" i="7"/>
  <c r="F177" i="5"/>
  <c r="F241" i="5"/>
  <c r="H304" i="5"/>
  <c r="H123" i="5"/>
  <c r="F188" i="9"/>
  <c r="H251" i="9"/>
  <c r="D316" i="9"/>
  <c r="E205" i="9"/>
  <c r="F269" i="9"/>
  <c r="E333" i="9"/>
  <c r="H76" i="7"/>
  <c r="F205" i="7"/>
  <c r="E333" i="7"/>
  <c r="F248" i="7"/>
  <c r="E45" i="9"/>
  <c r="D45" i="7"/>
  <c r="F41" i="7"/>
  <c r="E19" i="7"/>
  <c r="H272" i="7"/>
  <c r="E144" i="7"/>
  <c r="F272" i="7"/>
  <c r="H264" i="7"/>
  <c r="E163" i="7"/>
  <c r="E158" i="7"/>
  <c r="D294" i="7"/>
  <c r="H51" i="9"/>
  <c r="D5" i="9"/>
  <c r="D69" i="9"/>
  <c r="E133" i="9"/>
  <c r="E62" i="9"/>
  <c r="D48" i="9"/>
  <c r="D120" i="9"/>
  <c r="H57" i="9"/>
  <c r="F138" i="9"/>
  <c r="D215" i="9"/>
  <c r="F279" i="9"/>
  <c r="D343" i="9"/>
  <c r="F95" i="7"/>
  <c r="E223" i="7"/>
  <c r="D351" i="7"/>
  <c r="E185" i="5"/>
  <c r="H248" i="5"/>
  <c r="H312" i="5"/>
  <c r="H131" i="9"/>
  <c r="H195" i="9"/>
  <c r="H259" i="9"/>
  <c r="H323" i="9"/>
  <c r="E213" i="9"/>
  <c r="F277" i="9"/>
  <c r="E341" i="9"/>
  <c r="F85" i="7"/>
  <c r="E213" i="7"/>
  <c r="H88" i="7"/>
  <c r="F73" i="7"/>
  <c r="F28" i="9"/>
  <c r="F96" i="9"/>
  <c r="E114" i="9"/>
  <c r="D319" i="9"/>
  <c r="H134" i="7"/>
  <c r="H288" i="9"/>
  <c r="E290" i="7"/>
  <c r="E172" i="5"/>
  <c r="H299" i="5"/>
  <c r="D253" i="5"/>
  <c r="D317" i="5"/>
  <c r="E46" i="7"/>
  <c r="D25" i="7"/>
  <c r="E13" i="7"/>
  <c r="E193" i="7"/>
  <c r="D128" i="7"/>
  <c r="E256" i="7"/>
  <c r="H136" i="7"/>
  <c r="F147" i="7"/>
  <c r="H141" i="7"/>
  <c r="H277" i="7"/>
  <c r="E36" i="9"/>
  <c r="F53" i="9"/>
  <c r="H116" i="5"/>
  <c r="F32" i="9"/>
  <c r="H103" i="9"/>
  <c r="F168" i="9"/>
  <c r="E122" i="9"/>
  <c r="E199" i="9"/>
  <c r="D263" i="9"/>
  <c r="D327" i="9"/>
  <c r="H78" i="7"/>
  <c r="F207" i="7"/>
  <c r="H334" i="7"/>
  <c r="F233" i="5"/>
  <c r="E297" i="5"/>
  <c r="F361" i="5"/>
  <c r="F116" i="9"/>
  <c r="D180" i="9"/>
  <c r="E244" i="9"/>
  <c r="H307" i="9"/>
  <c r="D197" i="9"/>
  <c r="H260" i="5"/>
  <c r="E325" i="9"/>
  <c r="H68" i="7"/>
  <c r="E197" i="7"/>
  <c r="D325" i="7"/>
  <c r="H133" i="7"/>
  <c r="D191" i="5"/>
  <c r="D225" i="7"/>
  <c r="F33" i="7"/>
  <c r="H10" i="7"/>
  <c r="E233" i="7"/>
  <c r="F136" i="7"/>
  <c r="H263" i="7"/>
  <c r="D201" i="7"/>
  <c r="D155" i="7"/>
  <c r="H149" i="7"/>
  <c r="H285" i="7"/>
  <c r="F44" i="9"/>
  <c r="H60" i="9"/>
  <c r="H124" i="5"/>
  <c r="H39" i="9"/>
  <c r="F112" i="9"/>
  <c r="H56" i="9"/>
  <c r="H49" i="9"/>
  <c r="F130" i="9"/>
  <c r="F207" i="9"/>
  <c r="D271" i="9"/>
  <c r="D335" i="9"/>
  <c r="E87" i="7"/>
  <c r="F215" i="7"/>
  <c r="E343" i="7"/>
  <c r="E177" i="5"/>
  <c r="E241" i="5"/>
  <c r="F305" i="5"/>
  <c r="E124" i="9"/>
  <c r="E188" i="9"/>
  <c r="F252" i="9"/>
  <c r="H315" i="9"/>
  <c r="H204" i="9"/>
  <c r="H268" i="9"/>
  <c r="D333" i="9"/>
  <c r="E77" i="7"/>
  <c r="H204" i="7"/>
  <c r="F333" i="7"/>
  <c r="E248" i="7"/>
  <c r="H44" i="5"/>
  <c r="E45" i="7"/>
  <c r="H40" i="7"/>
  <c r="F19" i="7"/>
  <c r="E273" i="7"/>
  <c r="D144" i="7"/>
  <c r="H271" i="7"/>
  <c r="E265" i="7"/>
  <c r="F163" i="7"/>
  <c r="H157" i="7"/>
  <c r="E294" i="7"/>
  <c r="E52" i="9"/>
  <c r="H4" i="5"/>
  <c r="F69" i="9"/>
  <c r="D133" i="9"/>
  <c r="H61" i="9"/>
  <c r="F48" i="9"/>
  <c r="E120" i="9"/>
  <c r="F58" i="9"/>
  <c r="H137" i="9"/>
  <c r="F215" i="9"/>
  <c r="D279" i="9"/>
  <c r="H342" i="9"/>
  <c r="H94" i="7"/>
  <c r="F223" i="7"/>
  <c r="H350" i="7"/>
  <c r="D185" i="5"/>
  <c r="F249" i="5"/>
  <c r="F313" i="5"/>
  <c r="F132" i="9"/>
  <c r="D196" i="9"/>
  <c r="F260" i="9"/>
  <c r="D324" i="9"/>
  <c r="D213" i="9"/>
  <c r="D277" i="9"/>
  <c r="D341" i="9"/>
  <c r="D85" i="7"/>
  <c r="F213" i="7"/>
  <c r="D341" i="7"/>
  <c r="F75" i="7"/>
  <c r="E24" i="5"/>
  <c r="E7" i="7"/>
  <c r="H304" i="7"/>
  <c r="F27" i="7"/>
  <c r="E297" i="7"/>
  <c r="D152" i="7"/>
  <c r="F280" i="7"/>
  <c r="F222" i="7"/>
  <c r="H170" i="7"/>
  <c r="H165" i="7"/>
  <c r="H301" i="7"/>
  <c r="F60" i="5"/>
  <c r="E13" i="9"/>
  <c r="E77" i="5"/>
  <c r="E141" i="5"/>
  <c r="H149" i="9"/>
  <c r="F64" i="5"/>
  <c r="F128" i="5"/>
  <c r="D66" i="5"/>
  <c r="E146" i="5"/>
  <c r="F223" i="5"/>
  <c r="F287" i="9"/>
  <c r="H350" i="5"/>
  <c r="D167" i="7"/>
  <c r="E295" i="7"/>
  <c r="E193" i="9"/>
  <c r="H256" i="9"/>
  <c r="D321" i="9"/>
  <c r="F323" i="9"/>
  <c r="F140" i="9"/>
  <c r="E204" i="9"/>
  <c r="H267" i="9"/>
  <c r="D332" i="9"/>
  <c r="H220" i="9"/>
  <c r="F285" i="9"/>
  <c r="E349" i="9"/>
  <c r="E93" i="7"/>
  <c r="E221" i="7"/>
  <c r="D349" i="7"/>
  <c r="E56" i="7"/>
  <c r="H333" i="7"/>
  <c r="F92" i="5"/>
  <c r="F109" i="9"/>
  <c r="E160" i="5"/>
  <c r="E255" i="5"/>
  <c r="E199" i="7"/>
  <c r="D225" i="9"/>
  <c r="H352" i="9"/>
  <c r="D108" i="9"/>
  <c r="F236" i="9"/>
  <c r="H188" i="9"/>
  <c r="D61" i="7"/>
  <c r="F14" i="7"/>
  <c r="F29" i="7"/>
  <c r="F177" i="7"/>
  <c r="F97" i="7"/>
  <c r="E96" i="7"/>
  <c r="E224" i="7"/>
  <c r="E352" i="7"/>
  <c r="H114" i="7"/>
  <c r="D110" i="7"/>
  <c r="F246" i="7"/>
  <c r="H3" i="9"/>
  <c r="H67" i="9"/>
  <c r="H20" i="9"/>
  <c r="F85" i="9"/>
  <c r="F149" i="9"/>
  <c r="F158" i="9"/>
  <c r="E72" i="9"/>
  <c r="E136" i="9"/>
  <c r="E82" i="9"/>
  <c r="E231" i="9"/>
  <c r="E295" i="9"/>
  <c r="D359" i="9"/>
  <c r="E111" i="7"/>
  <c r="D239" i="7"/>
  <c r="E201" i="9"/>
  <c r="H264" i="9"/>
  <c r="H328" i="9"/>
  <c r="H65" i="7"/>
  <c r="H147" i="9"/>
  <c r="D212" i="9"/>
  <c r="E276" i="5"/>
  <c r="H228" i="5"/>
  <c r="H292" i="5"/>
  <c r="F357" i="5"/>
  <c r="D165" i="7"/>
  <c r="E293" i="7"/>
  <c r="H37" i="7"/>
  <c r="E70" i="7"/>
  <c r="H21" i="7"/>
  <c r="E241" i="7"/>
  <c r="F217" i="7"/>
  <c r="F113" i="7"/>
  <c r="D104" i="7"/>
  <c r="D232" i="7"/>
  <c r="E360" i="7"/>
  <c r="D123" i="7"/>
  <c r="H117" i="7"/>
  <c r="D254" i="7"/>
  <c r="D12" i="9"/>
  <c r="E76" i="9"/>
  <c r="E29" i="9"/>
  <c r="E93" i="9"/>
  <c r="F157" i="9"/>
  <c r="E8" i="9"/>
  <c r="D80" i="9"/>
  <c r="E144" i="9"/>
  <c r="F90" i="9"/>
  <c r="E175" i="9"/>
  <c r="F239" i="9"/>
  <c r="F303" i="9"/>
  <c r="E55" i="7"/>
  <c r="F183" i="7"/>
  <c r="E311" i="7"/>
  <c r="H208" i="5"/>
  <c r="H272" i="5"/>
  <c r="H336" i="5"/>
  <c r="F156" i="9"/>
  <c r="F220" i="9"/>
  <c r="F284" i="9"/>
  <c r="H172" i="5"/>
  <c r="D237" i="9"/>
  <c r="H300" i="9"/>
  <c r="D5" i="7"/>
  <c r="E173" i="7"/>
  <c r="F341" i="7"/>
  <c r="D75" i="7"/>
  <c r="H23" i="5"/>
  <c r="F7" i="7"/>
  <c r="D305" i="7"/>
  <c r="H26" i="7"/>
  <c r="D297" i="7"/>
  <c r="F152" i="7"/>
  <c r="D280" i="7"/>
  <c r="E222" i="7"/>
  <c r="D171" i="7"/>
  <c r="D166" i="7"/>
  <c r="F302" i="7"/>
  <c r="H59" i="9"/>
  <c r="E13" i="5"/>
  <c r="F77" i="5"/>
  <c r="F141" i="5"/>
  <c r="F150" i="5"/>
  <c r="E64" i="5"/>
  <c r="E128" i="5"/>
  <c r="F66" i="5"/>
  <c r="E146" i="9"/>
  <c r="F223" i="9"/>
  <c r="F287" i="5"/>
  <c r="F351" i="5"/>
  <c r="H166" i="7"/>
  <c r="D295" i="7"/>
  <c r="F193" i="9"/>
  <c r="F257" i="9"/>
  <c r="H320" i="9"/>
  <c r="E323" i="9"/>
  <c r="E140" i="9"/>
  <c r="D204" i="9"/>
  <c r="F268" i="9"/>
  <c r="H331" i="9"/>
  <c r="D221" i="9"/>
  <c r="D285" i="9"/>
  <c r="D349" i="9"/>
  <c r="D93" i="7"/>
  <c r="F221" i="7"/>
  <c r="E349" i="7"/>
  <c r="F56" i="7"/>
  <c r="F334" i="7"/>
  <c r="H91" i="5"/>
  <c r="E109" i="5"/>
  <c r="H159" i="5"/>
  <c r="D255" i="5"/>
  <c r="F199" i="7"/>
  <c r="H224" i="9"/>
  <c r="F353" i="9"/>
  <c r="H107" i="9"/>
  <c r="H235" i="9"/>
  <c r="H188" i="5"/>
  <c r="E61" i="7"/>
  <c r="E14" i="7"/>
  <c r="E29" i="7"/>
  <c r="E177" i="7"/>
  <c r="E97" i="7"/>
  <c r="F96" i="7"/>
  <c r="F224" i="7"/>
  <c r="H351" i="7"/>
  <c r="F115" i="7"/>
  <c r="H109" i="7"/>
  <c r="E246" i="7"/>
  <c r="D4" i="9"/>
  <c r="E68" i="9"/>
  <c r="F21" i="9"/>
  <c r="E85" i="9"/>
  <c r="E149" i="9"/>
  <c r="E158" i="9"/>
  <c r="H71" i="9"/>
  <c r="D136" i="9"/>
  <c r="H81" i="9"/>
  <c r="F231" i="9"/>
  <c r="F295" i="9"/>
  <c r="H358" i="9"/>
  <c r="H110" i="7"/>
  <c r="F239" i="7"/>
  <c r="H200" i="9"/>
  <c r="F265" i="9"/>
  <c r="D329" i="9"/>
  <c r="D66" i="7"/>
  <c r="D148" i="5"/>
  <c r="H211" i="5"/>
  <c r="H275" i="5"/>
  <c r="D229" i="5"/>
  <c r="F293" i="5"/>
  <c r="E357" i="5"/>
  <c r="H164" i="7"/>
  <c r="D293" i="7"/>
  <c r="D38" i="7"/>
  <c r="D70" i="7"/>
  <c r="D22" i="7"/>
  <c r="F241" i="7"/>
  <c r="D217" i="7"/>
  <c r="E113" i="7"/>
  <c r="H103" i="7"/>
  <c r="E232" i="7"/>
  <c r="F360" i="7"/>
  <c r="H122" i="7"/>
  <c r="F118" i="7"/>
  <c r="H253" i="7"/>
  <c r="H11" i="9"/>
  <c r="F76" i="9"/>
  <c r="D29" i="9"/>
  <c r="D93" i="9"/>
  <c r="E157" i="9"/>
  <c r="D8" i="9"/>
  <c r="F80" i="9"/>
  <c r="D144" i="9"/>
  <c r="D90" i="9"/>
  <c r="D175" i="9"/>
  <c r="D239" i="9"/>
  <c r="D303" i="9"/>
  <c r="D55" i="7"/>
  <c r="E183" i="7"/>
  <c r="D311" i="7"/>
  <c r="F209" i="5"/>
  <c r="F273" i="5"/>
  <c r="F337" i="5"/>
  <c r="E156" i="9"/>
  <c r="H219" i="5"/>
  <c r="D284" i="9"/>
  <c r="H172" i="9"/>
  <c r="H236" i="5"/>
  <c r="H300" i="5"/>
  <c r="F5" i="7"/>
  <c r="E341" i="7"/>
  <c r="H74" i="7"/>
  <c r="F24" i="9"/>
  <c r="H6" i="7"/>
  <c r="F305" i="7"/>
  <c r="D27" i="7"/>
  <c r="F297" i="7"/>
  <c r="H151" i="7"/>
  <c r="E280" i="7"/>
  <c r="D222" i="7"/>
  <c r="E171" i="7"/>
  <c r="F166" i="7"/>
  <c r="E302" i="7"/>
  <c r="E60" i="5"/>
  <c r="F13" i="5"/>
  <c r="F77" i="9"/>
  <c r="H140" i="9"/>
  <c r="E150" i="5"/>
  <c r="H63" i="5"/>
  <c r="H127" i="5"/>
  <c r="E66" i="5"/>
  <c r="D146" i="9"/>
  <c r="E223" i="5"/>
  <c r="E287" i="5"/>
  <c r="E351" i="5"/>
  <c r="E167" i="7"/>
  <c r="H294" i="7"/>
  <c r="D193" i="9"/>
  <c r="E257" i="9"/>
  <c r="F321" i="9"/>
  <c r="H322" i="9"/>
  <c r="D140" i="9"/>
  <c r="F204" i="9"/>
  <c r="E268" i="9"/>
  <c r="E332" i="9"/>
  <c r="E221" i="9"/>
  <c r="E285" i="9"/>
  <c r="H348" i="9"/>
  <c r="H92" i="7"/>
  <c r="H220" i="7"/>
  <c r="F349" i="7"/>
  <c r="D56" i="7"/>
  <c r="D334" i="7"/>
  <c r="D92" i="5"/>
  <c r="F109" i="5"/>
  <c r="F160" i="9"/>
  <c r="H254" i="5"/>
  <c r="D199" i="7"/>
  <c r="E225" i="9"/>
  <c r="E353" i="9"/>
  <c r="F108" i="9"/>
  <c r="E236" i="9"/>
  <c r="E189" i="9"/>
  <c r="F61" i="7"/>
  <c r="H13" i="7"/>
  <c r="D29" i="7"/>
  <c r="D177" i="7"/>
  <c r="D97" i="7"/>
  <c r="D96" i="7"/>
  <c r="D224" i="7"/>
  <c r="F352" i="7"/>
  <c r="D115" i="7"/>
  <c r="F110" i="7"/>
  <c r="H245" i="7"/>
  <c r="F4" i="9"/>
  <c r="F68" i="9"/>
  <c r="E21" i="9"/>
  <c r="H84" i="5"/>
  <c r="D149" i="9"/>
  <c r="D158" i="9"/>
  <c r="D72" i="9"/>
  <c r="H135" i="9"/>
  <c r="H81" i="5"/>
  <c r="D231" i="9"/>
  <c r="D295" i="5"/>
  <c r="F359" i="9"/>
  <c r="D111" i="7"/>
  <c r="E239" i="7"/>
  <c r="D201" i="9"/>
  <c r="E265" i="9"/>
  <c r="F329" i="9"/>
  <c r="F66" i="7"/>
  <c r="F148" i="9"/>
  <c r="D212" i="5"/>
  <c r="F276" i="5"/>
  <c r="F229" i="5"/>
  <c r="E293" i="5"/>
  <c r="H356" i="5"/>
  <c r="F165" i="7"/>
  <c r="F293" i="7"/>
  <c r="F38" i="7"/>
  <c r="H69" i="7"/>
  <c r="F22" i="7"/>
  <c r="H240" i="7"/>
  <c r="H216" i="7"/>
  <c r="D113" i="7"/>
  <c r="E104" i="7"/>
  <c r="F232" i="7"/>
  <c r="D360" i="7"/>
  <c r="E123" i="7"/>
  <c r="E118" i="7"/>
  <c r="E254" i="7"/>
  <c r="F12" i="9"/>
  <c r="D76" i="9"/>
  <c r="H28" i="9"/>
  <c r="H92" i="9"/>
  <c r="D157" i="9"/>
  <c r="H7" i="9"/>
  <c r="E80" i="9"/>
  <c r="H143" i="9"/>
  <c r="E90" i="9"/>
  <c r="F175" i="9"/>
  <c r="H238" i="9"/>
  <c r="E303" i="9"/>
  <c r="F55" i="7"/>
  <c r="D183" i="7"/>
  <c r="H310" i="7"/>
  <c r="E209" i="5"/>
  <c r="E273" i="5"/>
  <c r="E337" i="5"/>
  <c r="D156" i="9"/>
  <c r="H219" i="9"/>
  <c r="H283" i="5"/>
  <c r="D173" i="9"/>
  <c r="H236" i="9"/>
  <c r="D301" i="9"/>
  <c r="E5" i="7"/>
  <c r="H340" i="7"/>
  <c r="E75" i="7"/>
  <c r="D24" i="5"/>
  <c r="D7" i="7"/>
  <c r="E305" i="7"/>
  <c r="E27" i="7"/>
  <c r="H296" i="7"/>
  <c r="E152" i="7"/>
  <c r="H279" i="7"/>
  <c r="H221" i="7"/>
  <c r="F171" i="7"/>
  <c r="E166" i="7"/>
  <c r="D302" i="7"/>
  <c r="D60" i="5"/>
  <c r="D13" i="5"/>
  <c r="D77" i="5"/>
  <c r="D141" i="5"/>
  <c r="D150" i="5"/>
  <c r="D64" i="5"/>
  <c r="D128" i="5"/>
  <c r="H65" i="5"/>
  <c r="D146" i="5"/>
  <c r="D223" i="5"/>
  <c r="D287" i="5"/>
  <c r="D351" i="5"/>
  <c r="F167" i="7"/>
  <c r="F295" i="7"/>
  <c r="H192" i="9"/>
  <c r="H256" i="5"/>
  <c r="E321" i="9"/>
  <c r="D323" i="9"/>
  <c r="E140" i="5"/>
  <c r="E204" i="5"/>
  <c r="D268" i="9"/>
  <c r="E332" i="5"/>
  <c r="F221" i="9"/>
  <c r="H284" i="9"/>
  <c r="F349" i="9"/>
  <c r="F93" i="7"/>
  <c r="D221" i="7"/>
  <c r="H348" i="7"/>
  <c r="H55" i="7"/>
  <c r="E334" i="7"/>
  <c r="E92" i="5"/>
  <c r="D109" i="5"/>
  <c r="D160" i="5"/>
  <c r="F255" i="5"/>
  <c r="H198" i="7"/>
  <c r="F225" i="9"/>
  <c r="D353" i="9"/>
  <c r="F108" i="5"/>
  <c r="D236" i="9"/>
  <c r="D189" i="9"/>
  <c r="H60" i="7"/>
  <c r="D14" i="7"/>
  <c r="H28" i="7"/>
  <c r="H176" i="7"/>
  <c r="H96" i="7"/>
  <c r="H95" i="7"/>
  <c r="H223" i="7"/>
  <c r="D352" i="7"/>
  <c r="E115" i="7"/>
  <c r="E110" i="7"/>
  <c r="D246" i="7"/>
  <c r="E4" i="9"/>
  <c r="D68" i="9"/>
  <c r="H20" i="5"/>
  <c r="D85" i="9"/>
  <c r="H148" i="5"/>
  <c r="H157" i="5"/>
  <c r="F72" i="9"/>
  <c r="F136" i="5"/>
  <c r="F82" i="5"/>
  <c r="D231" i="5"/>
  <c r="H294" i="5"/>
  <c r="D359" i="5"/>
  <c r="F111" i="7"/>
  <c r="H238" i="7"/>
  <c r="F201" i="9"/>
  <c r="D265" i="9"/>
  <c r="E329" i="9"/>
  <c r="E66" i="7"/>
  <c r="F148" i="5"/>
  <c r="F212" i="5"/>
  <c r="D276" i="5"/>
  <c r="E229" i="5"/>
  <c r="E293" i="9"/>
  <c r="F357" i="9"/>
  <c r="E165" i="7"/>
  <c r="H292" i="7"/>
  <c r="E38" i="7"/>
  <c r="F70" i="7"/>
  <c r="E22" i="7"/>
  <c r="D241" i="7"/>
  <c r="E217" i="7"/>
  <c r="H112" i="7"/>
  <c r="F104" i="7"/>
  <c r="H231" i="7"/>
  <c r="H359" i="7"/>
  <c r="F123" i="7"/>
  <c r="D118" i="7"/>
  <c r="F254" i="7"/>
  <c r="H11" i="5"/>
  <c r="H75" i="9"/>
  <c r="D29" i="5"/>
  <c r="E93" i="5"/>
  <c r="E157" i="5"/>
  <c r="F8" i="9"/>
  <c r="H79" i="5"/>
  <c r="H143" i="5"/>
  <c r="H89" i="5"/>
  <c r="H174" i="9"/>
  <c r="E239" i="9"/>
  <c r="H302" i="9"/>
  <c r="H54" i="7"/>
  <c r="H182" i="7"/>
  <c r="F311" i="7"/>
  <c r="D209" i="5"/>
  <c r="D273" i="5"/>
  <c r="D337" i="5"/>
  <c r="H155" i="9"/>
  <c r="E220" i="9"/>
  <c r="F284" i="5"/>
  <c r="E173" i="9"/>
  <c r="E237" i="9"/>
  <c r="F301" i="9"/>
  <c r="H4" i="7"/>
  <c r="E329" i="7"/>
  <c r="E24" i="9"/>
  <c r="H5" i="7"/>
  <c r="D337" i="7"/>
  <c r="F161" i="7"/>
  <c r="E81" i="7"/>
  <c r="D88" i="7"/>
  <c r="E216" i="7"/>
  <c r="F344" i="7"/>
  <c r="D107" i="7"/>
  <c r="H101" i="7"/>
  <c r="H237" i="7"/>
  <c r="E60" i="9"/>
  <c r="D13" i="9"/>
  <c r="E77" i="9"/>
  <c r="E141" i="9"/>
  <c r="H149" i="5"/>
  <c r="D64" i="9"/>
  <c r="E128" i="9"/>
  <c r="E66" i="9"/>
  <c r="H145" i="9"/>
  <c r="D223" i="9"/>
  <c r="H286" i="9"/>
  <c r="D351" i="9"/>
  <c r="D103" i="7"/>
  <c r="D231" i="7"/>
  <c r="E359" i="7"/>
  <c r="H192" i="5"/>
  <c r="F257" i="5"/>
  <c r="H320" i="5"/>
  <c r="H322" i="5"/>
  <c r="H139" i="5"/>
  <c r="H203" i="9"/>
  <c r="H267" i="5"/>
  <c r="H331" i="5"/>
  <c r="H220" i="5"/>
  <c r="E285" i="5"/>
  <c r="E349" i="5"/>
  <c r="E157" i="7"/>
  <c r="D285" i="7"/>
  <c r="F9" i="7"/>
  <c r="F312" i="7"/>
  <c r="E92" i="9"/>
  <c r="H108" i="9"/>
  <c r="E160" i="9"/>
  <c r="F255" i="9"/>
  <c r="E71" i="7"/>
  <c r="E327" i="7"/>
  <c r="H224" i="5"/>
  <c r="F353" i="5"/>
  <c r="H107" i="5"/>
  <c r="H235" i="5"/>
  <c r="F189" i="9"/>
  <c r="D253" i="7"/>
  <c r="F15" i="7"/>
  <c r="F345" i="7"/>
  <c r="E35" i="7"/>
  <c r="F353" i="7"/>
  <c r="E160" i="7"/>
  <c r="E288" i="7"/>
  <c r="F51" i="7"/>
  <c r="F179" i="7"/>
  <c r="H173" i="7"/>
  <c r="F310" i="7"/>
  <c r="E4" i="5"/>
  <c r="E68" i="5"/>
  <c r="D21" i="9"/>
  <c r="D85" i="5"/>
  <c r="D149" i="5"/>
  <c r="H157" i="9"/>
  <c r="F72" i="5"/>
  <c r="H135" i="5"/>
  <c r="E82" i="5"/>
  <c r="H230" i="5"/>
  <c r="D295" i="9"/>
  <c r="H358" i="5"/>
  <c r="D175" i="7"/>
  <c r="D303" i="7"/>
  <c r="H200" i="5"/>
  <c r="H264" i="5"/>
  <c r="H328" i="5"/>
  <c r="E148" i="9"/>
  <c r="E212" i="9"/>
  <c r="H275" i="9"/>
  <c r="F229" i="9"/>
  <c r="F293" i="9"/>
  <c r="E357" i="9"/>
  <c r="H100" i="7"/>
  <c r="H228" i="7"/>
  <c r="D357" i="7"/>
  <c r="F184" i="7"/>
  <c r="D317" i="7"/>
  <c r="E23" i="7"/>
  <c r="D37" i="7"/>
  <c r="E43" i="7"/>
  <c r="D21" i="7"/>
  <c r="D168" i="7"/>
  <c r="H295" i="7"/>
  <c r="E59" i="7"/>
  <c r="H53" i="7"/>
  <c r="F182" i="7"/>
  <c r="F318" i="7"/>
  <c r="F12" i="5"/>
  <c r="H75" i="5"/>
  <c r="E29" i="5"/>
  <c r="F93" i="9"/>
  <c r="F157" i="5"/>
  <c r="E8" i="5"/>
  <c r="D80" i="5"/>
  <c r="E144" i="5"/>
  <c r="F90" i="5"/>
  <c r="H174" i="5"/>
  <c r="H238" i="5"/>
  <c r="H302" i="5"/>
  <c r="D119" i="7"/>
  <c r="D247" i="7"/>
  <c r="H208" i="9"/>
  <c r="H272" i="9"/>
  <c r="H336" i="9"/>
  <c r="F146" i="7"/>
  <c r="F156" i="5"/>
  <c r="D220" i="9"/>
  <c r="E284" i="9"/>
  <c r="F173" i="9"/>
  <c r="F237" i="9"/>
  <c r="E301" i="9"/>
  <c r="E109" i="7"/>
  <c r="D329" i="7"/>
  <c r="D24" i="9"/>
  <c r="D6" i="7"/>
  <c r="H336" i="7"/>
  <c r="E161" i="7"/>
  <c r="F81" i="7"/>
  <c r="H87" i="7"/>
  <c r="F216" i="7"/>
  <c r="D344" i="7"/>
  <c r="E107" i="7"/>
  <c r="F102" i="7"/>
  <c r="F238" i="7"/>
  <c r="H59" i="5"/>
  <c r="F13" i="9"/>
  <c r="H76" i="9"/>
  <c r="D141" i="9"/>
  <c r="E150" i="9"/>
  <c r="F64" i="9"/>
  <c r="D128" i="9"/>
  <c r="H65" i="9"/>
  <c r="F146" i="9"/>
  <c r="H222" i="9"/>
  <c r="E287" i="9"/>
  <c r="H350" i="9"/>
  <c r="F103" i="7"/>
  <c r="E231" i="7"/>
  <c r="F359" i="7"/>
  <c r="F193" i="5"/>
  <c r="E257" i="5"/>
  <c r="F321" i="5"/>
  <c r="E323" i="5"/>
  <c r="H139" i="9"/>
  <c r="H203" i="5"/>
  <c r="E268" i="5"/>
  <c r="F332" i="5"/>
  <c r="E221" i="5"/>
  <c r="H284" i="5"/>
  <c r="F349" i="5"/>
  <c r="H156" i="7"/>
  <c r="E285" i="7"/>
  <c r="D9" i="7"/>
  <c r="D312" i="7"/>
  <c r="F92" i="9"/>
  <c r="H108" i="5"/>
  <c r="D160" i="9"/>
  <c r="H254" i="9"/>
  <c r="F71" i="7"/>
  <c r="D327" i="7"/>
  <c r="F225" i="5"/>
  <c r="E353" i="5"/>
  <c r="E108" i="5"/>
  <c r="F236" i="5"/>
  <c r="D189" i="5"/>
  <c r="F253" i="7"/>
  <c r="H14" i="7"/>
  <c r="E345" i="7"/>
  <c r="F35" i="7"/>
  <c r="E353" i="7"/>
  <c r="D160" i="7"/>
  <c r="H287" i="7"/>
  <c r="H50" i="7"/>
  <c r="H178" i="7"/>
  <c r="D174" i="7"/>
  <c r="H309" i="7"/>
  <c r="D4" i="5"/>
  <c r="F68" i="5"/>
  <c r="D21" i="5"/>
  <c r="E85" i="5"/>
  <c r="E149" i="5"/>
  <c r="E158" i="5"/>
  <c r="H71" i="5"/>
  <c r="F136" i="9"/>
  <c r="F82" i="9"/>
  <c r="F231" i="5"/>
  <c r="F295" i="5"/>
  <c r="F359" i="5"/>
  <c r="H174" i="7"/>
  <c r="H302" i="7"/>
  <c r="D201" i="5"/>
  <c r="E265" i="5"/>
  <c r="F329" i="5"/>
  <c r="D148" i="9"/>
  <c r="H211" i="9"/>
  <c r="F276" i="9"/>
  <c r="D229" i="9"/>
  <c r="H292" i="9"/>
  <c r="D357" i="9"/>
  <c r="D101" i="7"/>
  <c r="E229" i="7"/>
  <c r="H356" i="7"/>
  <c r="H183" i="7"/>
  <c r="E317" i="7"/>
  <c r="D23" i="7"/>
  <c r="H36" i="7"/>
  <c r="D43" i="7"/>
  <c r="F21" i="7"/>
  <c r="F168" i="7"/>
  <c r="F296" i="7"/>
  <c r="D59" i="7"/>
  <c r="F54" i="7"/>
  <c r="H181" i="7"/>
  <c r="E318" i="7"/>
  <c r="E12" i="5"/>
  <c r="E76" i="5"/>
  <c r="H28" i="5"/>
  <c r="F93" i="5"/>
  <c r="D157" i="5"/>
  <c r="D8" i="5"/>
  <c r="F80" i="5"/>
  <c r="F144" i="9"/>
  <c r="E90" i="5"/>
  <c r="F175" i="5"/>
  <c r="F239" i="5"/>
  <c r="F303" i="5"/>
  <c r="F119" i="7"/>
  <c r="E247" i="7"/>
  <c r="E209" i="9"/>
  <c r="F273" i="9"/>
  <c r="F337" i="9"/>
  <c r="D146" i="7"/>
  <c r="D156" i="5"/>
  <c r="F220" i="5"/>
  <c r="H283" i="9"/>
  <c r="E173" i="5"/>
  <c r="E237" i="5"/>
  <c r="E301" i="5"/>
  <c r="H108" i="7"/>
  <c r="F329" i="7"/>
  <c r="H23" i="9"/>
  <c r="F6" i="7"/>
  <c r="F337" i="7"/>
  <c r="D161" i="7"/>
  <c r="H80" i="7"/>
  <c r="F88" i="7"/>
  <c r="D216" i="7"/>
  <c r="E344" i="7"/>
  <c r="H106" i="7"/>
  <c r="E102" i="7"/>
  <c r="D238" i="7"/>
  <c r="F60" i="9"/>
  <c r="H12" i="9"/>
  <c r="D77" i="9"/>
  <c r="F141" i="9"/>
  <c r="D150" i="9"/>
  <c r="E64" i="9"/>
  <c r="H127" i="9"/>
  <c r="F66" i="9"/>
  <c r="H145" i="5"/>
  <c r="E223" i="9"/>
  <c r="D287" i="9"/>
  <c r="F351" i="9"/>
  <c r="E103" i="7"/>
  <c r="F231" i="7"/>
  <c r="H358" i="7"/>
  <c r="E193" i="5"/>
  <c r="D257" i="9"/>
  <c r="E321" i="5"/>
  <c r="D323" i="5"/>
  <c r="F140" i="5"/>
  <c r="F204" i="5"/>
  <c r="F268" i="5"/>
  <c r="F332" i="9"/>
  <c r="F221" i="5"/>
  <c r="F285" i="5"/>
  <c r="H348" i="5"/>
  <c r="F157" i="7"/>
  <c r="F285" i="7"/>
  <c r="E9" i="7"/>
  <c r="E312" i="7"/>
  <c r="D92" i="9"/>
  <c r="E109" i="9"/>
  <c r="H159" i="9"/>
  <c r="D255" i="9"/>
  <c r="D71" i="7"/>
  <c r="H326" i="7"/>
  <c r="D225" i="5"/>
  <c r="D353" i="5"/>
  <c r="D108" i="5"/>
  <c r="E236" i="5"/>
  <c r="E189" i="5"/>
  <c r="H252" i="7"/>
  <c r="E15" i="7"/>
  <c r="D345" i="7"/>
  <c r="H34" i="7"/>
  <c r="H352" i="7"/>
  <c r="F160" i="7"/>
  <c r="F288" i="7"/>
  <c r="E51" i="7"/>
  <c r="D179" i="7"/>
  <c r="F174" i="7"/>
  <c r="E310" i="7"/>
  <c r="F4" i="5"/>
  <c r="H67" i="5"/>
  <c r="E21" i="5"/>
  <c r="F85" i="5"/>
  <c r="F149" i="5"/>
  <c r="D158" i="5"/>
  <c r="E72" i="5"/>
  <c r="D136" i="5"/>
  <c r="D82" i="9"/>
  <c r="E231" i="5"/>
  <c r="E295" i="5"/>
  <c r="E359" i="9"/>
  <c r="F175" i="7"/>
  <c r="E303" i="7"/>
  <c r="F201" i="5"/>
  <c r="D265" i="5"/>
  <c r="D329" i="5"/>
  <c r="E148" i="5"/>
  <c r="F212" i="9"/>
  <c r="E276" i="9"/>
  <c r="E229" i="9"/>
  <c r="D293" i="9"/>
  <c r="H356" i="9"/>
  <c r="F101" i="7"/>
  <c r="F229" i="7"/>
  <c r="E357" i="7"/>
  <c r="E184" i="7"/>
  <c r="F317" i="7"/>
  <c r="F23" i="7"/>
  <c r="F37" i="7"/>
  <c r="F43" i="7"/>
  <c r="H20" i="7"/>
  <c r="H167" i="7"/>
  <c r="D296" i="7"/>
  <c r="F59" i="7"/>
  <c r="E54" i="7"/>
  <c r="E182" i="7"/>
  <c r="H317" i="7"/>
  <c r="E12" i="9"/>
  <c r="F76" i="5"/>
  <c r="F29" i="5"/>
  <c r="H92" i="5"/>
  <c r="H156" i="9"/>
  <c r="F8" i="5"/>
  <c r="H79" i="9"/>
  <c r="F144" i="5"/>
  <c r="H89" i="9"/>
  <c r="D175" i="5"/>
  <c r="E239" i="5"/>
  <c r="D303" i="5"/>
  <c r="H118" i="7"/>
  <c r="H246" i="7"/>
  <c r="D209" i="9"/>
  <c r="E273" i="9"/>
  <c r="E337" i="9"/>
  <c r="H145" i="7"/>
  <c r="E156" i="5"/>
  <c r="D220" i="5"/>
  <c r="E284" i="5"/>
  <c r="F173" i="5"/>
  <c r="F237" i="5"/>
  <c r="H328" i="7"/>
  <c r="F24" i="5"/>
  <c r="E6" i="7"/>
  <c r="E337" i="7"/>
  <c r="H160" i="7"/>
  <c r="D81" i="7"/>
  <c r="E88" i="7"/>
  <c r="H215" i="7"/>
  <c r="H343" i="7"/>
  <c r="F107" i="7"/>
  <c r="D102" i="7"/>
  <c r="E238" i="7"/>
  <c r="D60" i="9"/>
  <c r="H12" i="5"/>
  <c r="H76" i="5"/>
  <c r="H140" i="5"/>
  <c r="F150" i="9"/>
  <c r="H63" i="9"/>
  <c r="F128" i="9"/>
  <c r="D66" i="9"/>
  <c r="F146" i="5"/>
  <c r="H222" i="5"/>
  <c r="H286" i="5"/>
  <c r="E351" i="9"/>
  <c r="H102" i="7"/>
  <c r="H230" i="7"/>
  <c r="D359" i="7"/>
  <c r="D193" i="5"/>
  <c r="D257" i="5"/>
  <c r="D321" i="5"/>
  <c r="F323" i="5"/>
  <c r="D140" i="5"/>
  <c r="D204" i="5"/>
  <c r="D268" i="5"/>
  <c r="D332" i="5"/>
  <c r="D221" i="5"/>
  <c r="D285" i="5"/>
  <c r="D349" i="5"/>
  <c r="D157" i="7"/>
  <c r="H284" i="7"/>
  <c r="H8" i="7"/>
  <c r="H311" i="7"/>
  <c r="H91" i="9"/>
  <c r="D109" i="9"/>
  <c r="F160" i="5"/>
  <c r="E255" i="9"/>
  <c r="H70" i="7"/>
  <c r="F327" i="7"/>
  <c r="E225" i="5"/>
  <c r="H352" i="5"/>
  <c r="E108" i="9"/>
  <c r="D236" i="5"/>
  <c r="F189" i="5"/>
  <c r="E253" i="7"/>
  <c r="D15" i="7"/>
  <c r="H344" i="7"/>
  <c r="D35" i="7"/>
  <c r="D353" i="7"/>
  <c r="H159" i="7"/>
  <c r="D288" i="7"/>
  <c r="D51" i="7"/>
  <c r="E179" i="7"/>
  <c r="E174" i="7"/>
  <c r="D310" i="7"/>
  <c r="H3" i="5"/>
  <c r="D68" i="5"/>
  <c r="F21" i="5"/>
  <c r="H84" i="9"/>
  <c r="H148" i="9"/>
  <c r="F158" i="5"/>
  <c r="D72" i="5"/>
  <c r="E136" i="5"/>
  <c r="D82" i="5"/>
  <c r="H230" i="9"/>
  <c r="H294" i="9"/>
  <c r="E359" i="5"/>
  <c r="E175" i="7"/>
  <c r="F303" i="7"/>
  <c r="E201" i="5"/>
  <c r="F265" i="5"/>
  <c r="E329" i="5"/>
  <c r="H147" i="5"/>
  <c r="E212" i="5"/>
  <c r="D276" i="9"/>
  <c r="H228" i="9"/>
  <c r="D293" i="5"/>
  <c r="D357" i="5"/>
  <c r="E101" i="7"/>
  <c r="D229" i="7"/>
  <c r="F357" i="7"/>
  <c r="D184" i="7"/>
  <c r="H316" i="7"/>
  <c r="H22" i="7"/>
  <c r="E37" i="7"/>
  <c r="H42" i="7"/>
  <c r="E21" i="7"/>
  <c r="E168" i="7"/>
  <c r="E296" i="7"/>
  <c r="H58" i="7"/>
  <c r="D54" i="7"/>
  <c r="D182" i="7"/>
  <c r="D318" i="7"/>
  <c r="D12" i="5"/>
  <c r="D76" i="5"/>
  <c r="F29" i="9"/>
  <c r="D93" i="5"/>
  <c r="H156" i="5"/>
  <c r="H7" i="5"/>
  <c r="E80" i="5"/>
  <c r="D144" i="5"/>
  <c r="D90" i="5"/>
  <c r="E175" i="5"/>
  <c r="D239" i="5"/>
  <c r="E303" i="5"/>
  <c r="E119" i="7"/>
  <c r="F247" i="7"/>
  <c r="F209" i="9"/>
  <c r="D273" i="9"/>
  <c r="D337" i="9"/>
  <c r="E146" i="7"/>
  <c r="H155" i="5"/>
  <c r="E220" i="5"/>
  <c r="D284" i="5"/>
  <c r="D173" i="5"/>
  <c r="D237" i="5"/>
  <c r="F301" i="5"/>
  <c r="F237" i="7"/>
  <c r="E185" i="7"/>
  <c r="E30" i="7"/>
  <c r="E361" i="7"/>
  <c r="F289" i="7"/>
  <c r="H152" i="7"/>
  <c r="F112" i="7"/>
  <c r="E240" i="7"/>
  <c r="D17" i="7"/>
  <c r="F131" i="7"/>
  <c r="H125" i="7"/>
  <c r="H261" i="7"/>
  <c r="H19" i="9"/>
  <c r="E84" i="9"/>
  <c r="E37" i="9"/>
  <c r="E101" i="9"/>
  <c r="D165" i="9"/>
  <c r="F16" i="9"/>
  <c r="H87" i="9"/>
  <c r="D152" i="9"/>
  <c r="E98" i="9"/>
  <c r="E183" i="9"/>
  <c r="E247" i="9"/>
  <c r="E311" i="9"/>
  <c r="H62" i="7"/>
  <c r="E191" i="7"/>
  <c r="D319" i="7"/>
  <c r="F217" i="5"/>
  <c r="F281" i="5"/>
  <c r="F345" i="5"/>
  <c r="H99" i="9"/>
  <c r="F164" i="9"/>
  <c r="E228" i="9"/>
  <c r="E292" i="9"/>
  <c r="H180" i="5"/>
  <c r="D245" i="9"/>
  <c r="F309" i="9"/>
  <c r="F53" i="7"/>
  <c r="D181" i="7"/>
  <c r="H308" i="7"/>
  <c r="D301" i="5"/>
  <c r="E237" i="7"/>
  <c r="D185" i="7"/>
  <c r="H29" i="7"/>
  <c r="F361" i="7"/>
  <c r="E289" i="7"/>
  <c r="F153" i="7"/>
  <c r="D112" i="7"/>
  <c r="F240" i="7"/>
  <c r="E17" i="7"/>
  <c r="H130" i="7"/>
  <c r="D126" i="7"/>
  <c r="E262" i="7"/>
  <c r="F20" i="9"/>
  <c r="F84" i="9"/>
  <c r="H36" i="9"/>
  <c r="D101" i="9"/>
  <c r="H164" i="9"/>
  <c r="H15" i="9"/>
  <c r="D88" i="9"/>
  <c r="H151" i="9"/>
  <c r="F98" i="9"/>
  <c r="D183" i="9"/>
  <c r="D247" i="9"/>
  <c r="D311" i="9"/>
  <c r="E63" i="7"/>
  <c r="D191" i="7"/>
  <c r="H318" i="7"/>
  <c r="E217" i="5"/>
  <c r="E281" i="5"/>
  <c r="E345" i="5"/>
  <c r="E100" i="9"/>
  <c r="E164" i="9"/>
  <c r="D228" i="9"/>
  <c r="D292" i="9"/>
  <c r="F181" i="9"/>
  <c r="H244" i="5"/>
  <c r="H308" i="5"/>
  <c r="H52" i="7"/>
  <c r="E181" i="7"/>
  <c r="F309" i="7"/>
  <c r="D109" i="7"/>
  <c r="D237" i="7"/>
  <c r="H184" i="7"/>
  <c r="D30" i="7"/>
  <c r="D361" i="7"/>
  <c r="H288" i="7"/>
  <c r="E153" i="7"/>
  <c r="H111" i="7"/>
  <c r="H239" i="7"/>
  <c r="F17" i="7"/>
  <c r="D131" i="7"/>
  <c r="F126" i="7"/>
  <c r="F262" i="7"/>
  <c r="D20" i="9"/>
  <c r="D84" i="9"/>
  <c r="D37" i="5"/>
  <c r="D101" i="5"/>
  <c r="F165" i="9"/>
  <c r="E16" i="9"/>
  <c r="F88" i="5"/>
  <c r="F152" i="9"/>
  <c r="H97" i="5"/>
  <c r="F183" i="9"/>
  <c r="D247" i="5"/>
  <c r="H310" i="9"/>
  <c r="D63" i="7"/>
  <c r="H190" i="7"/>
  <c r="E319" i="7"/>
  <c r="D217" i="5"/>
  <c r="D281" i="5"/>
  <c r="D345" i="5"/>
  <c r="F100" i="9"/>
  <c r="H163" i="9"/>
  <c r="H227" i="5"/>
  <c r="H291" i="5"/>
  <c r="D181" i="9"/>
  <c r="H244" i="9"/>
  <c r="E309" i="9"/>
  <c r="D53" i="7"/>
  <c r="H180" i="7"/>
  <c r="E309" i="7"/>
  <c r="F109" i="7"/>
  <c r="E301" i="7"/>
  <c r="H138" i="7"/>
  <c r="F31" i="7"/>
  <c r="F57" i="7"/>
  <c r="F129" i="7"/>
  <c r="H256" i="7"/>
  <c r="E176" i="7"/>
  <c r="E304" i="7"/>
  <c r="F67" i="7"/>
  <c r="F62" i="7"/>
  <c r="F190" i="7"/>
  <c r="F326" i="7"/>
  <c r="E20" i="5"/>
  <c r="H83" i="5"/>
  <c r="H36" i="5"/>
  <c r="F101" i="5"/>
  <c r="H164" i="5"/>
  <c r="H15" i="5"/>
  <c r="E88" i="5"/>
  <c r="F152" i="5"/>
  <c r="F98" i="5"/>
  <c r="D183" i="5"/>
  <c r="H246" i="5"/>
  <c r="D311" i="5"/>
  <c r="D127" i="7"/>
  <c r="F255" i="7"/>
  <c r="E217" i="9"/>
  <c r="E281" i="9"/>
  <c r="H344" i="9"/>
  <c r="F218" i="7"/>
  <c r="D100" i="9"/>
  <c r="H163" i="5"/>
  <c r="F228" i="5"/>
  <c r="F292" i="5"/>
  <c r="H180" i="9"/>
  <c r="D245" i="5"/>
  <c r="D309" i="9"/>
  <c r="H116" i="7"/>
  <c r="H244" i="7"/>
  <c r="D173" i="7"/>
  <c r="F301" i="7"/>
  <c r="D139" i="7"/>
  <c r="H30" i="7"/>
  <c r="H56" i="7"/>
  <c r="E129" i="7"/>
  <c r="E257" i="7"/>
  <c r="D176" i="7"/>
  <c r="H303" i="7"/>
  <c r="D67" i="7"/>
  <c r="E62" i="7"/>
  <c r="E190" i="7"/>
  <c r="H325" i="7"/>
  <c r="H19" i="5"/>
  <c r="E84" i="5"/>
  <c r="F37" i="5"/>
  <c r="E101" i="5"/>
  <c r="D165" i="5"/>
  <c r="D16" i="5"/>
  <c r="F88" i="9"/>
  <c r="E152" i="5"/>
  <c r="D98" i="9"/>
  <c r="H182" i="5"/>
  <c r="F247" i="5"/>
  <c r="H310" i="5"/>
  <c r="H126" i="7"/>
  <c r="H254" i="7"/>
  <c r="H216" i="9"/>
  <c r="D281" i="9"/>
  <c r="F345" i="9"/>
  <c r="H217" i="7"/>
  <c r="F100" i="5"/>
  <c r="F164" i="5"/>
  <c r="F228" i="9"/>
  <c r="H291" i="9"/>
  <c r="D181" i="5"/>
  <c r="E245" i="9"/>
  <c r="D309" i="5"/>
  <c r="D117" i="7"/>
  <c r="E245" i="7"/>
  <c r="H172" i="7"/>
  <c r="D301" i="7"/>
  <c r="E139" i="7"/>
  <c r="E31" i="7"/>
  <c r="D57" i="7"/>
  <c r="D129" i="7"/>
  <c r="F257" i="7"/>
  <c r="F176" i="7"/>
  <c r="F304" i="7"/>
  <c r="H66" i="7"/>
  <c r="H61" i="7"/>
  <c r="D190" i="7"/>
  <c r="E326" i="7"/>
  <c r="F20" i="5"/>
  <c r="D84" i="5"/>
  <c r="D37" i="9"/>
  <c r="H100" i="5"/>
  <c r="F165" i="5"/>
  <c r="E16" i="5"/>
  <c r="H87" i="5"/>
  <c r="H151" i="5"/>
  <c r="D98" i="5"/>
  <c r="F183" i="5"/>
  <c r="E247" i="5"/>
  <c r="F311" i="5"/>
  <c r="F127" i="7"/>
  <c r="E255" i="7"/>
  <c r="D217" i="9"/>
  <c r="H280" i="9"/>
  <c r="E345" i="9"/>
  <c r="E218" i="7"/>
  <c r="E100" i="5"/>
  <c r="E164" i="5"/>
  <c r="E228" i="5"/>
  <c r="E292" i="5"/>
  <c r="E181" i="5"/>
  <c r="E245" i="5"/>
  <c r="E309" i="5"/>
  <c r="F117" i="7"/>
  <c r="D245" i="7"/>
  <c r="F173" i="7"/>
  <c r="H300" i="7"/>
  <c r="F139" i="7"/>
  <c r="D31" i="7"/>
  <c r="E57" i="7"/>
  <c r="H128" i="7"/>
  <c r="D257" i="7"/>
  <c r="H175" i="7"/>
  <c r="D304" i="7"/>
  <c r="E67" i="7"/>
  <c r="D62" i="7"/>
  <c r="H189" i="7"/>
  <c r="D326" i="7"/>
  <c r="D20" i="5"/>
  <c r="F84" i="5"/>
  <c r="E37" i="5"/>
  <c r="H100" i="9"/>
  <c r="E165" i="5"/>
  <c r="F16" i="5"/>
  <c r="D88" i="5"/>
  <c r="D152" i="5"/>
  <c r="E98" i="5"/>
  <c r="E183" i="5"/>
  <c r="H246" i="9"/>
  <c r="E311" i="5"/>
  <c r="E127" i="7"/>
  <c r="D255" i="7"/>
  <c r="F217" i="9"/>
  <c r="F281" i="9"/>
  <c r="D345" i="9"/>
  <c r="D218" i="7"/>
  <c r="D100" i="5"/>
  <c r="D164" i="5"/>
  <c r="D228" i="5"/>
  <c r="D292" i="5"/>
  <c r="F181" i="5"/>
  <c r="F245" i="5"/>
  <c r="F309" i="5"/>
  <c r="E117" i="7"/>
  <c r="F245" i="7"/>
  <c r="H236" i="7"/>
  <c r="F185" i="7"/>
  <c r="F30" i="7"/>
  <c r="H360" i="7"/>
  <c r="D289" i="7"/>
  <c r="D153" i="7"/>
  <c r="E112" i="7"/>
  <c r="D240" i="7"/>
  <c r="H16" i="7"/>
  <c r="E131" i="7"/>
  <c r="E126" i="7"/>
  <c r="D262" i="7"/>
  <c r="E20" i="9"/>
  <c r="H83" i="9"/>
  <c r="F37" i="9"/>
  <c r="F101" i="9"/>
  <c r="E165" i="9"/>
  <c r="D16" i="9"/>
  <c r="E88" i="9"/>
  <c r="E152" i="9"/>
  <c r="H97" i="9"/>
  <c r="H182" i="9"/>
  <c r="F247" i="9"/>
  <c r="F311" i="9"/>
  <c r="F63" i="7"/>
  <c r="F191" i="7"/>
  <c r="F319" i="7"/>
  <c r="H216" i="5"/>
  <c r="H280" i="5"/>
  <c r="H344" i="5"/>
  <c r="H99" i="5"/>
  <c r="D164" i="9"/>
  <c r="H227" i="9"/>
  <c r="F292" i="9"/>
  <c r="E181" i="9"/>
  <c r="F245" i="9"/>
  <c r="H308" i="9"/>
  <c r="E53" i="7"/>
  <c r="F181" i="7"/>
  <c r="D309" i="7"/>
  <c r="B309" i="9" l="1"/>
  <c r="C309" i="9" s="1"/>
  <c r="B228" i="9"/>
  <c r="B100" i="5"/>
  <c r="B345" i="5"/>
  <c r="C345" i="5" s="1"/>
  <c r="B281" i="5"/>
  <c r="C281" i="5" s="1"/>
  <c r="B217" i="5"/>
  <c r="C217" i="5" s="1"/>
  <c r="B183" i="9"/>
  <c r="C183" i="9" s="1"/>
  <c r="B98" i="9"/>
  <c r="B84" i="9"/>
  <c r="B17" i="7"/>
  <c r="B361" i="7"/>
  <c r="B237" i="7"/>
  <c r="B247" i="9"/>
  <c r="B101" i="9"/>
  <c r="B190" i="7"/>
  <c r="B176" i="7"/>
  <c r="B129" i="7"/>
  <c r="B301" i="7"/>
  <c r="B281" i="9"/>
  <c r="B152" i="5"/>
  <c r="C152" i="5" s="1"/>
  <c r="B88" i="5"/>
  <c r="C88" i="5" s="1"/>
  <c r="B101" i="5"/>
  <c r="C101" i="5" s="1"/>
  <c r="B62" i="7"/>
  <c r="B67" i="7"/>
  <c r="B173" i="7"/>
  <c r="B292" i="9"/>
  <c r="B218" i="7"/>
  <c r="B217" i="9"/>
  <c r="B255" i="7"/>
  <c r="B127" i="7"/>
  <c r="B311" i="5"/>
  <c r="B183" i="5"/>
  <c r="B20" i="5"/>
  <c r="B326" i="7"/>
  <c r="B304" i="7"/>
  <c r="B57" i="7"/>
  <c r="B31" i="7"/>
  <c r="B245" i="7"/>
  <c r="B117" i="7"/>
  <c r="B181" i="9"/>
  <c r="B164" i="5"/>
  <c r="B345" i="9"/>
  <c r="B247" i="5"/>
  <c r="B16" i="5"/>
  <c r="B165" i="5"/>
  <c r="B37" i="5"/>
  <c r="B84" i="5"/>
  <c r="C84" i="5" s="1"/>
  <c r="B257" i="7"/>
  <c r="B139" i="7"/>
  <c r="B181" i="7"/>
  <c r="G181" i="7" s="1"/>
  <c r="G309" i="9"/>
  <c r="B245" i="9"/>
  <c r="G245" i="9" s="1"/>
  <c r="B292" i="5"/>
  <c r="G292" i="5" s="1"/>
  <c r="B228" i="5"/>
  <c r="G228" i="5" s="1"/>
  <c r="B164" i="9"/>
  <c r="B191" i="7"/>
  <c r="G191" i="7" s="1"/>
  <c r="B311" i="9"/>
  <c r="C311" i="9" s="1"/>
  <c r="B98" i="5"/>
  <c r="G98" i="5" s="1"/>
  <c r="B240" i="7"/>
  <c r="G240" i="7" s="1"/>
  <c r="B112" i="7"/>
  <c r="B289" i="7"/>
  <c r="C289" i="7" s="1"/>
  <c r="B185" i="7"/>
  <c r="B53" i="7"/>
  <c r="B309" i="5"/>
  <c r="B245" i="5"/>
  <c r="B319" i="7"/>
  <c r="C319" i="7" s="1"/>
  <c r="B152" i="9"/>
  <c r="B16" i="9"/>
  <c r="C16" i="9" s="1"/>
  <c r="B165" i="9"/>
  <c r="B37" i="9"/>
  <c r="B131" i="7"/>
  <c r="B30" i="7"/>
  <c r="B309" i="7"/>
  <c r="C309" i="7" s="1"/>
  <c r="B181" i="5"/>
  <c r="B100" i="9"/>
  <c r="B63" i="7"/>
  <c r="B88" i="9"/>
  <c r="B20" i="9"/>
  <c r="B262" i="7"/>
  <c r="B126" i="7"/>
  <c r="B153" i="7"/>
  <c r="C153" i="7" s="1"/>
  <c r="B156" i="5"/>
  <c r="G156" i="5" s="1"/>
  <c r="B8" i="5"/>
  <c r="G8" i="5" s="1"/>
  <c r="B157" i="5"/>
  <c r="G157" i="5" s="1"/>
  <c r="B59" i="7"/>
  <c r="C59" i="7" s="1"/>
  <c r="B43" i="7"/>
  <c r="C43" i="7" s="1"/>
  <c r="B23" i="7"/>
  <c r="C23" i="7" s="1"/>
  <c r="B317" i="7"/>
  <c r="C317" i="7" s="1"/>
  <c r="B229" i="9"/>
  <c r="G229" i="9" s="1"/>
  <c r="B148" i="5"/>
  <c r="G148" i="5" s="1"/>
  <c r="B295" i="9"/>
  <c r="G295" i="9" s="1"/>
  <c r="B231" i="9"/>
  <c r="G231" i="9" s="1"/>
  <c r="B149" i="9"/>
  <c r="G149" i="9" s="1"/>
  <c r="B85" i="9"/>
  <c r="B4" i="5"/>
  <c r="G4" i="5" s="1"/>
  <c r="B160" i="7"/>
  <c r="C160" i="7" s="1"/>
  <c r="B345" i="7"/>
  <c r="C345" i="7" s="1"/>
  <c r="B353" i="5"/>
  <c r="G353" i="5" s="1"/>
  <c r="B71" i="7"/>
  <c r="B92" i="9"/>
  <c r="C92" i="9" s="1"/>
  <c r="B312" i="7"/>
  <c r="B9" i="7"/>
  <c r="B285" i="7"/>
  <c r="C285" i="7" s="1"/>
  <c r="B231" i="7"/>
  <c r="G231" i="7" s="1"/>
  <c r="B103" i="7"/>
  <c r="B287" i="5"/>
  <c r="G287" i="5" s="1"/>
  <c r="B223" i="5"/>
  <c r="G223" i="5" s="1"/>
  <c r="B64" i="9"/>
  <c r="C64" i="9" s="1"/>
  <c r="B141" i="5"/>
  <c r="G141" i="5" s="1"/>
  <c r="B77" i="5"/>
  <c r="G77" i="5" s="1"/>
  <c r="B13" i="5"/>
  <c r="G13" i="5" s="1"/>
  <c r="B344" i="7"/>
  <c r="C344" i="7" s="1"/>
  <c r="B216" i="7"/>
  <c r="G216" i="7" s="1"/>
  <c r="B161" i="7"/>
  <c r="B329" i="7"/>
  <c r="C329" i="7" s="1"/>
  <c r="B146" i="7"/>
  <c r="C146" i="7" s="1"/>
  <c r="B247" i="7"/>
  <c r="B119" i="7"/>
  <c r="C119" i="7" s="1"/>
  <c r="B90" i="9"/>
  <c r="B80" i="9"/>
  <c r="B157" i="9"/>
  <c r="B93" i="5"/>
  <c r="B318" i="7"/>
  <c r="B168" i="7"/>
  <c r="C168" i="7" s="1"/>
  <c r="B21" i="7"/>
  <c r="C21" i="7" s="1"/>
  <c r="B357" i="9"/>
  <c r="B68" i="5"/>
  <c r="B353" i="7"/>
  <c r="B35" i="7"/>
  <c r="B253" i="7"/>
  <c r="C253" i="7" s="1"/>
  <c r="B327" i="7"/>
  <c r="B160" i="9"/>
  <c r="B349" i="5"/>
  <c r="B359" i="7"/>
  <c r="B146" i="5"/>
  <c r="B128" i="9"/>
  <c r="B13" i="9"/>
  <c r="B107" i="7"/>
  <c r="B81" i="7"/>
  <c r="B24" i="9"/>
  <c r="B109" i="7"/>
  <c r="B284" i="9"/>
  <c r="B29" i="5"/>
  <c r="B182" i="7"/>
  <c r="B37" i="7"/>
  <c r="B184" i="7"/>
  <c r="B357" i="7"/>
  <c r="B293" i="9"/>
  <c r="B212" i="9"/>
  <c r="B303" i="7"/>
  <c r="B175" i="7"/>
  <c r="B72" i="5"/>
  <c r="B310" i="7"/>
  <c r="B179" i="7"/>
  <c r="C179" i="7" s="1"/>
  <c r="B51" i="7"/>
  <c r="B288" i="7"/>
  <c r="B15" i="7"/>
  <c r="B255" i="9"/>
  <c r="C255" i="9" s="1"/>
  <c r="B109" i="5"/>
  <c r="B157" i="7"/>
  <c r="B285" i="5"/>
  <c r="B204" i="5"/>
  <c r="B140" i="9"/>
  <c r="B351" i="9"/>
  <c r="C351" i="9" s="1"/>
  <c r="B223" i="9"/>
  <c r="B66" i="9"/>
  <c r="B77" i="9"/>
  <c r="B60" i="5"/>
  <c r="B88" i="7"/>
  <c r="C88" i="7" s="1"/>
  <c r="B337" i="7"/>
  <c r="C337" i="7" s="1"/>
  <c r="B337" i="9"/>
  <c r="B273" i="9"/>
  <c r="B209" i="9"/>
  <c r="B303" i="5"/>
  <c r="C303" i="5" s="1"/>
  <c r="B239" i="5"/>
  <c r="C239" i="5" s="1"/>
  <c r="B175" i="5"/>
  <c r="C175" i="5" s="1"/>
  <c r="B76" i="5"/>
  <c r="C76" i="5" s="1"/>
  <c r="B54" i="7"/>
  <c r="B296" i="7"/>
  <c r="C296" i="7" s="1"/>
  <c r="B229" i="7"/>
  <c r="B101" i="7"/>
  <c r="C101" i="7" s="1"/>
  <c r="B276" i="9"/>
  <c r="B329" i="5"/>
  <c r="C329" i="5" s="1"/>
  <c r="B265" i="5"/>
  <c r="C265" i="5" s="1"/>
  <c r="B201" i="5"/>
  <c r="C201" i="5" s="1"/>
  <c r="B359" i="5"/>
  <c r="C359" i="5" s="1"/>
  <c r="B231" i="5"/>
  <c r="C231" i="5" s="1"/>
  <c r="B136" i="5"/>
  <c r="C136" i="5" s="1"/>
  <c r="B158" i="9"/>
  <c r="B174" i="7"/>
  <c r="B236" i="5"/>
  <c r="C236" i="5" s="1"/>
  <c r="B108" i="5"/>
  <c r="C108" i="5" s="1"/>
  <c r="B225" i="5"/>
  <c r="C225" i="5" s="1"/>
  <c r="B109" i="9"/>
  <c r="B221" i="5"/>
  <c r="C221" i="5" s="1"/>
  <c r="B332" i="5"/>
  <c r="B268" i="5"/>
  <c r="C268" i="5" s="1"/>
  <c r="B204" i="9"/>
  <c r="B140" i="5"/>
  <c r="B323" i="5"/>
  <c r="C323" i="5" s="1"/>
  <c r="B321" i="5"/>
  <c r="C321" i="5" s="1"/>
  <c r="B193" i="5"/>
  <c r="C193" i="5" s="1"/>
  <c r="B287" i="9"/>
  <c r="B146" i="9"/>
  <c r="B150" i="5"/>
  <c r="B238" i="7"/>
  <c r="C238" i="7" s="1"/>
  <c r="B102" i="7"/>
  <c r="B6" i="7"/>
  <c r="B5" i="7"/>
  <c r="B156" i="9"/>
  <c r="B183" i="7"/>
  <c r="B55" i="7"/>
  <c r="B303" i="9"/>
  <c r="B175" i="9"/>
  <c r="B90" i="5"/>
  <c r="C90" i="5" s="1"/>
  <c r="B144" i="5"/>
  <c r="C144" i="5" s="1"/>
  <c r="B80" i="5"/>
  <c r="C80" i="5" s="1"/>
  <c r="B76" i="9"/>
  <c r="B12" i="5"/>
  <c r="C12" i="5" s="1"/>
  <c r="B360" i="7"/>
  <c r="B232" i="7"/>
  <c r="B113" i="7"/>
  <c r="B293" i="7"/>
  <c r="B239" i="7"/>
  <c r="B295" i="5"/>
  <c r="C295" i="5" s="1"/>
  <c r="B158" i="5"/>
  <c r="C158" i="5" s="1"/>
  <c r="B149" i="5"/>
  <c r="C149" i="5" s="1"/>
  <c r="B21" i="5"/>
  <c r="C21" i="5" s="1"/>
  <c r="B224" i="7"/>
  <c r="B96" i="7"/>
  <c r="B97" i="7"/>
  <c r="B177" i="7"/>
  <c r="B29" i="7"/>
  <c r="B61" i="7"/>
  <c r="B199" i="7"/>
  <c r="B56" i="7"/>
  <c r="B349" i="7"/>
  <c r="B285" i="9"/>
  <c r="B257" i="5"/>
  <c r="C257" i="5" s="1"/>
  <c r="B193" i="9"/>
  <c r="B66" i="5"/>
  <c r="C66" i="5" s="1"/>
  <c r="B222" i="7"/>
  <c r="B280" i="7"/>
  <c r="B297" i="7"/>
  <c r="B341" i="7"/>
  <c r="B237" i="9"/>
  <c r="B284" i="5"/>
  <c r="C284" i="5" s="1"/>
  <c r="B220" i="9"/>
  <c r="B311" i="7"/>
  <c r="B239" i="9"/>
  <c r="B144" i="9"/>
  <c r="B8" i="9"/>
  <c r="B93" i="9"/>
  <c r="B29" i="9"/>
  <c r="B217" i="7"/>
  <c r="B241" i="7"/>
  <c r="B70" i="7"/>
  <c r="B357" i="5"/>
  <c r="C357" i="5" s="1"/>
  <c r="B82" i="5"/>
  <c r="C82" i="5" s="1"/>
  <c r="B136" i="9"/>
  <c r="B85" i="5"/>
  <c r="C85" i="5" s="1"/>
  <c r="B246" i="7"/>
  <c r="B14" i="7"/>
  <c r="B255" i="5"/>
  <c r="C255" i="5" s="1"/>
  <c r="B221" i="7"/>
  <c r="B93" i="7"/>
  <c r="B349" i="9"/>
  <c r="B323" i="9"/>
  <c r="B295" i="7"/>
  <c r="B128" i="5"/>
  <c r="C128" i="5" s="1"/>
  <c r="B64" i="5"/>
  <c r="C64" i="5" s="1"/>
  <c r="B141" i="9"/>
  <c r="B152" i="7"/>
  <c r="B7" i="7"/>
  <c r="B75" i="7"/>
  <c r="B301" i="5"/>
  <c r="C301" i="5" s="1"/>
  <c r="B237" i="5"/>
  <c r="C237" i="5" s="1"/>
  <c r="B173" i="9"/>
  <c r="B220" i="5"/>
  <c r="C220" i="5" s="1"/>
  <c r="B12" i="9"/>
  <c r="B254" i="7"/>
  <c r="B123" i="7"/>
  <c r="B104" i="7"/>
  <c r="B165" i="7"/>
  <c r="B276" i="5"/>
  <c r="B212" i="5"/>
  <c r="C212" i="5" s="1"/>
  <c r="B201" i="9"/>
  <c r="B111" i="7"/>
  <c r="B359" i="9"/>
  <c r="B82" i="9"/>
  <c r="B72" i="9"/>
  <c r="B110" i="7"/>
  <c r="B352" i="7"/>
  <c r="B189" i="5"/>
  <c r="C189" i="5" s="1"/>
  <c r="B236" i="9"/>
  <c r="B108" i="9"/>
  <c r="C108" i="9" s="1"/>
  <c r="B225" i="9"/>
  <c r="B160" i="5"/>
  <c r="B92" i="5"/>
  <c r="B332" i="9"/>
  <c r="B321" i="9"/>
  <c r="B167" i="7"/>
  <c r="B60" i="9"/>
  <c r="B27" i="7"/>
  <c r="B24" i="5"/>
  <c r="B301" i="9"/>
  <c r="B173" i="5"/>
  <c r="C173" i="5" s="1"/>
  <c r="B337" i="5"/>
  <c r="B273" i="5"/>
  <c r="B209" i="5"/>
  <c r="B118" i="7"/>
  <c r="B22" i="7"/>
  <c r="B38" i="7"/>
  <c r="B293" i="5"/>
  <c r="B229" i="5"/>
  <c r="B148" i="9"/>
  <c r="B66" i="7"/>
  <c r="B329" i="9"/>
  <c r="B265" i="9"/>
  <c r="B21" i="9"/>
  <c r="B68" i="9"/>
  <c r="B4" i="9"/>
  <c r="B115" i="7"/>
  <c r="B189" i="9"/>
  <c r="B353" i="9"/>
  <c r="B334" i="7"/>
  <c r="B221" i="9"/>
  <c r="B268" i="9"/>
  <c r="B257" i="9"/>
  <c r="B351" i="5"/>
  <c r="B150" i="9"/>
  <c r="B302" i="7"/>
  <c r="B166" i="7"/>
  <c r="B171" i="7"/>
  <c r="B305" i="7"/>
  <c r="B351" i="7"/>
  <c r="B95" i="7"/>
  <c r="B343" i="9"/>
  <c r="B138" i="9"/>
  <c r="B62" i="9"/>
  <c r="B5" i="5"/>
  <c r="C5" i="5" s="1"/>
  <c r="B158" i="7"/>
  <c r="B272" i="7"/>
  <c r="B41" i="7"/>
  <c r="B45" i="5"/>
  <c r="C45" i="5" s="1"/>
  <c r="B205" i="7"/>
  <c r="B269" i="9"/>
  <c r="B205" i="9"/>
  <c r="B316" i="9"/>
  <c r="B50" i="9"/>
  <c r="B57" i="9"/>
  <c r="B40" i="9"/>
  <c r="B125" i="5"/>
  <c r="C125" i="5" s="1"/>
  <c r="B61" i="9"/>
  <c r="B286" i="7"/>
  <c r="B150" i="7"/>
  <c r="B264" i="7"/>
  <c r="B11" i="7"/>
  <c r="B134" i="7"/>
  <c r="B69" i="7"/>
  <c r="B261" i="5"/>
  <c r="C261" i="5" s="1"/>
  <c r="B308" i="9"/>
  <c r="B335" i="7"/>
  <c r="B79" i="7"/>
  <c r="B104" i="9"/>
  <c r="B117" i="5"/>
  <c r="C117" i="5" s="1"/>
  <c r="B278" i="7"/>
  <c r="B142" i="7"/>
  <c r="B137" i="7"/>
  <c r="B300" i="5"/>
  <c r="B289" i="9"/>
  <c r="B135" i="7"/>
  <c r="B89" i="7"/>
  <c r="B324" i="9"/>
  <c r="B260" i="9"/>
  <c r="B196" i="9"/>
  <c r="C196" i="9" s="1"/>
  <c r="B132" i="9"/>
  <c r="B313" i="5"/>
  <c r="B249" i="5"/>
  <c r="B58" i="9"/>
  <c r="B52" i="9"/>
  <c r="B265" i="7"/>
  <c r="B273" i="7"/>
  <c r="B77" i="7"/>
  <c r="B252" i="9"/>
  <c r="B124" i="5"/>
  <c r="C124" i="5" s="1"/>
  <c r="B305" i="5"/>
  <c r="B130" i="9"/>
  <c r="B155" i="7"/>
  <c r="B33" i="7"/>
  <c r="B180" i="9"/>
  <c r="B116" i="9"/>
  <c r="B361" i="5"/>
  <c r="B233" i="5"/>
  <c r="B199" i="9"/>
  <c r="B122" i="9"/>
  <c r="B53" i="5"/>
  <c r="C53" i="5" s="1"/>
  <c r="B36" i="9"/>
  <c r="B256" i="7"/>
  <c r="B317" i="9"/>
  <c r="B290" i="7"/>
  <c r="B213" i="9"/>
  <c r="B260" i="5"/>
  <c r="G260" i="5" s="1"/>
  <c r="G196" i="9"/>
  <c r="B321" i="7"/>
  <c r="C321" i="7" s="1"/>
  <c r="B62" i="5"/>
  <c r="G62" i="5" s="1"/>
  <c r="B208" i="7"/>
  <c r="G208" i="7" s="1"/>
  <c r="B65" i="7"/>
  <c r="C65" i="7" s="1"/>
  <c r="B145" i="7"/>
  <c r="G145" i="7" s="1"/>
  <c r="B281" i="7"/>
  <c r="C281" i="7" s="1"/>
  <c r="B39" i="7"/>
  <c r="B49" i="7"/>
  <c r="C49" i="7" s="1"/>
  <c r="B241" i="5"/>
  <c r="B177" i="5"/>
  <c r="G177" i="5" s="1"/>
  <c r="B279" i="7"/>
  <c r="C279" i="7" s="1"/>
  <c r="B313" i="7"/>
  <c r="C313" i="7" s="1"/>
  <c r="B191" i="9"/>
  <c r="G191" i="9" s="1"/>
  <c r="B297" i="9"/>
  <c r="C297" i="9" s="1"/>
  <c r="B233" i="9"/>
  <c r="B327" i="5"/>
  <c r="G327" i="5" s="1"/>
  <c r="B83" i="7"/>
  <c r="B192" i="7"/>
  <c r="G192" i="7" s="1"/>
  <c r="B249" i="7"/>
  <c r="G249" i="7" s="1"/>
  <c r="B317" i="5"/>
  <c r="G317" i="5" s="1"/>
  <c r="B253" i="5"/>
  <c r="G253" i="5" s="1"/>
  <c r="B172" i="9"/>
  <c r="G172" i="9" s="1"/>
  <c r="B277" i="7"/>
  <c r="C277" i="7" s="1"/>
  <c r="B324" i="5"/>
  <c r="B132" i="5"/>
  <c r="B185" i="5"/>
  <c r="B159" i="7"/>
  <c r="C159" i="7" s="1"/>
  <c r="B138" i="5"/>
  <c r="B120" i="9"/>
  <c r="B48" i="9"/>
  <c r="B358" i="7"/>
  <c r="B230" i="7"/>
  <c r="B94" i="7"/>
  <c r="B269" i="7"/>
  <c r="C269" i="7" s="1"/>
  <c r="B141" i="7"/>
  <c r="B316" i="5"/>
  <c r="C316" i="5" s="1"/>
  <c r="B188" i="5"/>
  <c r="C188" i="5" s="1"/>
  <c r="B271" i="9"/>
  <c r="B130" i="5"/>
  <c r="C130" i="5" s="1"/>
  <c r="B214" i="7"/>
  <c r="B200" i="7"/>
  <c r="B72" i="7"/>
  <c r="B209" i="7"/>
  <c r="C209" i="7" s="1"/>
  <c r="B125" i="7"/>
  <c r="B244" i="5"/>
  <c r="C244" i="5" s="1"/>
  <c r="B180" i="5"/>
  <c r="C180" i="5" s="1"/>
  <c r="B354" i="7"/>
  <c r="B143" i="7"/>
  <c r="B263" i="5"/>
  <c r="B199" i="5"/>
  <c r="B168" i="5"/>
  <c r="B104" i="5"/>
  <c r="C104" i="5" s="1"/>
  <c r="B32" i="9"/>
  <c r="B253" i="9"/>
  <c r="B172" i="5"/>
  <c r="B319" i="5"/>
  <c r="B96" i="5"/>
  <c r="B270" i="7"/>
  <c r="C270" i="7" s="1"/>
  <c r="B185" i="9"/>
  <c r="B287" i="7"/>
  <c r="C287" i="7" s="1"/>
  <c r="B120" i="5"/>
  <c r="B5" i="9"/>
  <c r="B99" i="7"/>
  <c r="B336" i="7"/>
  <c r="B80" i="7"/>
  <c r="C80" i="7" s="1"/>
  <c r="B198" i="7"/>
  <c r="B252" i="5"/>
  <c r="B151" i="7"/>
  <c r="B40" i="5"/>
  <c r="B44" i="5"/>
  <c r="B350" i="7"/>
  <c r="C350" i="7" s="1"/>
  <c r="B91" i="7"/>
  <c r="B121" i="7"/>
  <c r="C121" i="7" s="1"/>
  <c r="B169" i="7"/>
  <c r="C169" i="7" s="1"/>
  <c r="B261" i="7"/>
  <c r="B271" i="7"/>
  <c r="B168" i="9"/>
  <c r="B32" i="5"/>
  <c r="B36" i="5"/>
  <c r="B342" i="7"/>
  <c r="B206" i="7"/>
  <c r="C206" i="7" s="1"/>
  <c r="B320" i="7"/>
  <c r="B64" i="7"/>
  <c r="B105" i="7"/>
  <c r="C105" i="7" s="1"/>
  <c r="B47" i="7"/>
  <c r="B189" i="7"/>
  <c r="B300" i="9"/>
  <c r="B289" i="5"/>
  <c r="B96" i="9"/>
  <c r="B120" i="7"/>
  <c r="C120" i="7" s="1"/>
  <c r="B149" i="7"/>
  <c r="C149" i="7" s="1"/>
  <c r="B341" i="5"/>
  <c r="C341" i="5" s="1"/>
  <c r="B196" i="5"/>
  <c r="B313" i="9"/>
  <c r="B249" i="9"/>
  <c r="C249" i="9" s="1"/>
  <c r="B343" i="5"/>
  <c r="C343" i="5" s="1"/>
  <c r="B58" i="5"/>
  <c r="C58" i="5" s="1"/>
  <c r="B48" i="5"/>
  <c r="C48" i="5" s="1"/>
  <c r="B69" i="9"/>
  <c r="B305" i="9"/>
  <c r="B112" i="5"/>
  <c r="C112" i="5" s="1"/>
  <c r="B125" i="9"/>
  <c r="B44" i="9"/>
  <c r="B86" i="7"/>
  <c r="C86" i="7" s="1"/>
  <c r="B328" i="7"/>
  <c r="C328" i="7" s="1"/>
  <c r="B133" i="7"/>
  <c r="B325" i="5"/>
  <c r="C325" i="5" s="1"/>
  <c r="B197" i="9"/>
  <c r="B116" i="5"/>
  <c r="C116" i="5" s="1"/>
  <c r="B361" i="9"/>
  <c r="B122" i="5"/>
  <c r="C122" i="5" s="1"/>
  <c r="B53" i="9"/>
  <c r="B78" i="7"/>
  <c r="B263" i="7"/>
  <c r="B114" i="9"/>
  <c r="B28" i="5"/>
  <c r="C28" i="5" s="1"/>
  <c r="B277" i="5"/>
  <c r="C277" i="5" s="1"/>
  <c r="B213" i="5"/>
  <c r="C213" i="5" s="1"/>
  <c r="B223" i="7"/>
  <c r="B279" i="5"/>
  <c r="C279" i="5" s="1"/>
  <c r="B215" i="5"/>
  <c r="C215" i="5" s="1"/>
  <c r="B133" i="5"/>
  <c r="C133" i="5" s="1"/>
  <c r="B294" i="7"/>
  <c r="B144" i="7"/>
  <c r="B45" i="7"/>
  <c r="B248" i="7"/>
  <c r="B333" i="5"/>
  <c r="C333" i="5" s="1"/>
  <c r="B269" i="5"/>
  <c r="C269" i="5" s="1"/>
  <c r="B205" i="5"/>
  <c r="C205" i="5" s="1"/>
  <c r="B124" i="9"/>
  <c r="B343" i="7"/>
  <c r="B335" i="5"/>
  <c r="C335" i="5" s="1"/>
  <c r="B271" i="5"/>
  <c r="C271" i="5" s="1"/>
  <c r="B207" i="5"/>
  <c r="C207" i="5" s="1"/>
  <c r="B57" i="5"/>
  <c r="C57" i="5" s="1"/>
  <c r="B201" i="7"/>
  <c r="B233" i="7"/>
  <c r="B325" i="7"/>
  <c r="B197" i="7"/>
  <c r="B325" i="9"/>
  <c r="B197" i="5"/>
  <c r="C197" i="5" s="1"/>
  <c r="B308" i="5"/>
  <c r="C308" i="5" s="1"/>
  <c r="B244" i="9"/>
  <c r="B117" i="9"/>
  <c r="B128" i="7"/>
  <c r="B193" i="7"/>
  <c r="B13" i="7"/>
  <c r="B46" i="7"/>
  <c r="B28" i="9"/>
  <c r="B73" i="7"/>
  <c r="B213" i="7"/>
  <c r="B85" i="7"/>
  <c r="B341" i="9"/>
  <c r="B277" i="9"/>
  <c r="B279" i="9"/>
  <c r="B215" i="9"/>
  <c r="B133" i="9"/>
  <c r="B69" i="5"/>
  <c r="C69" i="5" s="1"/>
  <c r="B52" i="5"/>
  <c r="C52" i="5" s="1"/>
  <c r="B163" i="7"/>
  <c r="B19" i="7"/>
  <c r="B45" i="9"/>
  <c r="B333" i="7"/>
  <c r="B333" i="9"/>
  <c r="B188" i="9"/>
  <c r="B241" i="9"/>
  <c r="B177" i="9"/>
  <c r="B215" i="7"/>
  <c r="B87" i="7"/>
  <c r="B335" i="9"/>
  <c r="B207" i="9"/>
  <c r="B50" i="5"/>
  <c r="C50" i="5" s="1"/>
  <c r="B112" i="9"/>
  <c r="B61" i="5"/>
  <c r="C61" i="5" s="1"/>
  <c r="B136" i="7"/>
  <c r="B225" i="7"/>
  <c r="B191" i="5"/>
  <c r="C191" i="5" s="1"/>
  <c r="B261" i="9"/>
  <c r="B297" i="5"/>
  <c r="C297" i="5" s="1"/>
  <c r="B207" i="7"/>
  <c r="B327" i="9"/>
  <c r="B263" i="9"/>
  <c r="B147" i="7"/>
  <c r="B25" i="7"/>
  <c r="B319" i="9"/>
  <c r="B114" i="5"/>
  <c r="C114" i="5" s="1"/>
  <c r="O4" i="3"/>
  <c r="C327" i="3"/>
  <c r="F327" i="3" s="1"/>
  <c r="G327" i="3" s="1"/>
  <c r="E207" i="3"/>
  <c r="J207" i="3" s="1"/>
  <c r="K207" i="3" s="1"/>
  <c r="E139" i="3"/>
  <c r="J139" i="3" s="1"/>
  <c r="K139" i="3" s="1"/>
  <c r="C353" i="5"/>
  <c r="G316" i="5"/>
  <c r="G188" i="5"/>
  <c r="G130" i="5"/>
  <c r="G244" i="5"/>
  <c r="G180" i="5"/>
  <c r="G104" i="5"/>
  <c r="E363" i="3"/>
  <c r="J363" i="3" s="1"/>
  <c r="K363" i="3" s="1"/>
  <c r="D315" i="3"/>
  <c r="H315" i="3" s="1"/>
  <c r="I315" i="3" s="1"/>
  <c r="C183" i="3"/>
  <c r="F183" i="3" s="1"/>
  <c r="G183" i="3" s="1"/>
  <c r="E123" i="3"/>
  <c r="J123" i="3" s="1"/>
  <c r="K123" i="3" s="1"/>
  <c r="C141" i="5"/>
  <c r="C228" i="5"/>
  <c r="G345" i="7"/>
  <c r="C192" i="7"/>
  <c r="G285" i="7"/>
  <c r="G59" i="7"/>
  <c r="G23" i="7"/>
  <c r="C208" i="7"/>
  <c r="G313" i="7"/>
  <c r="G289" i="7"/>
  <c r="C249" i="7"/>
  <c r="C191" i="9"/>
  <c r="C229" i="9"/>
  <c r="G64" i="9"/>
  <c r="C245" i="9"/>
  <c r="G297" i="9"/>
  <c r="G92" i="9"/>
  <c r="D363" i="3"/>
  <c r="H363" i="3" s="1"/>
  <c r="I363" i="3" s="1"/>
  <c r="D299" i="3"/>
  <c r="H299" i="3" s="1"/>
  <c r="I299" i="3" s="1"/>
  <c r="C179" i="3"/>
  <c r="F179" i="3" s="1"/>
  <c r="G179" i="3" s="1"/>
  <c r="E115" i="3"/>
  <c r="J115" i="3" s="1"/>
  <c r="K115" i="3" s="1"/>
  <c r="C327" i="5"/>
  <c r="C287" i="5"/>
  <c r="C157" i="5"/>
  <c r="C260" i="5"/>
  <c r="G345" i="5"/>
  <c r="G281" i="5"/>
  <c r="G217" i="5"/>
  <c r="G303" i="5"/>
  <c r="G239" i="5"/>
  <c r="G175" i="5"/>
  <c r="G76" i="5"/>
  <c r="G329" i="5"/>
  <c r="G265" i="5"/>
  <c r="G201" i="5"/>
  <c r="G359" i="5"/>
  <c r="G231" i="5"/>
  <c r="G136" i="5"/>
  <c r="G236" i="5"/>
  <c r="G108" i="5"/>
  <c r="G225" i="5"/>
  <c r="G221" i="5"/>
  <c r="G268" i="5"/>
  <c r="G323" i="5"/>
  <c r="G321" i="5"/>
  <c r="G193" i="5"/>
  <c r="G341" i="5"/>
  <c r="G343" i="5"/>
  <c r="G58" i="5"/>
  <c r="G48" i="5"/>
  <c r="G112" i="5"/>
  <c r="G325" i="5"/>
  <c r="G116" i="5"/>
  <c r="G122" i="5"/>
  <c r="G28" i="5"/>
  <c r="D362" i="3"/>
  <c r="H362" i="3" s="1"/>
  <c r="I362" i="3" s="1"/>
  <c r="E287" i="3"/>
  <c r="J287" i="3" s="1"/>
  <c r="K287" i="3" s="1"/>
  <c r="E163" i="3"/>
  <c r="J163" i="3" s="1"/>
  <c r="K163" i="3" s="1"/>
  <c r="D91" i="3"/>
  <c r="H91" i="3" s="1"/>
  <c r="I91" i="3" s="1"/>
  <c r="D9" i="3"/>
  <c r="H9" i="3" s="1"/>
  <c r="I9" i="3" s="1"/>
  <c r="C292" i="5"/>
  <c r="C177" i="5"/>
  <c r="C8" i="5"/>
  <c r="G49" i="7"/>
  <c r="C240" i="7"/>
  <c r="C231" i="7"/>
  <c r="G344" i="7"/>
  <c r="C145" i="7"/>
  <c r="G321" i="7"/>
  <c r="C172" i="9"/>
  <c r="C231" i="9"/>
  <c r="C295" i="9"/>
  <c r="G311" i="9"/>
  <c r="G90" i="5"/>
  <c r="G144" i="5"/>
  <c r="G80" i="5"/>
  <c r="G12" i="5"/>
  <c r="G295" i="5"/>
  <c r="G158" i="5"/>
  <c r="G149" i="5"/>
  <c r="G21" i="5"/>
  <c r="G257" i="5"/>
  <c r="G66" i="5"/>
  <c r="G277" i="5"/>
  <c r="G213" i="5"/>
  <c r="G279" i="5"/>
  <c r="G215" i="5"/>
  <c r="G133" i="5"/>
  <c r="G333" i="5"/>
  <c r="G269" i="5"/>
  <c r="G205" i="5"/>
  <c r="G335" i="5"/>
  <c r="G271" i="5"/>
  <c r="G207" i="5"/>
  <c r="G57" i="5"/>
  <c r="G197" i="5"/>
  <c r="G308" i="5"/>
  <c r="C362" i="3"/>
  <c r="F362" i="3" s="1"/>
  <c r="G362" i="3" s="1"/>
  <c r="D275" i="3"/>
  <c r="H275" i="3" s="1"/>
  <c r="I275" i="3" s="1"/>
  <c r="E159" i="3"/>
  <c r="J159" i="3" s="1"/>
  <c r="K159" i="3" s="1"/>
  <c r="C62" i="5"/>
  <c r="C223" i="5"/>
  <c r="C317" i="5"/>
  <c r="C13" i="5"/>
  <c r="C148" i="5"/>
  <c r="G152" i="5"/>
  <c r="G88" i="5"/>
  <c r="G101" i="5"/>
  <c r="G284" i="5"/>
  <c r="G357" i="5"/>
  <c r="G82" i="5"/>
  <c r="G85" i="5"/>
  <c r="G255" i="5"/>
  <c r="G128" i="5"/>
  <c r="G64" i="5"/>
  <c r="G69" i="5"/>
  <c r="G52" i="5"/>
  <c r="G50" i="5"/>
  <c r="G61" i="5"/>
  <c r="G191" i="5"/>
  <c r="G297" i="5"/>
  <c r="G114" i="5"/>
  <c r="E359" i="3"/>
  <c r="J359" i="3" s="1"/>
  <c r="K359" i="3" s="1"/>
  <c r="E259" i="3"/>
  <c r="J259" i="3" s="1"/>
  <c r="K259" i="3" s="1"/>
  <c r="D155" i="3"/>
  <c r="H155" i="3" s="1"/>
  <c r="I155" i="3" s="1"/>
  <c r="D75" i="3"/>
  <c r="H75" i="3" s="1"/>
  <c r="I75" i="3" s="1"/>
  <c r="C156" i="5"/>
  <c r="C191" i="7"/>
  <c r="G317" i="7"/>
  <c r="C216" i="7"/>
  <c r="G160" i="7"/>
  <c r="G65" i="7"/>
  <c r="C181" i="7"/>
  <c r="G281" i="7"/>
  <c r="G329" i="7"/>
  <c r="G43" i="7"/>
  <c r="G279" i="7"/>
  <c r="C149" i="9"/>
  <c r="G301" i="5"/>
  <c r="G237" i="5"/>
  <c r="G220" i="5"/>
  <c r="G212" i="5"/>
  <c r="G189" i="5"/>
  <c r="G5" i="5"/>
  <c r="G45" i="5"/>
  <c r="G125" i="5"/>
  <c r="G261" i="5"/>
  <c r="G117" i="5"/>
  <c r="C359" i="3"/>
  <c r="F359" i="3" s="1"/>
  <c r="G359" i="3" s="1"/>
  <c r="C247" i="3"/>
  <c r="F247" i="3" s="1"/>
  <c r="G247" i="3" s="1"/>
  <c r="D147" i="3"/>
  <c r="H147" i="3" s="1"/>
  <c r="I147" i="3" s="1"/>
  <c r="C77" i="5"/>
  <c r="C98" i="5"/>
  <c r="C4" i="5"/>
  <c r="C253" i="5"/>
  <c r="G84" i="5"/>
  <c r="G173" i="5"/>
  <c r="G124" i="5"/>
  <c r="G53" i="5"/>
  <c r="D351" i="3"/>
  <c r="H351" i="3" s="1"/>
  <c r="I351" i="3" s="1"/>
  <c r="D335" i="3"/>
  <c r="H335" i="3" s="1"/>
  <c r="I335" i="3" s="1"/>
  <c r="D323" i="3"/>
  <c r="H323" i="3" s="1"/>
  <c r="I323" i="3" s="1"/>
  <c r="C314" i="3"/>
  <c r="F314" i="3" s="1"/>
  <c r="G314" i="3" s="1"/>
  <c r="D298" i="3"/>
  <c r="H298" i="3" s="1"/>
  <c r="I298" i="3" s="1"/>
  <c r="D287" i="3"/>
  <c r="H287" i="3" s="1"/>
  <c r="I287" i="3" s="1"/>
  <c r="C275" i="3"/>
  <c r="F275" i="3" s="1"/>
  <c r="G275" i="3" s="1"/>
  <c r="C259" i="3"/>
  <c r="F259" i="3" s="1"/>
  <c r="G259" i="3" s="1"/>
  <c r="D243" i="3"/>
  <c r="H243" i="3" s="1"/>
  <c r="I243" i="3" s="1"/>
  <c r="E219" i="3"/>
  <c r="J219" i="3" s="1"/>
  <c r="K219" i="3" s="1"/>
  <c r="C207" i="3"/>
  <c r="F207" i="3" s="1"/>
  <c r="G207" i="3" s="1"/>
  <c r="E191" i="3"/>
  <c r="J191" i="3" s="1"/>
  <c r="K191" i="3" s="1"/>
  <c r="C175" i="3"/>
  <c r="F175" i="3" s="1"/>
  <c r="G175" i="3" s="1"/>
  <c r="E151" i="3"/>
  <c r="J151" i="3" s="1"/>
  <c r="K151" i="3" s="1"/>
  <c r="D115" i="3"/>
  <c r="H115" i="3" s="1"/>
  <c r="I115" i="3" s="1"/>
  <c r="E83" i="3"/>
  <c r="J83" i="3" s="1"/>
  <c r="K83" i="3" s="1"/>
  <c r="C335" i="3"/>
  <c r="F335" i="3" s="1"/>
  <c r="G335" i="3" s="1"/>
  <c r="C323" i="3"/>
  <c r="F323" i="3" s="1"/>
  <c r="G323" i="3" s="1"/>
  <c r="E311" i="3"/>
  <c r="J311" i="3" s="1"/>
  <c r="K311" i="3" s="1"/>
  <c r="C298" i="3"/>
  <c r="F298" i="3" s="1"/>
  <c r="G298" i="3" s="1"/>
  <c r="E271" i="3"/>
  <c r="J271" i="3" s="1"/>
  <c r="K271" i="3" s="1"/>
  <c r="C243" i="3"/>
  <c r="F243" i="3" s="1"/>
  <c r="G243" i="3" s="1"/>
  <c r="D219" i="3"/>
  <c r="H219" i="3" s="1"/>
  <c r="I219" i="3" s="1"/>
  <c r="D203" i="3"/>
  <c r="H203" i="3" s="1"/>
  <c r="I203" i="3" s="1"/>
  <c r="E187" i="3"/>
  <c r="J187" i="3" s="1"/>
  <c r="K187" i="3" s="1"/>
  <c r="C171" i="3"/>
  <c r="F171" i="3" s="1"/>
  <c r="G171" i="3" s="1"/>
  <c r="C151" i="3"/>
  <c r="F151" i="3" s="1"/>
  <c r="G151" i="3" s="1"/>
  <c r="D131" i="3"/>
  <c r="H131" i="3" s="1"/>
  <c r="I131" i="3" s="1"/>
  <c r="D83" i="3"/>
  <c r="H83" i="3" s="1"/>
  <c r="I83" i="3" s="1"/>
  <c r="E347" i="3"/>
  <c r="J347" i="3" s="1"/>
  <c r="K347" i="3" s="1"/>
  <c r="E331" i="3"/>
  <c r="J331" i="3" s="1"/>
  <c r="K331" i="3" s="1"/>
  <c r="D322" i="3"/>
  <c r="H322" i="3" s="1"/>
  <c r="I322" i="3" s="1"/>
  <c r="C307" i="3"/>
  <c r="F307" i="3" s="1"/>
  <c r="G307" i="3" s="1"/>
  <c r="E295" i="3"/>
  <c r="J295" i="3" s="1"/>
  <c r="K295" i="3" s="1"/>
  <c r="E283" i="3"/>
  <c r="J283" i="3" s="1"/>
  <c r="K283" i="3" s="1"/>
  <c r="C271" i="3"/>
  <c r="F271" i="3" s="1"/>
  <c r="G271" i="3" s="1"/>
  <c r="E255" i="3"/>
  <c r="J255" i="3" s="1"/>
  <c r="K255" i="3" s="1"/>
  <c r="C239" i="3"/>
  <c r="F239" i="3" s="1"/>
  <c r="G239" i="3" s="1"/>
  <c r="E215" i="3"/>
  <c r="J215" i="3" s="1"/>
  <c r="K215" i="3" s="1"/>
  <c r="C203" i="3"/>
  <c r="F203" i="3" s="1"/>
  <c r="G203" i="3" s="1"/>
  <c r="D187" i="3"/>
  <c r="H187" i="3" s="1"/>
  <c r="I187" i="3" s="1"/>
  <c r="E147" i="3"/>
  <c r="J147" i="3" s="1"/>
  <c r="K147" i="3" s="1"/>
  <c r="E107" i="3"/>
  <c r="J107" i="3" s="1"/>
  <c r="K107" i="3" s="1"/>
  <c r="D338" i="3"/>
  <c r="H338" i="3" s="1"/>
  <c r="I338" i="3" s="1"/>
  <c r="D347" i="3"/>
  <c r="H347" i="3" s="1"/>
  <c r="I347" i="3" s="1"/>
  <c r="D331" i="3"/>
  <c r="H331" i="3" s="1"/>
  <c r="I331" i="3" s="1"/>
  <c r="E319" i="3"/>
  <c r="J319" i="3" s="1"/>
  <c r="K319" i="3" s="1"/>
  <c r="D306" i="3"/>
  <c r="H306" i="3" s="1"/>
  <c r="I306" i="3" s="1"/>
  <c r="C295" i="3"/>
  <c r="F295" i="3" s="1"/>
  <c r="G295" i="3" s="1"/>
  <c r="D283" i="3"/>
  <c r="H283" i="3" s="1"/>
  <c r="I283" i="3" s="1"/>
  <c r="D267" i="3"/>
  <c r="H267" i="3" s="1"/>
  <c r="I267" i="3" s="1"/>
  <c r="E251" i="3"/>
  <c r="J251" i="3" s="1"/>
  <c r="K251" i="3" s="1"/>
  <c r="C235" i="3"/>
  <c r="F235" i="3" s="1"/>
  <c r="G235" i="3" s="1"/>
  <c r="C215" i="3"/>
  <c r="F215" i="3" s="1"/>
  <c r="G215" i="3" s="1"/>
  <c r="D355" i="3"/>
  <c r="H355" i="3" s="1"/>
  <c r="I355" i="3" s="1"/>
  <c r="C346" i="3"/>
  <c r="F346" i="3" s="1"/>
  <c r="G346" i="3" s="1"/>
  <c r="D330" i="3"/>
  <c r="H330" i="3" s="1"/>
  <c r="I330" i="3" s="1"/>
  <c r="D319" i="3"/>
  <c r="H319" i="3" s="1"/>
  <c r="I319" i="3" s="1"/>
  <c r="D303" i="3"/>
  <c r="H303" i="3" s="1"/>
  <c r="I303" i="3" s="1"/>
  <c r="D291" i="3"/>
  <c r="H291" i="3" s="1"/>
  <c r="I291" i="3" s="1"/>
  <c r="E279" i="3"/>
  <c r="J279" i="3" s="1"/>
  <c r="K279" i="3" s="1"/>
  <c r="C267" i="3"/>
  <c r="F267" i="3" s="1"/>
  <c r="G267" i="3" s="1"/>
  <c r="D251" i="3"/>
  <c r="H251" i="3" s="1"/>
  <c r="I251" i="3" s="1"/>
  <c r="E211" i="3"/>
  <c r="J211" i="3" s="1"/>
  <c r="K211" i="3" s="1"/>
  <c r="C199" i="3"/>
  <c r="F199" i="3" s="1"/>
  <c r="G199" i="3" s="1"/>
  <c r="E183" i="3"/>
  <c r="J183" i="3" s="1"/>
  <c r="K183" i="3" s="1"/>
  <c r="D123" i="3"/>
  <c r="H123" i="3" s="1"/>
  <c r="I123" i="3" s="1"/>
  <c r="C355" i="3"/>
  <c r="F355" i="3" s="1"/>
  <c r="G355" i="3" s="1"/>
  <c r="E343" i="3"/>
  <c r="J343" i="3" s="1"/>
  <c r="K343" i="3" s="1"/>
  <c r="C330" i="3"/>
  <c r="F330" i="3" s="1"/>
  <c r="G330" i="3" s="1"/>
  <c r="C303" i="3"/>
  <c r="F303" i="3" s="1"/>
  <c r="G303" i="3" s="1"/>
  <c r="C291" i="3"/>
  <c r="F291" i="3" s="1"/>
  <c r="G291" i="3" s="1"/>
  <c r="C279" i="3"/>
  <c r="F279" i="3" s="1"/>
  <c r="G279" i="3" s="1"/>
  <c r="E227" i="3"/>
  <c r="J227" i="3" s="1"/>
  <c r="K227" i="3" s="1"/>
  <c r="D211" i="3"/>
  <c r="H211" i="3" s="1"/>
  <c r="I211" i="3" s="1"/>
  <c r="E195" i="3"/>
  <c r="J195" i="3" s="1"/>
  <c r="K195" i="3" s="1"/>
  <c r="D354" i="3"/>
  <c r="H354" i="3" s="1"/>
  <c r="I354" i="3" s="1"/>
  <c r="C339" i="3"/>
  <c r="F339" i="3" s="1"/>
  <c r="G339" i="3" s="1"/>
  <c r="E327" i="3"/>
  <c r="J327" i="3" s="1"/>
  <c r="K327" i="3" s="1"/>
  <c r="E315" i="3"/>
  <c r="J315" i="3" s="1"/>
  <c r="K315" i="3" s="1"/>
  <c r="E299" i="3"/>
  <c r="J299" i="3" s="1"/>
  <c r="K299" i="3" s="1"/>
  <c r="D290" i="3"/>
  <c r="H290" i="3" s="1"/>
  <c r="I290" i="3" s="1"/>
  <c r="C263" i="3"/>
  <c r="F263" i="3" s="1"/>
  <c r="G263" i="3" s="1"/>
  <c r="E247" i="3"/>
  <c r="J247" i="3" s="1"/>
  <c r="K247" i="3" s="1"/>
  <c r="C195" i="3"/>
  <c r="F195" i="3" s="1"/>
  <c r="G195" i="3" s="1"/>
  <c r="D179" i="3"/>
  <c r="H179" i="3" s="1"/>
  <c r="I179" i="3" s="1"/>
  <c r="E155" i="3"/>
  <c r="J155" i="3" s="1"/>
  <c r="K155" i="3" s="1"/>
  <c r="C143" i="3"/>
  <c r="F143" i="3" s="1"/>
  <c r="G143" i="3" s="1"/>
  <c r="C66" i="3"/>
  <c r="F66" i="3" s="1"/>
  <c r="G66" i="3" s="1"/>
  <c r="C268" i="3"/>
  <c r="F268" i="3" s="1"/>
  <c r="G268" i="3" s="1"/>
  <c r="E268" i="3"/>
  <c r="J268" i="3" s="1"/>
  <c r="K268" i="3" s="1"/>
  <c r="C252" i="3"/>
  <c r="F252" i="3" s="1"/>
  <c r="G252" i="3" s="1"/>
  <c r="E252" i="3"/>
  <c r="J252" i="3" s="1"/>
  <c r="K252" i="3" s="1"/>
  <c r="C236" i="3"/>
  <c r="F236" i="3" s="1"/>
  <c r="G236" i="3" s="1"/>
  <c r="E236" i="3"/>
  <c r="J236" i="3" s="1"/>
  <c r="K236" i="3" s="1"/>
  <c r="C220" i="3"/>
  <c r="F220" i="3" s="1"/>
  <c r="G220" i="3" s="1"/>
  <c r="E220" i="3"/>
  <c r="J220" i="3" s="1"/>
  <c r="K220" i="3" s="1"/>
  <c r="C196" i="3"/>
  <c r="F196" i="3" s="1"/>
  <c r="G196" i="3" s="1"/>
  <c r="E196" i="3"/>
  <c r="J196" i="3" s="1"/>
  <c r="K196" i="3" s="1"/>
  <c r="C172" i="3"/>
  <c r="F172" i="3" s="1"/>
  <c r="G172" i="3" s="1"/>
  <c r="E172" i="3"/>
  <c r="J172" i="3" s="1"/>
  <c r="K172" i="3" s="1"/>
  <c r="C156" i="3"/>
  <c r="F156" i="3" s="1"/>
  <c r="G156" i="3" s="1"/>
  <c r="E156" i="3"/>
  <c r="J156" i="3" s="1"/>
  <c r="K156" i="3" s="1"/>
  <c r="C132" i="3"/>
  <c r="F132" i="3" s="1"/>
  <c r="G132" i="3" s="1"/>
  <c r="D132" i="3"/>
  <c r="H132" i="3" s="1"/>
  <c r="I132" i="3" s="1"/>
  <c r="E132" i="3"/>
  <c r="J132" i="3" s="1"/>
  <c r="K132" i="3" s="1"/>
  <c r="C108" i="3"/>
  <c r="F108" i="3" s="1"/>
  <c r="G108" i="3" s="1"/>
  <c r="D108" i="3"/>
  <c r="H108" i="3" s="1"/>
  <c r="I108" i="3" s="1"/>
  <c r="E108" i="3"/>
  <c r="J108" i="3" s="1"/>
  <c r="K108" i="3" s="1"/>
  <c r="C92" i="3"/>
  <c r="F92" i="3" s="1"/>
  <c r="G92" i="3" s="1"/>
  <c r="D92" i="3"/>
  <c r="H92" i="3" s="1"/>
  <c r="I92" i="3" s="1"/>
  <c r="E92" i="3"/>
  <c r="J92" i="3" s="1"/>
  <c r="K92" i="3" s="1"/>
  <c r="D76" i="3"/>
  <c r="H76" i="3" s="1"/>
  <c r="I76" i="3" s="1"/>
  <c r="C76" i="3"/>
  <c r="F76" i="3" s="1"/>
  <c r="G76" i="3" s="1"/>
  <c r="E76" i="3"/>
  <c r="J76" i="3" s="1"/>
  <c r="K76" i="3" s="1"/>
  <c r="D60" i="3"/>
  <c r="H60" i="3" s="1"/>
  <c r="I60" i="3" s="1"/>
  <c r="E60" i="3"/>
  <c r="J60" i="3" s="1"/>
  <c r="K60" i="3" s="1"/>
  <c r="C20" i="3"/>
  <c r="F20" i="3" s="1"/>
  <c r="G20" i="3" s="1"/>
  <c r="D20" i="3"/>
  <c r="H20" i="3" s="1"/>
  <c r="I20" i="3" s="1"/>
  <c r="E20" i="3"/>
  <c r="J20" i="3" s="1"/>
  <c r="K20" i="3" s="1"/>
  <c r="D12" i="3"/>
  <c r="H12" i="3" s="1"/>
  <c r="I12" i="3" s="1"/>
  <c r="E12" i="3"/>
  <c r="J12" i="3" s="1"/>
  <c r="K12" i="3" s="1"/>
  <c r="E361" i="3"/>
  <c r="J361" i="3" s="1"/>
  <c r="K361" i="3" s="1"/>
  <c r="E336" i="3"/>
  <c r="J336" i="3" s="1"/>
  <c r="K336" i="3" s="1"/>
  <c r="E329" i="3"/>
  <c r="J329" i="3" s="1"/>
  <c r="K329" i="3" s="1"/>
  <c r="C326" i="3"/>
  <c r="F326" i="3" s="1"/>
  <c r="G326" i="3" s="1"/>
  <c r="D308" i="3"/>
  <c r="H308" i="3" s="1"/>
  <c r="I308" i="3" s="1"/>
  <c r="C301" i="3"/>
  <c r="F301" i="3" s="1"/>
  <c r="G301" i="3" s="1"/>
  <c r="C294" i="3"/>
  <c r="F294" i="3" s="1"/>
  <c r="G294" i="3" s="1"/>
  <c r="C262" i="3"/>
  <c r="F262" i="3" s="1"/>
  <c r="G262" i="3" s="1"/>
  <c r="E253" i="3"/>
  <c r="J253" i="3" s="1"/>
  <c r="K253" i="3" s="1"/>
  <c r="C245" i="3"/>
  <c r="F245" i="3" s="1"/>
  <c r="G245" i="3" s="1"/>
  <c r="D236" i="3"/>
  <c r="H236" i="3" s="1"/>
  <c r="I236" i="3" s="1"/>
  <c r="D206" i="3"/>
  <c r="H206" i="3" s="1"/>
  <c r="I206" i="3" s="1"/>
  <c r="C198" i="3"/>
  <c r="F198" i="3" s="1"/>
  <c r="G198" i="3" s="1"/>
  <c r="E189" i="3"/>
  <c r="J189" i="3" s="1"/>
  <c r="K189" i="3" s="1"/>
  <c r="E176" i="3"/>
  <c r="J176" i="3" s="1"/>
  <c r="K176" i="3" s="1"/>
  <c r="D142" i="3"/>
  <c r="H142" i="3" s="1"/>
  <c r="I142" i="3" s="1"/>
  <c r="C94" i="3"/>
  <c r="F94" i="3" s="1"/>
  <c r="G94" i="3" s="1"/>
  <c r="E28" i="3"/>
  <c r="J28" i="3" s="1"/>
  <c r="K28" i="3" s="1"/>
  <c r="C4" i="3"/>
  <c r="F4" i="3" s="1"/>
  <c r="G4" i="3" s="1"/>
  <c r="C67" i="3"/>
  <c r="F67" i="3" s="1"/>
  <c r="G67" i="3" s="1"/>
  <c r="D67" i="3"/>
  <c r="H67" i="3" s="1"/>
  <c r="I67" i="3" s="1"/>
  <c r="C59" i="3"/>
  <c r="F59" i="3" s="1"/>
  <c r="G59" i="3" s="1"/>
  <c r="D59" i="3"/>
  <c r="H59" i="3" s="1"/>
  <c r="I59" i="3" s="1"/>
  <c r="D51" i="3"/>
  <c r="H51" i="3" s="1"/>
  <c r="I51" i="3" s="1"/>
  <c r="C51" i="3"/>
  <c r="F51" i="3" s="1"/>
  <c r="G51" i="3" s="1"/>
  <c r="E43" i="3"/>
  <c r="J43" i="3" s="1"/>
  <c r="K43" i="3" s="1"/>
  <c r="D43" i="3"/>
  <c r="H43" i="3" s="1"/>
  <c r="I43" i="3" s="1"/>
  <c r="E35" i="3"/>
  <c r="J35" i="3" s="1"/>
  <c r="K35" i="3" s="1"/>
  <c r="D35" i="3"/>
  <c r="H35" i="3" s="1"/>
  <c r="I35" i="3" s="1"/>
  <c r="C35" i="3"/>
  <c r="F35" i="3" s="1"/>
  <c r="G35" i="3" s="1"/>
  <c r="E27" i="3"/>
  <c r="J27" i="3" s="1"/>
  <c r="K27" i="3" s="1"/>
  <c r="D27" i="3"/>
  <c r="H27" i="3" s="1"/>
  <c r="I27" i="3" s="1"/>
  <c r="C27" i="3"/>
  <c r="F27" i="3" s="1"/>
  <c r="G27" i="3" s="1"/>
  <c r="E19" i="3"/>
  <c r="J19" i="3" s="1"/>
  <c r="K19" i="3" s="1"/>
  <c r="D19" i="3"/>
  <c r="H19" i="3" s="1"/>
  <c r="I19" i="3" s="1"/>
  <c r="E11" i="3"/>
  <c r="J11" i="3" s="1"/>
  <c r="K11" i="3" s="1"/>
  <c r="C11" i="3"/>
  <c r="F11" i="3" s="1"/>
  <c r="G11" i="3" s="1"/>
  <c r="D11" i="3"/>
  <c r="H11" i="3" s="1"/>
  <c r="I11" i="3" s="1"/>
  <c r="C3" i="3"/>
  <c r="F3" i="3" s="1"/>
  <c r="G3" i="3" s="1"/>
  <c r="M3" i="3" s="1"/>
  <c r="C361" i="3"/>
  <c r="F361" i="3" s="1"/>
  <c r="G361" i="3" s="1"/>
  <c r="E357" i="3"/>
  <c r="J357" i="3" s="1"/>
  <c r="K357" i="3" s="1"/>
  <c r="C354" i="3"/>
  <c r="F354" i="3" s="1"/>
  <c r="G354" i="3" s="1"/>
  <c r="D350" i="3"/>
  <c r="H350" i="3" s="1"/>
  <c r="I350" i="3" s="1"/>
  <c r="D343" i="3"/>
  <c r="H343" i="3" s="1"/>
  <c r="I343" i="3" s="1"/>
  <c r="E339" i="3"/>
  <c r="J339" i="3" s="1"/>
  <c r="K339" i="3" s="1"/>
  <c r="D336" i="3"/>
  <c r="H336" i="3" s="1"/>
  <c r="I336" i="3" s="1"/>
  <c r="E332" i="3"/>
  <c r="J332" i="3" s="1"/>
  <c r="K332" i="3" s="1"/>
  <c r="C329" i="3"/>
  <c r="F329" i="3" s="1"/>
  <c r="G329" i="3" s="1"/>
  <c r="E325" i="3"/>
  <c r="J325" i="3" s="1"/>
  <c r="K325" i="3" s="1"/>
  <c r="C322" i="3"/>
  <c r="F322" i="3" s="1"/>
  <c r="G322" i="3" s="1"/>
  <c r="D318" i="3"/>
  <c r="H318" i="3" s="1"/>
  <c r="I318" i="3" s="1"/>
  <c r="D311" i="3"/>
  <c r="H311" i="3" s="1"/>
  <c r="I311" i="3" s="1"/>
  <c r="E307" i="3"/>
  <c r="J307" i="3" s="1"/>
  <c r="K307" i="3" s="1"/>
  <c r="D304" i="3"/>
  <c r="H304" i="3" s="1"/>
  <c r="I304" i="3" s="1"/>
  <c r="E300" i="3"/>
  <c r="J300" i="3" s="1"/>
  <c r="K300" i="3" s="1"/>
  <c r="C297" i="3"/>
  <c r="F297" i="3" s="1"/>
  <c r="G297" i="3" s="1"/>
  <c r="E293" i="3"/>
  <c r="J293" i="3" s="1"/>
  <c r="K293" i="3" s="1"/>
  <c r="C290" i="3"/>
  <c r="F290" i="3" s="1"/>
  <c r="G290" i="3" s="1"/>
  <c r="D286" i="3"/>
  <c r="H286" i="3" s="1"/>
  <c r="I286" i="3" s="1"/>
  <c r="D278" i="3"/>
  <c r="H278" i="3" s="1"/>
  <c r="I278" i="3" s="1"/>
  <c r="C270" i="3"/>
  <c r="F270" i="3" s="1"/>
  <c r="G270" i="3" s="1"/>
  <c r="E265" i="3"/>
  <c r="J265" i="3" s="1"/>
  <c r="K265" i="3" s="1"/>
  <c r="E261" i="3"/>
  <c r="J261" i="3" s="1"/>
  <c r="K261" i="3" s="1"/>
  <c r="C257" i="3"/>
  <c r="F257" i="3" s="1"/>
  <c r="G257" i="3" s="1"/>
  <c r="C253" i="3"/>
  <c r="F253" i="3" s="1"/>
  <c r="G253" i="3" s="1"/>
  <c r="E248" i="3"/>
  <c r="J248" i="3" s="1"/>
  <c r="K248" i="3" s="1"/>
  <c r="D240" i="3"/>
  <c r="H240" i="3" s="1"/>
  <c r="I240" i="3" s="1"/>
  <c r="E235" i="3"/>
  <c r="J235" i="3" s="1"/>
  <c r="K235" i="3" s="1"/>
  <c r="E231" i="3"/>
  <c r="J231" i="3" s="1"/>
  <c r="K231" i="3" s="1"/>
  <c r="D227" i="3"/>
  <c r="H227" i="3" s="1"/>
  <c r="I227" i="3" s="1"/>
  <c r="C223" i="3"/>
  <c r="F223" i="3" s="1"/>
  <c r="G223" i="3" s="1"/>
  <c r="D214" i="3"/>
  <c r="H214" i="3" s="1"/>
  <c r="I214" i="3" s="1"/>
  <c r="C206" i="3"/>
  <c r="F206" i="3" s="1"/>
  <c r="G206" i="3" s="1"/>
  <c r="E201" i="3"/>
  <c r="J201" i="3" s="1"/>
  <c r="K201" i="3" s="1"/>
  <c r="E197" i="3"/>
  <c r="J197" i="3" s="1"/>
  <c r="K197" i="3" s="1"/>
  <c r="C193" i="3"/>
  <c r="F193" i="3" s="1"/>
  <c r="G193" i="3" s="1"/>
  <c r="C189" i="3"/>
  <c r="F189" i="3" s="1"/>
  <c r="G189" i="3" s="1"/>
  <c r="E184" i="3"/>
  <c r="J184" i="3" s="1"/>
  <c r="K184" i="3" s="1"/>
  <c r="D176" i="3"/>
  <c r="H176" i="3" s="1"/>
  <c r="I176" i="3" s="1"/>
  <c r="E171" i="3"/>
  <c r="J171" i="3" s="1"/>
  <c r="K171" i="3" s="1"/>
  <c r="E167" i="3"/>
  <c r="J167" i="3" s="1"/>
  <c r="K167" i="3" s="1"/>
  <c r="D163" i="3"/>
  <c r="H163" i="3" s="1"/>
  <c r="I163" i="3" s="1"/>
  <c r="C159" i="3"/>
  <c r="F159" i="3" s="1"/>
  <c r="G159" i="3" s="1"/>
  <c r="D150" i="3"/>
  <c r="H150" i="3" s="1"/>
  <c r="I150" i="3" s="1"/>
  <c r="C142" i="3"/>
  <c r="F142" i="3" s="1"/>
  <c r="G142" i="3" s="1"/>
  <c r="D107" i="3"/>
  <c r="H107" i="3" s="1"/>
  <c r="I107" i="3" s="1"/>
  <c r="E99" i="3"/>
  <c r="J99" i="3" s="1"/>
  <c r="K99" i="3" s="1"/>
  <c r="C86" i="3"/>
  <c r="F86" i="3" s="1"/>
  <c r="G86" i="3" s="1"/>
  <c r="D78" i="3"/>
  <c r="H78" i="3" s="1"/>
  <c r="I78" i="3" s="1"/>
  <c r="C28" i="3"/>
  <c r="F28" i="3" s="1"/>
  <c r="G28" i="3" s="1"/>
  <c r="C276" i="3"/>
  <c r="F276" i="3" s="1"/>
  <c r="G276" i="3" s="1"/>
  <c r="E276" i="3"/>
  <c r="J276" i="3" s="1"/>
  <c r="K276" i="3" s="1"/>
  <c r="C260" i="3"/>
  <c r="F260" i="3" s="1"/>
  <c r="G260" i="3" s="1"/>
  <c r="E260" i="3"/>
  <c r="J260" i="3" s="1"/>
  <c r="K260" i="3" s="1"/>
  <c r="C244" i="3"/>
  <c r="F244" i="3" s="1"/>
  <c r="G244" i="3" s="1"/>
  <c r="E244" i="3"/>
  <c r="J244" i="3" s="1"/>
  <c r="K244" i="3" s="1"/>
  <c r="C228" i="3"/>
  <c r="F228" i="3" s="1"/>
  <c r="G228" i="3" s="1"/>
  <c r="E228" i="3"/>
  <c r="J228" i="3" s="1"/>
  <c r="K228" i="3" s="1"/>
  <c r="C212" i="3"/>
  <c r="F212" i="3" s="1"/>
  <c r="G212" i="3" s="1"/>
  <c r="E212" i="3"/>
  <c r="J212" i="3" s="1"/>
  <c r="K212" i="3" s="1"/>
  <c r="C204" i="3"/>
  <c r="F204" i="3" s="1"/>
  <c r="G204" i="3" s="1"/>
  <c r="E204" i="3"/>
  <c r="J204" i="3" s="1"/>
  <c r="K204" i="3" s="1"/>
  <c r="C188" i="3"/>
  <c r="F188" i="3" s="1"/>
  <c r="G188" i="3" s="1"/>
  <c r="E188" i="3"/>
  <c r="J188" i="3" s="1"/>
  <c r="K188" i="3" s="1"/>
  <c r="C180" i="3"/>
  <c r="F180" i="3" s="1"/>
  <c r="G180" i="3" s="1"/>
  <c r="E180" i="3"/>
  <c r="J180" i="3" s="1"/>
  <c r="K180" i="3" s="1"/>
  <c r="C164" i="3"/>
  <c r="F164" i="3" s="1"/>
  <c r="G164" i="3" s="1"/>
  <c r="E164" i="3"/>
  <c r="J164" i="3" s="1"/>
  <c r="K164" i="3" s="1"/>
  <c r="C148" i="3"/>
  <c r="F148" i="3" s="1"/>
  <c r="G148" i="3" s="1"/>
  <c r="E148" i="3"/>
  <c r="J148" i="3" s="1"/>
  <c r="K148" i="3" s="1"/>
  <c r="C140" i="3"/>
  <c r="F140" i="3" s="1"/>
  <c r="G140" i="3" s="1"/>
  <c r="D140" i="3"/>
  <c r="H140" i="3" s="1"/>
  <c r="I140" i="3" s="1"/>
  <c r="E140" i="3"/>
  <c r="J140" i="3" s="1"/>
  <c r="K140" i="3" s="1"/>
  <c r="C124" i="3"/>
  <c r="F124" i="3" s="1"/>
  <c r="G124" i="3" s="1"/>
  <c r="D124" i="3"/>
  <c r="H124" i="3" s="1"/>
  <c r="I124" i="3" s="1"/>
  <c r="E124" i="3"/>
  <c r="J124" i="3" s="1"/>
  <c r="K124" i="3" s="1"/>
  <c r="C116" i="3"/>
  <c r="F116" i="3" s="1"/>
  <c r="G116" i="3" s="1"/>
  <c r="D116" i="3"/>
  <c r="H116" i="3" s="1"/>
  <c r="I116" i="3" s="1"/>
  <c r="E116" i="3"/>
  <c r="J116" i="3" s="1"/>
  <c r="K116" i="3" s="1"/>
  <c r="C100" i="3"/>
  <c r="F100" i="3" s="1"/>
  <c r="G100" i="3" s="1"/>
  <c r="D100" i="3"/>
  <c r="H100" i="3" s="1"/>
  <c r="I100" i="3" s="1"/>
  <c r="E100" i="3"/>
  <c r="J100" i="3" s="1"/>
  <c r="K100" i="3" s="1"/>
  <c r="C84" i="3"/>
  <c r="F84" i="3" s="1"/>
  <c r="G84" i="3" s="1"/>
  <c r="D84" i="3"/>
  <c r="H84" i="3" s="1"/>
  <c r="I84" i="3" s="1"/>
  <c r="E84" i="3"/>
  <c r="J84" i="3" s="1"/>
  <c r="K84" i="3" s="1"/>
  <c r="D68" i="3"/>
  <c r="H68" i="3" s="1"/>
  <c r="I68" i="3" s="1"/>
  <c r="E68" i="3"/>
  <c r="J68" i="3" s="1"/>
  <c r="K68" i="3" s="1"/>
  <c r="C68" i="3"/>
  <c r="F68" i="3" s="1"/>
  <c r="G68" i="3" s="1"/>
  <c r="E52" i="3"/>
  <c r="J52" i="3" s="1"/>
  <c r="K52" i="3" s="1"/>
  <c r="D52" i="3"/>
  <c r="H52" i="3" s="1"/>
  <c r="I52" i="3" s="1"/>
  <c r="D44" i="3"/>
  <c r="H44" i="3" s="1"/>
  <c r="I44" i="3" s="1"/>
  <c r="C44" i="3"/>
  <c r="F44" i="3" s="1"/>
  <c r="G44" i="3" s="1"/>
  <c r="E44" i="3"/>
  <c r="J44" i="3" s="1"/>
  <c r="K44" i="3" s="1"/>
  <c r="E36" i="3"/>
  <c r="J36" i="3" s="1"/>
  <c r="K36" i="3" s="1"/>
  <c r="D36" i="3"/>
  <c r="H36" i="3" s="1"/>
  <c r="I36" i="3" s="1"/>
  <c r="C358" i="3"/>
  <c r="F358" i="3" s="1"/>
  <c r="G358" i="3" s="1"/>
  <c r="D340" i="3"/>
  <c r="H340" i="3" s="1"/>
  <c r="I340" i="3" s="1"/>
  <c r="C333" i="3"/>
  <c r="F333" i="3" s="1"/>
  <c r="G333" i="3" s="1"/>
  <c r="E304" i="3"/>
  <c r="J304" i="3" s="1"/>
  <c r="K304" i="3" s="1"/>
  <c r="E297" i="3"/>
  <c r="J297" i="3" s="1"/>
  <c r="K297" i="3" s="1"/>
  <c r="D270" i="3"/>
  <c r="H270" i="3" s="1"/>
  <c r="I270" i="3" s="1"/>
  <c r="E257" i="3"/>
  <c r="J257" i="3" s="1"/>
  <c r="K257" i="3" s="1"/>
  <c r="C249" i="3"/>
  <c r="F249" i="3" s="1"/>
  <c r="G249" i="3" s="1"/>
  <c r="E240" i="3"/>
  <c r="J240" i="3" s="1"/>
  <c r="K240" i="3" s="1"/>
  <c r="D232" i="3"/>
  <c r="H232" i="3" s="1"/>
  <c r="I232" i="3" s="1"/>
  <c r="E193" i="3"/>
  <c r="J193" i="3" s="1"/>
  <c r="K193" i="3" s="1"/>
  <c r="C185" i="3"/>
  <c r="F185" i="3" s="1"/>
  <c r="G185" i="3" s="1"/>
  <c r="C181" i="3"/>
  <c r="F181" i="3" s="1"/>
  <c r="G181" i="3" s="1"/>
  <c r="D172" i="3"/>
  <c r="H172" i="3" s="1"/>
  <c r="I172" i="3" s="1"/>
  <c r="D168" i="3"/>
  <c r="H168" i="3" s="1"/>
  <c r="I168" i="3" s="1"/>
  <c r="D86" i="3"/>
  <c r="H86" i="3" s="1"/>
  <c r="I86" i="3" s="1"/>
  <c r="C72" i="3"/>
  <c r="F72" i="3" s="1"/>
  <c r="G72" i="3" s="1"/>
  <c r="C282" i="3"/>
  <c r="F282" i="3" s="1"/>
  <c r="G282" i="3" s="1"/>
  <c r="E282" i="3"/>
  <c r="J282" i="3" s="1"/>
  <c r="K282" i="3" s="1"/>
  <c r="C274" i="3"/>
  <c r="F274" i="3" s="1"/>
  <c r="G274" i="3" s="1"/>
  <c r="E274" i="3"/>
  <c r="J274" i="3" s="1"/>
  <c r="K274" i="3" s="1"/>
  <c r="C266" i="3"/>
  <c r="F266" i="3" s="1"/>
  <c r="G266" i="3" s="1"/>
  <c r="E266" i="3"/>
  <c r="J266" i="3" s="1"/>
  <c r="K266" i="3" s="1"/>
  <c r="C258" i="3"/>
  <c r="F258" i="3" s="1"/>
  <c r="G258" i="3" s="1"/>
  <c r="E258" i="3"/>
  <c r="J258" i="3" s="1"/>
  <c r="K258" i="3" s="1"/>
  <c r="C250" i="3"/>
  <c r="F250" i="3" s="1"/>
  <c r="G250" i="3" s="1"/>
  <c r="E250" i="3"/>
  <c r="J250" i="3" s="1"/>
  <c r="K250" i="3" s="1"/>
  <c r="C242" i="3"/>
  <c r="F242" i="3" s="1"/>
  <c r="G242" i="3" s="1"/>
  <c r="E242" i="3"/>
  <c r="J242" i="3" s="1"/>
  <c r="K242" i="3" s="1"/>
  <c r="C234" i="3"/>
  <c r="F234" i="3" s="1"/>
  <c r="G234" i="3" s="1"/>
  <c r="E234" i="3"/>
  <c r="J234" i="3" s="1"/>
  <c r="K234" i="3" s="1"/>
  <c r="C226" i="3"/>
  <c r="F226" i="3" s="1"/>
  <c r="G226" i="3" s="1"/>
  <c r="E226" i="3"/>
  <c r="J226" i="3" s="1"/>
  <c r="K226" i="3" s="1"/>
  <c r="C218" i="3"/>
  <c r="F218" i="3" s="1"/>
  <c r="G218" i="3" s="1"/>
  <c r="E218" i="3"/>
  <c r="J218" i="3" s="1"/>
  <c r="K218" i="3" s="1"/>
  <c r="C210" i="3"/>
  <c r="F210" i="3" s="1"/>
  <c r="G210" i="3" s="1"/>
  <c r="E210" i="3"/>
  <c r="J210" i="3" s="1"/>
  <c r="K210" i="3" s="1"/>
  <c r="C202" i="3"/>
  <c r="F202" i="3" s="1"/>
  <c r="G202" i="3" s="1"/>
  <c r="E202" i="3"/>
  <c r="J202" i="3" s="1"/>
  <c r="K202" i="3" s="1"/>
  <c r="C194" i="3"/>
  <c r="F194" i="3" s="1"/>
  <c r="G194" i="3" s="1"/>
  <c r="E194" i="3"/>
  <c r="J194" i="3" s="1"/>
  <c r="K194" i="3" s="1"/>
  <c r="C186" i="3"/>
  <c r="F186" i="3" s="1"/>
  <c r="G186" i="3" s="1"/>
  <c r="E186" i="3"/>
  <c r="J186" i="3" s="1"/>
  <c r="K186" i="3" s="1"/>
  <c r="C178" i="3"/>
  <c r="F178" i="3" s="1"/>
  <c r="G178" i="3" s="1"/>
  <c r="E178" i="3"/>
  <c r="J178" i="3" s="1"/>
  <c r="K178" i="3" s="1"/>
  <c r="C170" i="3"/>
  <c r="F170" i="3" s="1"/>
  <c r="G170" i="3" s="1"/>
  <c r="E170" i="3"/>
  <c r="J170" i="3" s="1"/>
  <c r="K170" i="3" s="1"/>
  <c r="C162" i="3"/>
  <c r="F162" i="3" s="1"/>
  <c r="G162" i="3" s="1"/>
  <c r="E162" i="3"/>
  <c r="J162" i="3" s="1"/>
  <c r="K162" i="3" s="1"/>
  <c r="C154" i="3"/>
  <c r="F154" i="3" s="1"/>
  <c r="G154" i="3" s="1"/>
  <c r="E154" i="3"/>
  <c r="J154" i="3" s="1"/>
  <c r="K154" i="3" s="1"/>
  <c r="C146" i="3"/>
  <c r="F146" i="3" s="1"/>
  <c r="G146" i="3" s="1"/>
  <c r="E146" i="3"/>
  <c r="J146" i="3" s="1"/>
  <c r="K146" i="3" s="1"/>
  <c r="C138" i="3"/>
  <c r="F138" i="3" s="1"/>
  <c r="G138" i="3" s="1"/>
  <c r="E138" i="3"/>
  <c r="J138" i="3" s="1"/>
  <c r="K138" i="3" s="1"/>
  <c r="C130" i="3"/>
  <c r="F130" i="3" s="1"/>
  <c r="G130" i="3" s="1"/>
  <c r="E130" i="3"/>
  <c r="J130" i="3" s="1"/>
  <c r="K130" i="3" s="1"/>
  <c r="C122" i="3"/>
  <c r="F122" i="3" s="1"/>
  <c r="G122" i="3" s="1"/>
  <c r="E122" i="3"/>
  <c r="J122" i="3" s="1"/>
  <c r="K122" i="3" s="1"/>
  <c r="C114" i="3"/>
  <c r="F114" i="3" s="1"/>
  <c r="G114" i="3" s="1"/>
  <c r="E114" i="3"/>
  <c r="J114" i="3" s="1"/>
  <c r="K114" i="3" s="1"/>
  <c r="C106" i="3"/>
  <c r="F106" i="3" s="1"/>
  <c r="G106" i="3" s="1"/>
  <c r="E106" i="3"/>
  <c r="J106" i="3" s="1"/>
  <c r="K106" i="3" s="1"/>
  <c r="C98" i="3"/>
  <c r="F98" i="3" s="1"/>
  <c r="G98" i="3" s="1"/>
  <c r="E98" i="3"/>
  <c r="J98" i="3" s="1"/>
  <c r="K98" i="3" s="1"/>
  <c r="C90" i="3"/>
  <c r="F90" i="3" s="1"/>
  <c r="G90" i="3" s="1"/>
  <c r="E90" i="3"/>
  <c r="J90" i="3" s="1"/>
  <c r="K90" i="3" s="1"/>
  <c r="C82" i="3"/>
  <c r="F82" i="3" s="1"/>
  <c r="G82" i="3" s="1"/>
  <c r="E82" i="3"/>
  <c r="J82" i="3" s="1"/>
  <c r="K82" i="3" s="1"/>
  <c r="E74" i="3"/>
  <c r="J74" i="3" s="1"/>
  <c r="K74" i="3" s="1"/>
  <c r="D74" i="3"/>
  <c r="H74" i="3" s="1"/>
  <c r="I74" i="3" s="1"/>
  <c r="D58" i="3"/>
  <c r="H58" i="3" s="1"/>
  <c r="I58" i="3" s="1"/>
  <c r="E58" i="3"/>
  <c r="J58" i="3" s="1"/>
  <c r="K58" i="3" s="1"/>
  <c r="D50" i="3"/>
  <c r="H50" i="3" s="1"/>
  <c r="I50" i="3" s="1"/>
  <c r="E50" i="3"/>
  <c r="J50" i="3" s="1"/>
  <c r="K50" i="3" s="1"/>
  <c r="D42" i="3"/>
  <c r="H42" i="3" s="1"/>
  <c r="I42" i="3" s="1"/>
  <c r="E42" i="3"/>
  <c r="J42" i="3" s="1"/>
  <c r="K42" i="3" s="1"/>
  <c r="D34" i="3"/>
  <c r="H34" i="3" s="1"/>
  <c r="I34" i="3" s="1"/>
  <c r="C34" i="3"/>
  <c r="F34" i="3" s="1"/>
  <c r="G34" i="3" s="1"/>
  <c r="E34" i="3"/>
  <c r="J34" i="3" s="1"/>
  <c r="K34" i="3" s="1"/>
  <c r="D26" i="3"/>
  <c r="H26" i="3" s="1"/>
  <c r="I26" i="3" s="1"/>
  <c r="E26" i="3"/>
  <c r="J26" i="3" s="1"/>
  <c r="K26" i="3" s="1"/>
  <c r="D18" i="3"/>
  <c r="H18" i="3" s="1"/>
  <c r="I18" i="3" s="1"/>
  <c r="C18" i="3"/>
  <c r="F18" i="3" s="1"/>
  <c r="G18" i="3" s="1"/>
  <c r="D10" i="3"/>
  <c r="H10" i="3" s="1"/>
  <c r="I10" i="3" s="1"/>
  <c r="E10" i="3"/>
  <c r="J10" i="3" s="1"/>
  <c r="K10" i="3" s="1"/>
  <c r="C10" i="3"/>
  <c r="F10" i="3" s="1"/>
  <c r="G10" i="3" s="1"/>
  <c r="D3" i="3"/>
  <c r="H3" i="3" s="1"/>
  <c r="I3" i="3" s="1"/>
  <c r="N3" i="3" s="1"/>
  <c r="E360" i="3"/>
  <c r="J360" i="3" s="1"/>
  <c r="K360" i="3" s="1"/>
  <c r="C357" i="3"/>
  <c r="F357" i="3" s="1"/>
  <c r="G357" i="3" s="1"/>
  <c r="E353" i="3"/>
  <c r="J353" i="3" s="1"/>
  <c r="K353" i="3" s="1"/>
  <c r="C350" i="3"/>
  <c r="F350" i="3" s="1"/>
  <c r="G350" i="3" s="1"/>
  <c r="D346" i="3"/>
  <c r="H346" i="3" s="1"/>
  <c r="I346" i="3" s="1"/>
  <c r="D332" i="3"/>
  <c r="H332" i="3" s="1"/>
  <c r="I332" i="3" s="1"/>
  <c r="E328" i="3"/>
  <c r="J328" i="3" s="1"/>
  <c r="K328" i="3" s="1"/>
  <c r="C325" i="3"/>
  <c r="F325" i="3" s="1"/>
  <c r="G325" i="3" s="1"/>
  <c r="E321" i="3"/>
  <c r="J321" i="3" s="1"/>
  <c r="K321" i="3" s="1"/>
  <c r="C318" i="3"/>
  <c r="F318" i="3" s="1"/>
  <c r="G318" i="3" s="1"/>
  <c r="D314" i="3"/>
  <c r="H314" i="3" s="1"/>
  <c r="I314" i="3" s="1"/>
  <c r="D300" i="3"/>
  <c r="H300" i="3" s="1"/>
  <c r="I300" i="3" s="1"/>
  <c r="E296" i="3"/>
  <c r="J296" i="3" s="1"/>
  <c r="K296" i="3" s="1"/>
  <c r="C293" i="3"/>
  <c r="F293" i="3" s="1"/>
  <c r="G293" i="3" s="1"/>
  <c r="E289" i="3"/>
  <c r="J289" i="3" s="1"/>
  <c r="K289" i="3" s="1"/>
  <c r="C286" i="3"/>
  <c r="F286" i="3" s="1"/>
  <c r="G286" i="3" s="1"/>
  <c r="D282" i="3"/>
  <c r="H282" i="3" s="1"/>
  <c r="I282" i="3" s="1"/>
  <c r="C278" i="3"/>
  <c r="F278" i="3" s="1"/>
  <c r="G278" i="3" s="1"/>
  <c r="E273" i="3"/>
  <c r="J273" i="3" s="1"/>
  <c r="K273" i="3" s="1"/>
  <c r="E269" i="3"/>
  <c r="J269" i="3" s="1"/>
  <c r="K269" i="3" s="1"/>
  <c r="C265" i="3"/>
  <c r="F265" i="3" s="1"/>
  <c r="G265" i="3" s="1"/>
  <c r="C261" i="3"/>
  <c r="F261" i="3" s="1"/>
  <c r="G261" i="3" s="1"/>
  <c r="E256" i="3"/>
  <c r="J256" i="3" s="1"/>
  <c r="K256" i="3" s="1"/>
  <c r="D252" i="3"/>
  <c r="H252" i="3" s="1"/>
  <c r="I252" i="3" s="1"/>
  <c r="D248" i="3"/>
  <c r="H248" i="3" s="1"/>
  <c r="I248" i="3" s="1"/>
  <c r="E239" i="3"/>
  <c r="J239" i="3" s="1"/>
  <c r="K239" i="3" s="1"/>
  <c r="C231" i="3"/>
  <c r="F231" i="3" s="1"/>
  <c r="G231" i="3" s="1"/>
  <c r="D222" i="3"/>
  <c r="H222" i="3" s="1"/>
  <c r="I222" i="3" s="1"/>
  <c r="D218" i="3"/>
  <c r="H218" i="3" s="1"/>
  <c r="I218" i="3" s="1"/>
  <c r="C214" i="3"/>
  <c r="F214" i="3" s="1"/>
  <c r="G214" i="3" s="1"/>
  <c r="E209" i="3"/>
  <c r="J209" i="3" s="1"/>
  <c r="K209" i="3" s="1"/>
  <c r="E205" i="3"/>
  <c r="J205" i="3" s="1"/>
  <c r="K205" i="3" s="1"/>
  <c r="C201" i="3"/>
  <c r="F201" i="3" s="1"/>
  <c r="G201" i="3" s="1"/>
  <c r="C197" i="3"/>
  <c r="F197" i="3" s="1"/>
  <c r="G197" i="3" s="1"/>
  <c r="E192" i="3"/>
  <c r="J192" i="3" s="1"/>
  <c r="K192" i="3" s="1"/>
  <c r="D188" i="3"/>
  <c r="H188" i="3" s="1"/>
  <c r="I188" i="3" s="1"/>
  <c r="D184" i="3"/>
  <c r="H184" i="3" s="1"/>
  <c r="I184" i="3" s="1"/>
  <c r="E175" i="3"/>
  <c r="J175" i="3" s="1"/>
  <c r="K175" i="3" s="1"/>
  <c r="C167" i="3"/>
  <c r="F167" i="3" s="1"/>
  <c r="G167" i="3" s="1"/>
  <c r="D158" i="3"/>
  <c r="H158" i="3" s="1"/>
  <c r="I158" i="3" s="1"/>
  <c r="D154" i="3"/>
  <c r="H154" i="3" s="1"/>
  <c r="I154" i="3" s="1"/>
  <c r="C150" i="3"/>
  <c r="F150" i="3" s="1"/>
  <c r="G150" i="3" s="1"/>
  <c r="E145" i="3"/>
  <c r="J145" i="3" s="1"/>
  <c r="K145" i="3" s="1"/>
  <c r="E141" i="3"/>
  <c r="J141" i="3" s="1"/>
  <c r="K141" i="3" s="1"/>
  <c r="D134" i="3"/>
  <c r="H134" i="3" s="1"/>
  <c r="I134" i="3" s="1"/>
  <c r="D106" i="3"/>
  <c r="H106" i="3" s="1"/>
  <c r="I106" i="3" s="1"/>
  <c r="D99" i="3"/>
  <c r="H99" i="3" s="1"/>
  <c r="I99" i="3" s="1"/>
  <c r="E91" i="3"/>
  <c r="J91" i="3" s="1"/>
  <c r="K91" i="3" s="1"/>
  <c r="C78" i="3"/>
  <c r="F78" i="3" s="1"/>
  <c r="G78" i="3" s="1"/>
  <c r="D69" i="3"/>
  <c r="H69" i="3" s="1"/>
  <c r="I69" i="3" s="1"/>
  <c r="E51" i="3"/>
  <c r="J51" i="3" s="1"/>
  <c r="K51" i="3" s="1"/>
  <c r="C26" i="3"/>
  <c r="F26" i="3" s="1"/>
  <c r="G26" i="3" s="1"/>
  <c r="D137" i="3"/>
  <c r="H137" i="3" s="1"/>
  <c r="I137" i="3" s="1"/>
  <c r="E137" i="3"/>
  <c r="J137" i="3" s="1"/>
  <c r="K137" i="3" s="1"/>
  <c r="D129" i="3"/>
  <c r="H129" i="3" s="1"/>
  <c r="I129" i="3" s="1"/>
  <c r="E129" i="3"/>
  <c r="J129" i="3" s="1"/>
  <c r="K129" i="3" s="1"/>
  <c r="D121" i="3"/>
  <c r="H121" i="3" s="1"/>
  <c r="I121" i="3" s="1"/>
  <c r="E121" i="3"/>
  <c r="J121" i="3" s="1"/>
  <c r="K121" i="3" s="1"/>
  <c r="D113" i="3"/>
  <c r="H113" i="3" s="1"/>
  <c r="I113" i="3" s="1"/>
  <c r="E113" i="3"/>
  <c r="J113" i="3" s="1"/>
  <c r="K113" i="3" s="1"/>
  <c r="D105" i="3"/>
  <c r="H105" i="3" s="1"/>
  <c r="I105" i="3" s="1"/>
  <c r="E105" i="3"/>
  <c r="J105" i="3" s="1"/>
  <c r="K105" i="3" s="1"/>
  <c r="D97" i="3"/>
  <c r="H97" i="3" s="1"/>
  <c r="I97" i="3" s="1"/>
  <c r="E97" i="3"/>
  <c r="J97" i="3" s="1"/>
  <c r="K97" i="3" s="1"/>
  <c r="D89" i="3"/>
  <c r="H89" i="3" s="1"/>
  <c r="I89" i="3" s="1"/>
  <c r="E89" i="3"/>
  <c r="J89" i="3" s="1"/>
  <c r="K89" i="3" s="1"/>
  <c r="D81" i="3"/>
  <c r="H81" i="3" s="1"/>
  <c r="I81" i="3" s="1"/>
  <c r="E81" i="3"/>
  <c r="J81" i="3" s="1"/>
  <c r="K81" i="3" s="1"/>
  <c r="E73" i="3"/>
  <c r="J73" i="3" s="1"/>
  <c r="K73" i="3" s="1"/>
  <c r="C73" i="3"/>
  <c r="F73" i="3" s="1"/>
  <c r="G73" i="3" s="1"/>
  <c r="D73" i="3"/>
  <c r="H73" i="3" s="1"/>
  <c r="I73" i="3" s="1"/>
  <c r="E65" i="3"/>
  <c r="J65" i="3" s="1"/>
  <c r="K65" i="3" s="1"/>
  <c r="D65" i="3"/>
  <c r="H65" i="3" s="1"/>
  <c r="I65" i="3" s="1"/>
  <c r="C65" i="3"/>
  <c r="F65" i="3" s="1"/>
  <c r="G65" i="3" s="1"/>
  <c r="D57" i="3"/>
  <c r="H57" i="3" s="1"/>
  <c r="I57" i="3" s="1"/>
  <c r="C57" i="3"/>
  <c r="F57" i="3" s="1"/>
  <c r="G57" i="3" s="1"/>
  <c r="E57" i="3"/>
  <c r="J57" i="3" s="1"/>
  <c r="K57" i="3" s="1"/>
  <c r="C49" i="3"/>
  <c r="F49" i="3" s="1"/>
  <c r="G49" i="3" s="1"/>
  <c r="E49" i="3"/>
  <c r="J49" i="3" s="1"/>
  <c r="K49" i="3" s="1"/>
  <c r="D49" i="3"/>
  <c r="H49" i="3" s="1"/>
  <c r="I49" i="3" s="1"/>
  <c r="C41" i="3"/>
  <c r="F41" i="3" s="1"/>
  <c r="G41" i="3" s="1"/>
  <c r="E41" i="3"/>
  <c r="J41" i="3" s="1"/>
  <c r="K41" i="3" s="1"/>
  <c r="D41" i="3"/>
  <c r="H41" i="3" s="1"/>
  <c r="I41" i="3" s="1"/>
  <c r="C33" i="3"/>
  <c r="F33" i="3" s="1"/>
  <c r="G33" i="3" s="1"/>
  <c r="E33" i="3"/>
  <c r="J33" i="3" s="1"/>
  <c r="K33" i="3" s="1"/>
  <c r="C25" i="3"/>
  <c r="F25" i="3" s="1"/>
  <c r="G25" i="3" s="1"/>
  <c r="D25" i="3"/>
  <c r="E25" i="3"/>
  <c r="J25" i="3" s="1"/>
  <c r="K25" i="3" s="1"/>
  <c r="C17" i="3"/>
  <c r="F17" i="3" s="1"/>
  <c r="G17" i="3" s="1"/>
  <c r="E17" i="3"/>
  <c r="J17" i="3" s="1"/>
  <c r="K17" i="3" s="1"/>
  <c r="D17" i="3"/>
  <c r="H17" i="3" s="1"/>
  <c r="I17" i="3" s="1"/>
  <c r="D360" i="3"/>
  <c r="H360" i="3" s="1"/>
  <c r="I360" i="3" s="1"/>
  <c r="E356" i="3"/>
  <c r="J356" i="3" s="1"/>
  <c r="K356" i="3" s="1"/>
  <c r="C353" i="3"/>
  <c r="F353" i="3" s="1"/>
  <c r="G353" i="3" s="1"/>
  <c r="E349" i="3"/>
  <c r="J349" i="3" s="1"/>
  <c r="K349" i="3" s="1"/>
  <c r="D342" i="3"/>
  <c r="H342" i="3" s="1"/>
  <c r="I342" i="3" s="1"/>
  <c r="D328" i="3"/>
  <c r="H328" i="3" s="1"/>
  <c r="I328" i="3" s="1"/>
  <c r="E324" i="3"/>
  <c r="J324" i="3" s="1"/>
  <c r="K324" i="3" s="1"/>
  <c r="C321" i="3"/>
  <c r="F321" i="3" s="1"/>
  <c r="G321" i="3" s="1"/>
  <c r="E317" i="3"/>
  <c r="J317" i="3" s="1"/>
  <c r="K317" i="3" s="1"/>
  <c r="D310" i="3"/>
  <c r="H310" i="3" s="1"/>
  <c r="I310" i="3" s="1"/>
  <c r="D296" i="3"/>
  <c r="H296" i="3" s="1"/>
  <c r="I296" i="3" s="1"/>
  <c r="E292" i="3"/>
  <c r="J292" i="3" s="1"/>
  <c r="K292" i="3" s="1"/>
  <c r="C289" i="3"/>
  <c r="F289" i="3" s="1"/>
  <c r="G289" i="3" s="1"/>
  <c r="E285" i="3"/>
  <c r="J285" i="3" s="1"/>
  <c r="K285" i="3" s="1"/>
  <c r="E281" i="3"/>
  <c r="J281" i="3" s="1"/>
  <c r="K281" i="3" s="1"/>
  <c r="E277" i="3"/>
  <c r="J277" i="3" s="1"/>
  <c r="K277" i="3" s="1"/>
  <c r="C273" i="3"/>
  <c r="F273" i="3" s="1"/>
  <c r="G273" i="3" s="1"/>
  <c r="C269" i="3"/>
  <c r="F269" i="3" s="1"/>
  <c r="G269" i="3" s="1"/>
  <c r="E264" i="3"/>
  <c r="J264" i="3" s="1"/>
  <c r="K264" i="3" s="1"/>
  <c r="D260" i="3"/>
  <c r="H260" i="3" s="1"/>
  <c r="I260" i="3" s="1"/>
  <c r="D256" i="3"/>
  <c r="H256" i="3" s="1"/>
  <c r="I256" i="3" s="1"/>
  <c r="D230" i="3"/>
  <c r="H230" i="3" s="1"/>
  <c r="I230" i="3" s="1"/>
  <c r="C222" i="3"/>
  <c r="F222" i="3" s="1"/>
  <c r="G222" i="3" s="1"/>
  <c r="E217" i="3"/>
  <c r="J217" i="3" s="1"/>
  <c r="K217" i="3" s="1"/>
  <c r="E213" i="3"/>
  <c r="J213" i="3" s="1"/>
  <c r="K213" i="3" s="1"/>
  <c r="C209" i="3"/>
  <c r="F209" i="3" s="1"/>
  <c r="G209" i="3" s="1"/>
  <c r="C205" i="3"/>
  <c r="F205" i="3" s="1"/>
  <c r="G205" i="3" s="1"/>
  <c r="E200" i="3"/>
  <c r="J200" i="3" s="1"/>
  <c r="K200" i="3" s="1"/>
  <c r="D196" i="3"/>
  <c r="H196" i="3" s="1"/>
  <c r="I196" i="3" s="1"/>
  <c r="D192" i="3"/>
  <c r="H192" i="3" s="1"/>
  <c r="I192" i="3" s="1"/>
  <c r="D166" i="3"/>
  <c r="H166" i="3" s="1"/>
  <c r="I166" i="3" s="1"/>
  <c r="C158" i="3"/>
  <c r="F158" i="3" s="1"/>
  <c r="G158" i="3" s="1"/>
  <c r="E153" i="3"/>
  <c r="J153" i="3" s="1"/>
  <c r="K153" i="3" s="1"/>
  <c r="E149" i="3"/>
  <c r="J149" i="3" s="1"/>
  <c r="K149" i="3" s="1"/>
  <c r="C145" i="3"/>
  <c r="F145" i="3" s="1"/>
  <c r="G145" i="3" s="1"/>
  <c r="C141" i="3"/>
  <c r="F141" i="3" s="1"/>
  <c r="G141" i="3" s="1"/>
  <c r="C134" i="3"/>
  <c r="F134" i="3" s="1"/>
  <c r="G134" i="3" s="1"/>
  <c r="D126" i="3"/>
  <c r="H126" i="3" s="1"/>
  <c r="I126" i="3" s="1"/>
  <c r="C105" i="3"/>
  <c r="F105" i="3" s="1"/>
  <c r="G105" i="3" s="1"/>
  <c r="C69" i="3"/>
  <c r="F69" i="3" s="1"/>
  <c r="G69" i="3" s="1"/>
  <c r="C60" i="3"/>
  <c r="F60" i="3" s="1"/>
  <c r="G60" i="3" s="1"/>
  <c r="C12" i="3"/>
  <c r="F12" i="3" s="1"/>
  <c r="G12" i="3" s="1"/>
  <c r="D128" i="3"/>
  <c r="H128" i="3" s="1"/>
  <c r="I128" i="3" s="1"/>
  <c r="C128" i="3"/>
  <c r="F128" i="3" s="1"/>
  <c r="G128" i="3" s="1"/>
  <c r="D112" i="3"/>
  <c r="H112" i="3" s="1"/>
  <c r="I112" i="3" s="1"/>
  <c r="C112" i="3"/>
  <c r="F112" i="3" s="1"/>
  <c r="G112" i="3" s="1"/>
  <c r="D104" i="3"/>
  <c r="H104" i="3" s="1"/>
  <c r="I104" i="3" s="1"/>
  <c r="C104" i="3"/>
  <c r="F104" i="3" s="1"/>
  <c r="G104" i="3" s="1"/>
  <c r="D88" i="3"/>
  <c r="H88" i="3" s="1"/>
  <c r="I88" i="3" s="1"/>
  <c r="C88" i="3"/>
  <c r="F88" i="3" s="1"/>
  <c r="G88" i="3" s="1"/>
  <c r="D80" i="3"/>
  <c r="H80" i="3" s="1"/>
  <c r="I80" i="3" s="1"/>
  <c r="C80" i="3"/>
  <c r="F80" i="3" s="1"/>
  <c r="G80" i="3" s="1"/>
  <c r="C64" i="3"/>
  <c r="F64" i="3" s="1"/>
  <c r="G64" i="3" s="1"/>
  <c r="D64" i="3"/>
  <c r="H64" i="3" s="1"/>
  <c r="I64" i="3" s="1"/>
  <c r="C48" i="3"/>
  <c r="F48" i="3" s="1"/>
  <c r="G48" i="3" s="1"/>
  <c r="D48" i="3"/>
  <c r="H48" i="3" s="1"/>
  <c r="I48" i="3" s="1"/>
  <c r="E48" i="3"/>
  <c r="J48" i="3" s="1"/>
  <c r="K48" i="3" s="1"/>
  <c r="C32" i="3"/>
  <c r="F32" i="3" s="1"/>
  <c r="G32" i="3" s="1"/>
  <c r="D32" i="3"/>
  <c r="H32" i="3" s="1"/>
  <c r="I32" i="3" s="1"/>
  <c r="E8" i="3"/>
  <c r="J8" i="3" s="1"/>
  <c r="K8" i="3" s="1"/>
  <c r="D8" i="3"/>
  <c r="H8" i="3" s="1"/>
  <c r="I8" i="3" s="1"/>
  <c r="C8" i="3"/>
  <c r="F8" i="3" s="1"/>
  <c r="G8" i="3" s="1"/>
  <c r="D356" i="3"/>
  <c r="H356" i="3" s="1"/>
  <c r="I356" i="3" s="1"/>
  <c r="C349" i="3"/>
  <c r="F349" i="3" s="1"/>
  <c r="G349" i="3" s="1"/>
  <c r="E345" i="3"/>
  <c r="J345" i="3" s="1"/>
  <c r="K345" i="3" s="1"/>
  <c r="C342" i="3"/>
  <c r="F342" i="3" s="1"/>
  <c r="G342" i="3" s="1"/>
  <c r="C317" i="3"/>
  <c r="F317" i="3" s="1"/>
  <c r="G317" i="3" s="1"/>
  <c r="D292" i="3"/>
  <c r="H292" i="3" s="1"/>
  <c r="I292" i="3" s="1"/>
  <c r="C285" i="3"/>
  <c r="F285" i="3" s="1"/>
  <c r="G285" i="3" s="1"/>
  <c r="C277" i="3"/>
  <c r="F277" i="3" s="1"/>
  <c r="G277" i="3" s="1"/>
  <c r="E272" i="3"/>
  <c r="J272" i="3" s="1"/>
  <c r="K272" i="3" s="1"/>
  <c r="D264" i="3"/>
  <c r="H264" i="3" s="1"/>
  <c r="I264" i="3" s="1"/>
  <c r="C230" i="3"/>
  <c r="F230" i="3" s="1"/>
  <c r="G230" i="3" s="1"/>
  <c r="E225" i="3"/>
  <c r="J225" i="3" s="1"/>
  <c r="K225" i="3" s="1"/>
  <c r="E221" i="3"/>
  <c r="J221" i="3" s="1"/>
  <c r="K221" i="3" s="1"/>
  <c r="C217" i="3"/>
  <c r="F217" i="3" s="1"/>
  <c r="G217" i="3" s="1"/>
  <c r="C213" i="3"/>
  <c r="F213" i="3" s="1"/>
  <c r="G213" i="3" s="1"/>
  <c r="E208" i="3"/>
  <c r="J208" i="3" s="1"/>
  <c r="K208" i="3" s="1"/>
  <c r="D204" i="3"/>
  <c r="H204" i="3" s="1"/>
  <c r="I204" i="3" s="1"/>
  <c r="D200" i="3"/>
  <c r="H200" i="3" s="1"/>
  <c r="I200" i="3" s="1"/>
  <c r="D174" i="3"/>
  <c r="H174" i="3" s="1"/>
  <c r="I174" i="3" s="1"/>
  <c r="C166" i="3"/>
  <c r="F166" i="3" s="1"/>
  <c r="G166" i="3" s="1"/>
  <c r="E161" i="3"/>
  <c r="J161" i="3" s="1"/>
  <c r="K161" i="3" s="1"/>
  <c r="E157" i="3"/>
  <c r="J157" i="3" s="1"/>
  <c r="K157" i="3" s="1"/>
  <c r="C153" i="3"/>
  <c r="F153" i="3" s="1"/>
  <c r="G153" i="3" s="1"/>
  <c r="C149" i="3"/>
  <c r="F149" i="3" s="1"/>
  <c r="G149" i="3" s="1"/>
  <c r="E144" i="3"/>
  <c r="J144" i="3" s="1"/>
  <c r="K144" i="3" s="1"/>
  <c r="C126" i="3"/>
  <c r="F126" i="3" s="1"/>
  <c r="G126" i="3" s="1"/>
  <c r="D118" i="3"/>
  <c r="H118" i="3" s="1"/>
  <c r="I118" i="3" s="1"/>
  <c r="E104" i="3"/>
  <c r="J104" i="3" s="1"/>
  <c r="K104" i="3" s="1"/>
  <c r="C97" i="3"/>
  <c r="F97" i="3" s="1"/>
  <c r="G97" i="3" s="1"/>
  <c r="C36" i="3"/>
  <c r="F36" i="3" s="1"/>
  <c r="G36" i="3" s="1"/>
  <c r="D136" i="3"/>
  <c r="H136" i="3" s="1"/>
  <c r="I136" i="3" s="1"/>
  <c r="C136" i="3"/>
  <c r="F136" i="3" s="1"/>
  <c r="G136" i="3" s="1"/>
  <c r="D120" i="3"/>
  <c r="H120" i="3" s="1"/>
  <c r="I120" i="3" s="1"/>
  <c r="C120" i="3"/>
  <c r="F120" i="3" s="1"/>
  <c r="G120" i="3" s="1"/>
  <c r="D96" i="3"/>
  <c r="H96" i="3" s="1"/>
  <c r="I96" i="3" s="1"/>
  <c r="C96" i="3"/>
  <c r="F96" i="3" s="1"/>
  <c r="G96" i="3" s="1"/>
  <c r="C56" i="3"/>
  <c r="F56" i="3" s="1"/>
  <c r="G56" i="3" s="1"/>
  <c r="E56" i="3"/>
  <c r="J56" i="3" s="1"/>
  <c r="K56" i="3" s="1"/>
  <c r="E40" i="3"/>
  <c r="J40" i="3" s="1"/>
  <c r="K40" i="3" s="1"/>
  <c r="C40" i="3"/>
  <c r="F40" i="3" s="1"/>
  <c r="G40" i="3" s="1"/>
  <c r="E24" i="3"/>
  <c r="J24" i="3" s="1"/>
  <c r="K24" i="3" s="1"/>
  <c r="D24" i="3"/>
  <c r="H24" i="3" s="1"/>
  <c r="I24" i="3" s="1"/>
  <c r="C16" i="3"/>
  <c r="F16" i="3" s="1"/>
  <c r="G16" i="3" s="1"/>
  <c r="D16" i="3"/>
  <c r="H16" i="3" s="1"/>
  <c r="I16" i="3" s="1"/>
  <c r="E352" i="3"/>
  <c r="J352" i="3" s="1"/>
  <c r="K352" i="3" s="1"/>
  <c r="D324" i="3"/>
  <c r="H324" i="3" s="1"/>
  <c r="I324" i="3" s="1"/>
  <c r="E320" i="3"/>
  <c r="J320" i="3" s="1"/>
  <c r="K320" i="3" s="1"/>
  <c r="E313" i="3"/>
  <c r="J313" i="3" s="1"/>
  <c r="K313" i="3" s="1"/>
  <c r="C310" i="3"/>
  <c r="F310" i="3" s="1"/>
  <c r="G310" i="3" s="1"/>
  <c r="E288" i="3"/>
  <c r="J288" i="3" s="1"/>
  <c r="K288" i="3" s="1"/>
  <c r="C281" i="3"/>
  <c r="F281" i="3" s="1"/>
  <c r="G281" i="3" s="1"/>
  <c r="D268" i="3"/>
  <c r="H268" i="3" s="1"/>
  <c r="I268" i="3" s="1"/>
  <c r="D238" i="3"/>
  <c r="H238" i="3" s="1"/>
  <c r="I238" i="3" s="1"/>
  <c r="C135" i="3"/>
  <c r="F135" i="3" s="1"/>
  <c r="G135" i="3" s="1"/>
  <c r="D135" i="3"/>
  <c r="H135" i="3" s="1"/>
  <c r="I135" i="3" s="1"/>
  <c r="C127" i="3"/>
  <c r="F127" i="3" s="1"/>
  <c r="G127" i="3" s="1"/>
  <c r="D127" i="3"/>
  <c r="H127" i="3" s="1"/>
  <c r="I127" i="3" s="1"/>
  <c r="C119" i="3"/>
  <c r="F119" i="3" s="1"/>
  <c r="G119" i="3" s="1"/>
  <c r="D119" i="3"/>
  <c r="H119" i="3" s="1"/>
  <c r="I119" i="3" s="1"/>
  <c r="C111" i="3"/>
  <c r="F111" i="3" s="1"/>
  <c r="G111" i="3" s="1"/>
  <c r="D111" i="3"/>
  <c r="H111" i="3" s="1"/>
  <c r="I111" i="3" s="1"/>
  <c r="C103" i="3"/>
  <c r="F103" i="3" s="1"/>
  <c r="G103" i="3" s="1"/>
  <c r="D103" i="3"/>
  <c r="H103" i="3" s="1"/>
  <c r="I103" i="3" s="1"/>
  <c r="C95" i="3"/>
  <c r="F95" i="3" s="1"/>
  <c r="G95" i="3" s="1"/>
  <c r="D95" i="3"/>
  <c r="H95" i="3" s="1"/>
  <c r="I95" i="3" s="1"/>
  <c r="C87" i="3"/>
  <c r="F87" i="3" s="1"/>
  <c r="G87" i="3" s="1"/>
  <c r="D87" i="3"/>
  <c r="H87" i="3" s="1"/>
  <c r="I87" i="3" s="1"/>
  <c r="C79" i="3"/>
  <c r="F79" i="3" s="1"/>
  <c r="G79" i="3" s="1"/>
  <c r="D79" i="3"/>
  <c r="H79" i="3" s="1"/>
  <c r="I79" i="3" s="1"/>
  <c r="C71" i="3"/>
  <c r="F71" i="3" s="1"/>
  <c r="G71" i="3" s="1"/>
  <c r="E71" i="3"/>
  <c r="J71" i="3" s="1"/>
  <c r="K71" i="3" s="1"/>
  <c r="D71" i="3"/>
  <c r="H71" i="3" s="1"/>
  <c r="I71" i="3" s="1"/>
  <c r="C63" i="3"/>
  <c r="F63" i="3" s="1"/>
  <c r="G63" i="3" s="1"/>
  <c r="E63" i="3"/>
  <c r="J63" i="3" s="1"/>
  <c r="K63" i="3" s="1"/>
  <c r="E55" i="3"/>
  <c r="J55" i="3" s="1"/>
  <c r="K55" i="3" s="1"/>
  <c r="C55" i="3"/>
  <c r="F55" i="3" s="1"/>
  <c r="G55" i="3" s="1"/>
  <c r="E39" i="3"/>
  <c r="J39" i="3" s="1"/>
  <c r="K39" i="3" s="1"/>
  <c r="C39" i="3"/>
  <c r="F39" i="3" s="1"/>
  <c r="G39" i="3" s="1"/>
  <c r="D39" i="3"/>
  <c r="H39" i="3" s="1"/>
  <c r="I39" i="3" s="1"/>
  <c r="E31" i="3"/>
  <c r="J31" i="3" s="1"/>
  <c r="K31" i="3" s="1"/>
  <c r="D31" i="3"/>
  <c r="H31" i="3" s="1"/>
  <c r="I31" i="3" s="1"/>
  <c r="E23" i="3"/>
  <c r="J23" i="3" s="1"/>
  <c r="K23" i="3" s="1"/>
  <c r="C23" i="3"/>
  <c r="F23" i="3" s="1"/>
  <c r="G23" i="3" s="1"/>
  <c r="E15" i="3"/>
  <c r="J15" i="3" s="1"/>
  <c r="K15" i="3" s="1"/>
  <c r="C15" i="3"/>
  <c r="F15" i="3" s="1"/>
  <c r="G15" i="3" s="1"/>
  <c r="D15" i="3"/>
  <c r="H15" i="3" s="1"/>
  <c r="I15" i="3" s="1"/>
  <c r="E7" i="3"/>
  <c r="J7" i="3" s="1"/>
  <c r="K7" i="3" s="1"/>
  <c r="C7" i="3"/>
  <c r="F7" i="3" s="1"/>
  <c r="G7" i="3" s="1"/>
  <c r="D352" i="3"/>
  <c r="H352" i="3" s="1"/>
  <c r="I352" i="3" s="1"/>
  <c r="E348" i="3"/>
  <c r="J348" i="3" s="1"/>
  <c r="K348" i="3" s="1"/>
  <c r="C345" i="3"/>
  <c r="F345" i="3" s="1"/>
  <c r="G345" i="3" s="1"/>
  <c r="E341" i="3"/>
  <c r="J341" i="3" s="1"/>
  <c r="K341" i="3" s="1"/>
  <c r="C338" i="3"/>
  <c r="F338" i="3" s="1"/>
  <c r="G338" i="3" s="1"/>
  <c r="D334" i="3"/>
  <c r="H334" i="3" s="1"/>
  <c r="I334" i="3" s="1"/>
  <c r="D320" i="3"/>
  <c r="H320" i="3" s="1"/>
  <c r="I320" i="3" s="1"/>
  <c r="E316" i="3"/>
  <c r="J316" i="3" s="1"/>
  <c r="K316" i="3" s="1"/>
  <c r="C313" i="3"/>
  <c r="F313" i="3" s="1"/>
  <c r="G313" i="3" s="1"/>
  <c r="E309" i="3"/>
  <c r="J309" i="3" s="1"/>
  <c r="K309" i="3" s="1"/>
  <c r="C306" i="3"/>
  <c r="F306" i="3" s="1"/>
  <c r="G306" i="3" s="1"/>
  <c r="D302" i="3"/>
  <c r="H302" i="3" s="1"/>
  <c r="I302" i="3" s="1"/>
  <c r="D288" i="3"/>
  <c r="H288" i="3" s="1"/>
  <c r="I288" i="3" s="1"/>
  <c r="E284" i="3"/>
  <c r="J284" i="3" s="1"/>
  <c r="K284" i="3" s="1"/>
  <c r="E280" i="3"/>
  <c r="J280" i="3" s="1"/>
  <c r="K280" i="3" s="1"/>
  <c r="D276" i="3"/>
  <c r="H276" i="3" s="1"/>
  <c r="I276" i="3" s="1"/>
  <c r="D272" i="3"/>
  <c r="H272" i="3" s="1"/>
  <c r="I272" i="3" s="1"/>
  <c r="E263" i="3"/>
  <c r="J263" i="3" s="1"/>
  <c r="K263" i="3" s="1"/>
  <c r="C255" i="3"/>
  <c r="F255" i="3" s="1"/>
  <c r="G255" i="3" s="1"/>
  <c r="D246" i="3"/>
  <c r="H246" i="3" s="1"/>
  <c r="I246" i="3" s="1"/>
  <c r="D242" i="3"/>
  <c r="H242" i="3" s="1"/>
  <c r="I242" i="3" s="1"/>
  <c r="C238" i="3"/>
  <c r="F238" i="3" s="1"/>
  <c r="G238" i="3" s="1"/>
  <c r="E233" i="3"/>
  <c r="J233" i="3" s="1"/>
  <c r="K233" i="3" s="1"/>
  <c r="E229" i="3"/>
  <c r="J229" i="3" s="1"/>
  <c r="K229" i="3" s="1"/>
  <c r="C225" i="3"/>
  <c r="F225" i="3" s="1"/>
  <c r="G225" i="3" s="1"/>
  <c r="C221" i="3"/>
  <c r="F221" i="3" s="1"/>
  <c r="G221" i="3" s="1"/>
  <c r="E216" i="3"/>
  <c r="J216" i="3" s="1"/>
  <c r="K216" i="3" s="1"/>
  <c r="D212" i="3"/>
  <c r="H212" i="3" s="1"/>
  <c r="I212" i="3" s="1"/>
  <c r="D208" i="3"/>
  <c r="H208" i="3" s="1"/>
  <c r="I208" i="3" s="1"/>
  <c r="E199" i="3"/>
  <c r="J199" i="3" s="1"/>
  <c r="K199" i="3" s="1"/>
  <c r="C191" i="3"/>
  <c r="F191" i="3" s="1"/>
  <c r="G191" i="3" s="1"/>
  <c r="D182" i="3"/>
  <c r="H182" i="3" s="1"/>
  <c r="I182" i="3" s="1"/>
  <c r="D178" i="3"/>
  <c r="H178" i="3" s="1"/>
  <c r="I178" i="3" s="1"/>
  <c r="C174" i="3"/>
  <c r="F174" i="3" s="1"/>
  <c r="G174" i="3" s="1"/>
  <c r="E169" i="3"/>
  <c r="J169" i="3" s="1"/>
  <c r="K169" i="3" s="1"/>
  <c r="E165" i="3"/>
  <c r="J165" i="3" s="1"/>
  <c r="K165" i="3" s="1"/>
  <c r="C161" i="3"/>
  <c r="F161" i="3" s="1"/>
  <c r="G161" i="3" s="1"/>
  <c r="C157" i="3"/>
  <c r="F157" i="3" s="1"/>
  <c r="G157" i="3" s="1"/>
  <c r="E152" i="3"/>
  <c r="J152" i="3" s="1"/>
  <c r="K152" i="3" s="1"/>
  <c r="D148" i="3"/>
  <c r="H148" i="3" s="1"/>
  <c r="I148" i="3" s="1"/>
  <c r="D144" i="3"/>
  <c r="H144" i="3" s="1"/>
  <c r="I144" i="3" s="1"/>
  <c r="D139" i="3"/>
  <c r="H139" i="3" s="1"/>
  <c r="I139" i="3" s="1"/>
  <c r="E131" i="3"/>
  <c r="J131" i="3" s="1"/>
  <c r="K131" i="3" s="1"/>
  <c r="C118" i="3"/>
  <c r="F118" i="3" s="1"/>
  <c r="G118" i="3" s="1"/>
  <c r="D110" i="3"/>
  <c r="H110" i="3" s="1"/>
  <c r="I110" i="3" s="1"/>
  <c r="E103" i="3"/>
  <c r="J103" i="3" s="1"/>
  <c r="K103" i="3" s="1"/>
  <c r="E96" i="3"/>
  <c r="J96" i="3" s="1"/>
  <c r="K96" i="3" s="1"/>
  <c r="C89" i="3"/>
  <c r="F89" i="3" s="1"/>
  <c r="G89" i="3" s="1"/>
  <c r="D82" i="3"/>
  <c r="H82" i="3" s="1"/>
  <c r="I82" i="3" s="1"/>
  <c r="C75" i="3"/>
  <c r="F75" i="3" s="1"/>
  <c r="G75" i="3" s="1"/>
  <c r="D66" i="3"/>
  <c r="H66" i="3" s="1"/>
  <c r="I66" i="3" s="1"/>
  <c r="C58" i="3"/>
  <c r="F58" i="3" s="1"/>
  <c r="G58" i="3" s="1"/>
  <c r="C47" i="3"/>
  <c r="F47" i="3" s="1"/>
  <c r="G47" i="3" s="1"/>
  <c r="D33" i="3"/>
  <c r="H33" i="3" s="1"/>
  <c r="I33" i="3" s="1"/>
  <c r="C70" i="3"/>
  <c r="F70" i="3" s="1"/>
  <c r="G70" i="3" s="1"/>
  <c r="D70" i="3"/>
  <c r="H70" i="3" s="1"/>
  <c r="I70" i="3" s="1"/>
  <c r="D62" i="3"/>
  <c r="H62" i="3" s="1"/>
  <c r="I62" i="3" s="1"/>
  <c r="C62" i="3"/>
  <c r="F62" i="3" s="1"/>
  <c r="G62" i="3" s="1"/>
  <c r="D54" i="3"/>
  <c r="H54" i="3" s="1"/>
  <c r="I54" i="3" s="1"/>
  <c r="E54" i="3"/>
  <c r="J54" i="3" s="1"/>
  <c r="K54" i="3" s="1"/>
  <c r="D46" i="3"/>
  <c r="H46" i="3" s="1"/>
  <c r="I46" i="3" s="1"/>
  <c r="C46" i="3"/>
  <c r="F46" i="3" s="1"/>
  <c r="G46" i="3" s="1"/>
  <c r="E46" i="3"/>
  <c r="J46" i="3" s="1"/>
  <c r="K46" i="3" s="1"/>
  <c r="D38" i="3"/>
  <c r="H38" i="3" s="1"/>
  <c r="I38" i="3" s="1"/>
  <c r="E38" i="3"/>
  <c r="J38" i="3" s="1"/>
  <c r="K38" i="3" s="1"/>
  <c r="D30" i="3"/>
  <c r="H30" i="3" s="1"/>
  <c r="I30" i="3" s="1"/>
  <c r="C30" i="3"/>
  <c r="F30" i="3" s="1"/>
  <c r="G30" i="3" s="1"/>
  <c r="E30" i="3"/>
  <c r="J30" i="3" s="1"/>
  <c r="K30" i="3" s="1"/>
  <c r="D22" i="3"/>
  <c r="H22" i="3" s="1"/>
  <c r="I22" i="3" s="1"/>
  <c r="E22" i="3"/>
  <c r="J22" i="3" s="1"/>
  <c r="K22" i="3" s="1"/>
  <c r="C22" i="3"/>
  <c r="F22" i="3" s="1"/>
  <c r="G22" i="3" s="1"/>
  <c r="D14" i="3"/>
  <c r="H14" i="3" s="1"/>
  <c r="I14" i="3" s="1"/>
  <c r="C14" i="3"/>
  <c r="F14" i="3" s="1"/>
  <c r="G14" i="3" s="1"/>
  <c r="D6" i="3"/>
  <c r="H6" i="3" s="1"/>
  <c r="I6" i="3" s="1"/>
  <c r="C6" i="3"/>
  <c r="F6" i="3" s="1"/>
  <c r="G6" i="3" s="1"/>
  <c r="E6" i="3"/>
  <c r="J6" i="3" s="1"/>
  <c r="K6" i="3" s="1"/>
  <c r="D348" i="3"/>
  <c r="H348" i="3" s="1"/>
  <c r="I348" i="3" s="1"/>
  <c r="E344" i="3"/>
  <c r="J344" i="3" s="1"/>
  <c r="K344" i="3" s="1"/>
  <c r="C341" i="3"/>
  <c r="F341" i="3" s="1"/>
  <c r="G341" i="3" s="1"/>
  <c r="E337" i="3"/>
  <c r="J337" i="3" s="1"/>
  <c r="K337" i="3" s="1"/>
  <c r="C334" i="3"/>
  <c r="F334" i="3" s="1"/>
  <c r="G334" i="3" s="1"/>
  <c r="D316" i="3"/>
  <c r="H316" i="3" s="1"/>
  <c r="I316" i="3" s="1"/>
  <c r="E312" i="3"/>
  <c r="J312" i="3" s="1"/>
  <c r="K312" i="3" s="1"/>
  <c r="C309" i="3"/>
  <c r="F309" i="3" s="1"/>
  <c r="G309" i="3" s="1"/>
  <c r="E305" i="3"/>
  <c r="J305" i="3" s="1"/>
  <c r="K305" i="3" s="1"/>
  <c r="C302" i="3"/>
  <c r="F302" i="3" s="1"/>
  <c r="G302" i="3" s="1"/>
  <c r="D284" i="3"/>
  <c r="H284" i="3" s="1"/>
  <c r="I284" i="3" s="1"/>
  <c r="D280" i="3"/>
  <c r="H280" i="3" s="1"/>
  <c r="I280" i="3" s="1"/>
  <c r="D254" i="3"/>
  <c r="H254" i="3" s="1"/>
  <c r="I254" i="3" s="1"/>
  <c r="C246" i="3"/>
  <c r="F246" i="3" s="1"/>
  <c r="G246" i="3" s="1"/>
  <c r="E241" i="3"/>
  <c r="J241" i="3" s="1"/>
  <c r="K241" i="3" s="1"/>
  <c r="E237" i="3"/>
  <c r="J237" i="3" s="1"/>
  <c r="K237" i="3" s="1"/>
  <c r="C233" i="3"/>
  <c r="F233" i="3" s="1"/>
  <c r="G233" i="3" s="1"/>
  <c r="C229" i="3"/>
  <c r="F229" i="3" s="1"/>
  <c r="G229" i="3" s="1"/>
  <c r="E224" i="3"/>
  <c r="J224" i="3" s="1"/>
  <c r="K224" i="3" s="1"/>
  <c r="D220" i="3"/>
  <c r="H220" i="3" s="1"/>
  <c r="I220" i="3" s="1"/>
  <c r="D216" i="3"/>
  <c r="H216" i="3" s="1"/>
  <c r="I216" i="3" s="1"/>
  <c r="D190" i="3"/>
  <c r="H190" i="3" s="1"/>
  <c r="I190" i="3" s="1"/>
  <c r="C182" i="3"/>
  <c r="F182" i="3" s="1"/>
  <c r="G182" i="3" s="1"/>
  <c r="E177" i="3"/>
  <c r="J177" i="3" s="1"/>
  <c r="K177" i="3" s="1"/>
  <c r="E173" i="3"/>
  <c r="J173" i="3" s="1"/>
  <c r="K173" i="3" s="1"/>
  <c r="C169" i="3"/>
  <c r="F169" i="3" s="1"/>
  <c r="G169" i="3" s="1"/>
  <c r="C165" i="3"/>
  <c r="F165" i="3" s="1"/>
  <c r="G165" i="3" s="1"/>
  <c r="E160" i="3"/>
  <c r="J160" i="3" s="1"/>
  <c r="K160" i="3" s="1"/>
  <c r="D156" i="3"/>
  <c r="H156" i="3" s="1"/>
  <c r="I156" i="3" s="1"/>
  <c r="D152" i="3"/>
  <c r="H152" i="3" s="1"/>
  <c r="I152" i="3" s="1"/>
  <c r="C110" i="3"/>
  <c r="F110" i="3" s="1"/>
  <c r="G110" i="3" s="1"/>
  <c r="D102" i="3"/>
  <c r="H102" i="3" s="1"/>
  <c r="I102" i="3" s="1"/>
  <c r="E88" i="3"/>
  <c r="J88" i="3" s="1"/>
  <c r="K88" i="3" s="1"/>
  <c r="C81" i="3"/>
  <c r="F81" i="3" s="1"/>
  <c r="G81" i="3" s="1"/>
  <c r="D56" i="3"/>
  <c r="H56" i="3" s="1"/>
  <c r="I56" i="3" s="1"/>
  <c r="E32" i="3"/>
  <c r="J32" i="3" s="1"/>
  <c r="K32" i="3" s="1"/>
  <c r="E133" i="3"/>
  <c r="J133" i="3" s="1"/>
  <c r="K133" i="3" s="1"/>
  <c r="D133" i="3"/>
  <c r="H133" i="3" s="1"/>
  <c r="I133" i="3" s="1"/>
  <c r="E125" i="3"/>
  <c r="J125" i="3" s="1"/>
  <c r="K125" i="3" s="1"/>
  <c r="D125" i="3"/>
  <c r="H125" i="3" s="1"/>
  <c r="I125" i="3" s="1"/>
  <c r="E117" i="3"/>
  <c r="J117" i="3" s="1"/>
  <c r="K117" i="3" s="1"/>
  <c r="D117" i="3"/>
  <c r="H117" i="3" s="1"/>
  <c r="I117" i="3" s="1"/>
  <c r="E109" i="3"/>
  <c r="J109" i="3" s="1"/>
  <c r="K109" i="3" s="1"/>
  <c r="D109" i="3"/>
  <c r="H109" i="3" s="1"/>
  <c r="I109" i="3" s="1"/>
  <c r="E101" i="3"/>
  <c r="J101" i="3" s="1"/>
  <c r="K101" i="3" s="1"/>
  <c r="D101" i="3"/>
  <c r="H101" i="3" s="1"/>
  <c r="I101" i="3" s="1"/>
  <c r="E93" i="3"/>
  <c r="J93" i="3" s="1"/>
  <c r="K93" i="3" s="1"/>
  <c r="D93" i="3"/>
  <c r="H93" i="3" s="1"/>
  <c r="I93" i="3" s="1"/>
  <c r="E85" i="3"/>
  <c r="J85" i="3" s="1"/>
  <c r="K85" i="3" s="1"/>
  <c r="D85" i="3"/>
  <c r="H85" i="3" s="1"/>
  <c r="I85" i="3" s="1"/>
  <c r="E77" i="3"/>
  <c r="J77" i="3" s="1"/>
  <c r="K77" i="3" s="1"/>
  <c r="D77" i="3"/>
  <c r="H77" i="3" s="1"/>
  <c r="I77" i="3" s="1"/>
  <c r="C61" i="3"/>
  <c r="F61" i="3" s="1"/>
  <c r="G61" i="3" s="1"/>
  <c r="D61" i="3"/>
  <c r="H61" i="3" s="1"/>
  <c r="I61" i="3" s="1"/>
  <c r="C53" i="3"/>
  <c r="F53" i="3" s="1"/>
  <c r="G53" i="3" s="1"/>
  <c r="D53" i="3"/>
  <c r="H53" i="3" s="1"/>
  <c r="I53" i="3" s="1"/>
  <c r="E53" i="3"/>
  <c r="J53" i="3" s="1"/>
  <c r="K53" i="3" s="1"/>
  <c r="C45" i="3"/>
  <c r="F45" i="3" s="1"/>
  <c r="G45" i="3" s="1"/>
  <c r="E45" i="3"/>
  <c r="J45" i="3" s="1"/>
  <c r="K45" i="3" s="1"/>
  <c r="C37" i="3"/>
  <c r="F37" i="3" s="1"/>
  <c r="G37" i="3" s="1"/>
  <c r="D37" i="3"/>
  <c r="H37" i="3" s="1"/>
  <c r="I37" i="3" s="1"/>
  <c r="C29" i="3"/>
  <c r="F29" i="3" s="1"/>
  <c r="G29" i="3" s="1"/>
  <c r="D29" i="3"/>
  <c r="H29" i="3" s="1"/>
  <c r="I29" i="3" s="1"/>
  <c r="E29" i="3"/>
  <c r="J29" i="3" s="1"/>
  <c r="K29" i="3" s="1"/>
  <c r="C21" i="3"/>
  <c r="F21" i="3" s="1"/>
  <c r="G21" i="3" s="1"/>
  <c r="D21" i="3"/>
  <c r="H21" i="3" s="1"/>
  <c r="I21" i="3" s="1"/>
  <c r="C13" i="3"/>
  <c r="F13" i="3" s="1"/>
  <c r="G13" i="3" s="1"/>
  <c r="D13" i="3"/>
  <c r="H13" i="3" s="1"/>
  <c r="I13" i="3" s="1"/>
  <c r="D358" i="3"/>
  <c r="H358" i="3" s="1"/>
  <c r="I358" i="3" s="1"/>
  <c r="D344" i="3"/>
  <c r="H344" i="3" s="1"/>
  <c r="I344" i="3" s="1"/>
  <c r="E340" i="3"/>
  <c r="J340" i="3" s="1"/>
  <c r="K340" i="3" s="1"/>
  <c r="C337" i="3"/>
  <c r="F337" i="3" s="1"/>
  <c r="G337" i="3" s="1"/>
  <c r="E333" i="3"/>
  <c r="J333" i="3" s="1"/>
  <c r="K333" i="3" s="1"/>
  <c r="D326" i="3"/>
  <c r="H326" i="3" s="1"/>
  <c r="I326" i="3" s="1"/>
  <c r="D312" i="3"/>
  <c r="H312" i="3" s="1"/>
  <c r="I312" i="3" s="1"/>
  <c r="E308" i="3"/>
  <c r="J308" i="3" s="1"/>
  <c r="K308" i="3" s="1"/>
  <c r="C305" i="3"/>
  <c r="F305" i="3" s="1"/>
  <c r="G305" i="3" s="1"/>
  <c r="E301" i="3"/>
  <c r="J301" i="3" s="1"/>
  <c r="K301" i="3" s="1"/>
  <c r="D294" i="3"/>
  <c r="H294" i="3" s="1"/>
  <c r="I294" i="3" s="1"/>
  <c r="D262" i="3"/>
  <c r="H262" i="3" s="1"/>
  <c r="I262" i="3" s="1"/>
  <c r="C254" i="3"/>
  <c r="F254" i="3" s="1"/>
  <c r="G254" i="3" s="1"/>
  <c r="E249" i="3"/>
  <c r="J249" i="3" s="1"/>
  <c r="K249" i="3" s="1"/>
  <c r="E245" i="3"/>
  <c r="J245" i="3" s="1"/>
  <c r="K245" i="3" s="1"/>
  <c r="C241" i="3"/>
  <c r="F241" i="3" s="1"/>
  <c r="G241" i="3" s="1"/>
  <c r="C237" i="3"/>
  <c r="F237" i="3" s="1"/>
  <c r="G237" i="3" s="1"/>
  <c r="E232" i="3"/>
  <c r="J232" i="3" s="1"/>
  <c r="K232" i="3" s="1"/>
  <c r="D228" i="3"/>
  <c r="H228" i="3" s="1"/>
  <c r="I228" i="3" s="1"/>
  <c r="D224" i="3"/>
  <c r="H224" i="3" s="1"/>
  <c r="I224" i="3" s="1"/>
  <c r="D198" i="3"/>
  <c r="H198" i="3" s="1"/>
  <c r="I198" i="3" s="1"/>
  <c r="C190" i="3"/>
  <c r="F190" i="3" s="1"/>
  <c r="G190" i="3" s="1"/>
  <c r="E185" i="3"/>
  <c r="J185" i="3" s="1"/>
  <c r="K185" i="3" s="1"/>
  <c r="E181" i="3"/>
  <c r="J181" i="3" s="1"/>
  <c r="K181" i="3" s="1"/>
  <c r="C177" i="3"/>
  <c r="F177" i="3" s="1"/>
  <c r="G177" i="3" s="1"/>
  <c r="C173" i="3"/>
  <c r="F173" i="3" s="1"/>
  <c r="G173" i="3" s="1"/>
  <c r="E168" i="3"/>
  <c r="J168" i="3" s="1"/>
  <c r="K168" i="3" s="1"/>
  <c r="D164" i="3"/>
  <c r="H164" i="3" s="1"/>
  <c r="I164" i="3" s="1"/>
  <c r="D160" i="3"/>
  <c r="H160" i="3" s="1"/>
  <c r="I160" i="3" s="1"/>
  <c r="C137" i="3"/>
  <c r="F137" i="3" s="1"/>
  <c r="G137" i="3" s="1"/>
  <c r="C109" i="3"/>
  <c r="F109" i="3" s="1"/>
  <c r="G109" i="3" s="1"/>
  <c r="C102" i="3"/>
  <c r="F102" i="3" s="1"/>
  <c r="G102" i="3" s="1"/>
  <c r="D94" i="3"/>
  <c r="H94" i="3" s="1"/>
  <c r="I94" i="3" s="1"/>
  <c r="E80" i="3"/>
  <c r="J80" i="3" s="1"/>
  <c r="K80" i="3" s="1"/>
  <c r="D72" i="3"/>
  <c r="H72" i="3" s="1"/>
  <c r="I72" i="3" s="1"/>
  <c r="E64" i="3"/>
  <c r="J64" i="3" s="1"/>
  <c r="K64" i="3" s="1"/>
  <c r="D4" i="3"/>
  <c r="C5" i="3"/>
  <c r="F5" i="3" s="1"/>
  <c r="G5" i="3" s="1"/>
  <c r="D5" i="3"/>
  <c r="H5" i="3" s="1"/>
  <c r="I5" i="3" s="1"/>
  <c r="E5" i="3"/>
  <c r="J5" i="3" s="1"/>
  <c r="K5" i="3" s="1"/>
  <c r="O5" i="3" s="1"/>
  <c r="O6" i="3" s="1"/>
  <c r="O7" i="3" s="1"/>
  <c r="O8" i="3" s="1"/>
  <c r="O9" i="3" s="1"/>
  <c r="O10" i="3" s="1"/>
  <c r="O11" i="3" s="1"/>
  <c r="O12" i="3" s="1"/>
  <c r="O13" i="3" s="1"/>
  <c r="O14" i="3" s="1"/>
  <c r="O15" i="3" s="1"/>
  <c r="O16" i="3" s="1"/>
  <c r="O17" i="3" s="1"/>
  <c r="O18" i="3" s="1"/>
  <c r="O19" i="3" s="1"/>
  <c r="O20" i="3" s="1"/>
  <c r="O21" i="3" s="1"/>
  <c r="O22" i="3" s="1"/>
  <c r="O23" i="3" s="1"/>
  <c r="O24" i="3" s="1"/>
  <c r="O25" i="3" s="1"/>
  <c r="O26" i="3" s="1"/>
  <c r="O27" i="3" s="1"/>
  <c r="O28" i="3" s="1"/>
  <c r="O29" i="3" s="1"/>
  <c r="O30" i="3" s="1"/>
  <c r="O31" i="3" s="1"/>
  <c r="O32" i="3" s="1"/>
  <c r="O33" i="3" s="1"/>
  <c r="O34" i="3" s="1"/>
  <c r="O35" i="3" s="1"/>
  <c r="O36" i="3" s="1"/>
  <c r="O37" i="3" s="1"/>
  <c r="O38" i="3" s="1"/>
  <c r="O39" i="3" s="1"/>
  <c r="O40" i="3" s="1"/>
  <c r="O41" i="3" s="1"/>
  <c r="O42" i="3" s="1"/>
  <c r="O43" i="3" s="1"/>
  <c r="O44" i="3" s="1"/>
  <c r="O45" i="3" s="1"/>
  <c r="O46" i="3" s="1"/>
  <c r="O47" i="3" s="1"/>
  <c r="O48" i="3" s="1"/>
  <c r="O49" i="3" s="1"/>
  <c r="O50" i="3" s="1"/>
  <c r="O51" i="3" s="1"/>
  <c r="O52" i="3" s="1"/>
  <c r="O53" i="3" s="1"/>
  <c r="O54" i="3" s="1"/>
  <c r="O55" i="3" s="1"/>
  <c r="O56" i="3" s="1"/>
  <c r="O57" i="3" s="1"/>
  <c r="O58" i="3" s="1"/>
  <c r="O59" i="3" s="1"/>
  <c r="O60" i="3" s="1"/>
  <c r="O61" i="3" s="1"/>
  <c r="O62" i="3" s="1"/>
  <c r="O63" i="3" s="1"/>
  <c r="O64" i="3" s="1"/>
  <c r="O65" i="3" s="1"/>
  <c r="O66" i="3" s="1"/>
  <c r="O67" i="3" s="1"/>
  <c r="O68" i="3" s="1"/>
  <c r="O69" i="3" s="1"/>
  <c r="O70" i="3" s="1"/>
  <c r="O71" i="3" s="1"/>
  <c r="O72" i="3" s="1"/>
  <c r="O73" i="3" s="1"/>
  <c r="O74" i="3" s="1"/>
  <c r="O75" i="3" s="1"/>
  <c r="O76" i="3" s="1"/>
  <c r="O77" i="3" s="1"/>
  <c r="O78" i="3" s="1"/>
  <c r="O79" i="3" s="1"/>
  <c r="O80" i="3" s="1"/>
  <c r="O81" i="3" s="1"/>
  <c r="O82" i="3" s="1"/>
  <c r="O83" i="3" s="1"/>
  <c r="O84" i="3" s="1"/>
  <c r="O85" i="3" s="1"/>
  <c r="O86" i="3" s="1"/>
  <c r="O87" i="3" s="1"/>
  <c r="O88" i="3" s="1"/>
  <c r="O89" i="3" s="1"/>
  <c r="O90" i="3" s="1"/>
  <c r="O91" i="3" s="1"/>
  <c r="O92" i="3" s="1"/>
  <c r="O93" i="3" s="1"/>
  <c r="O94" i="3" s="1"/>
  <c r="O95" i="3" s="1"/>
  <c r="O96" i="3" s="1"/>
  <c r="O97" i="3" s="1"/>
  <c r="O98" i="3" s="1"/>
  <c r="O99" i="3" s="1"/>
  <c r="O100" i="3" s="1"/>
  <c r="O101" i="3" s="1"/>
  <c r="O102" i="3" s="1"/>
  <c r="O103" i="3" s="1"/>
  <c r="O104" i="3" s="1"/>
  <c r="O105" i="3" s="1"/>
  <c r="O106" i="3" s="1"/>
  <c r="O107" i="3" s="1"/>
  <c r="O108" i="3" s="1"/>
  <c r="O109" i="3" s="1"/>
  <c r="O110" i="3" s="1"/>
  <c r="O111" i="3" s="1"/>
  <c r="O112" i="3" s="1"/>
  <c r="O113" i="3" s="1"/>
  <c r="O114" i="3" s="1"/>
  <c r="O115" i="3" s="1"/>
  <c r="O116" i="3" s="1"/>
  <c r="O117" i="3" s="1"/>
  <c r="O118" i="3" s="1"/>
  <c r="O119" i="3" s="1"/>
  <c r="O120" i="3" s="1"/>
  <c r="O121" i="3" s="1"/>
  <c r="O122" i="3" s="1"/>
  <c r="O123" i="3" s="1"/>
  <c r="O124" i="3" s="1"/>
  <c r="O125" i="3" s="1"/>
  <c r="O126" i="3" s="1"/>
  <c r="O127" i="3" s="1"/>
  <c r="O128" i="3" s="1"/>
  <c r="O129" i="3" s="1"/>
  <c r="O130" i="3" s="1"/>
  <c r="O131" i="3" s="1"/>
  <c r="O132" i="3" s="1"/>
  <c r="O133" i="3" s="1"/>
  <c r="O134" i="3" s="1"/>
  <c r="O135" i="3" s="1"/>
  <c r="O136" i="3" s="1"/>
  <c r="O137" i="3" s="1"/>
  <c r="O138" i="3" s="1"/>
  <c r="O139" i="3" s="1"/>
  <c r="O140" i="3" s="1"/>
  <c r="O141" i="3" s="1"/>
  <c r="O142" i="3" s="1"/>
  <c r="O143" i="3" s="1"/>
  <c r="O144" i="3" s="1"/>
  <c r="O145" i="3" s="1"/>
  <c r="O146" i="3" s="1"/>
  <c r="O147" i="3" s="1"/>
  <c r="O148" i="3" s="1"/>
  <c r="O149" i="3" s="1"/>
  <c r="O150" i="3" s="1"/>
  <c r="O151" i="3" s="1"/>
  <c r="O152" i="3" s="1"/>
  <c r="O153" i="3" s="1"/>
  <c r="O154" i="3" s="1"/>
  <c r="O155" i="3" s="1"/>
  <c r="O156" i="3" s="1"/>
  <c r="O157" i="3" s="1"/>
  <c r="O158" i="3" s="1"/>
  <c r="O159" i="3" s="1"/>
  <c r="O160" i="3" s="1"/>
  <c r="O161" i="3" s="1"/>
  <c r="O162" i="3" s="1"/>
  <c r="O163" i="3" s="1"/>
  <c r="O164" i="3" s="1"/>
  <c r="O165" i="3" s="1"/>
  <c r="O166" i="3" s="1"/>
  <c r="O167" i="3" s="1"/>
  <c r="O168" i="3" s="1"/>
  <c r="O169" i="3" s="1"/>
  <c r="O170" i="3" s="1"/>
  <c r="O171" i="3" s="1"/>
  <c r="O172" i="3" s="1"/>
  <c r="O173" i="3" s="1"/>
  <c r="O174" i="3" s="1"/>
  <c r="O175" i="3" s="1"/>
  <c r="O176" i="3" s="1"/>
  <c r="O177" i="3" s="1"/>
  <c r="O178" i="3" s="1"/>
  <c r="O179" i="3" s="1"/>
  <c r="O180" i="3" s="1"/>
  <c r="O181" i="3" s="1"/>
  <c r="O182" i="3" s="1"/>
  <c r="O183" i="3" s="1"/>
  <c r="O184" i="3" s="1"/>
  <c r="O185" i="3" s="1"/>
  <c r="O186" i="3" s="1"/>
  <c r="O187" i="3" s="1"/>
  <c r="O188" i="3" s="1"/>
  <c r="O189" i="3" s="1"/>
  <c r="O190" i="3" s="1"/>
  <c r="O191" i="3" s="1"/>
  <c r="O192" i="3" s="1"/>
  <c r="O193" i="3" s="1"/>
  <c r="O194" i="3" s="1"/>
  <c r="O195" i="3" s="1"/>
  <c r="O196" i="3" s="1"/>
  <c r="O197" i="3" s="1"/>
  <c r="O198" i="3" s="1"/>
  <c r="O199" i="3" s="1"/>
  <c r="O200" i="3" s="1"/>
  <c r="O201" i="3" s="1"/>
  <c r="O202" i="3" s="1"/>
  <c r="O203" i="3" s="1"/>
  <c r="O204" i="3" s="1"/>
  <c r="O205" i="3" s="1"/>
  <c r="O206" i="3" s="1"/>
  <c r="O207" i="3" s="1"/>
  <c r="O208" i="3" s="1"/>
  <c r="O209" i="3" s="1"/>
  <c r="O210" i="3" s="1"/>
  <c r="O211" i="3" s="1"/>
  <c r="O212" i="3" s="1"/>
  <c r="O213" i="3" s="1"/>
  <c r="O214" i="3" s="1"/>
  <c r="O215" i="3" s="1"/>
  <c r="O216" i="3" s="1"/>
  <c r="O217" i="3" s="1"/>
  <c r="O218" i="3" s="1"/>
  <c r="O219" i="3" s="1"/>
  <c r="O220" i="3" s="1"/>
  <c r="O221" i="3" s="1"/>
  <c r="O222" i="3" s="1"/>
  <c r="O223" i="3" s="1"/>
  <c r="O224" i="3" s="1"/>
  <c r="O225" i="3" s="1"/>
  <c r="O226" i="3" s="1"/>
  <c r="O227" i="3" s="1"/>
  <c r="O228" i="3" s="1"/>
  <c r="O229" i="3" s="1"/>
  <c r="O230" i="3" s="1"/>
  <c r="O231" i="3" s="1"/>
  <c r="O232" i="3" s="1"/>
  <c r="O233" i="3" s="1"/>
  <c r="O234" i="3" s="1"/>
  <c r="O235" i="3" s="1"/>
  <c r="O236" i="3" s="1"/>
  <c r="O237" i="3" s="1"/>
  <c r="O238" i="3" s="1"/>
  <c r="O239" i="3" s="1"/>
  <c r="O240" i="3" s="1"/>
  <c r="O241" i="3" s="1"/>
  <c r="O242" i="3" s="1"/>
  <c r="O243" i="3" s="1"/>
  <c r="O244" i="3" s="1"/>
  <c r="O245" i="3" s="1"/>
  <c r="O246" i="3" s="1"/>
  <c r="O247" i="3" s="1"/>
  <c r="O248" i="3" s="1"/>
  <c r="O249" i="3" s="1"/>
  <c r="O250" i="3" s="1"/>
  <c r="O251" i="3" s="1"/>
  <c r="O252" i="3" s="1"/>
  <c r="O253" i="3" s="1"/>
  <c r="O254" i="3" s="1"/>
  <c r="O255" i="3" s="1"/>
  <c r="O256" i="3" s="1"/>
  <c r="O257" i="3" s="1"/>
  <c r="O258" i="3" s="1"/>
  <c r="O259" i="3" s="1"/>
  <c r="O260" i="3" s="1"/>
  <c r="O261" i="3" s="1"/>
  <c r="O262" i="3" s="1"/>
  <c r="O263" i="3" s="1"/>
  <c r="O264" i="3" s="1"/>
  <c r="O265" i="3" s="1"/>
  <c r="O266" i="3" s="1"/>
  <c r="O267" i="3" s="1"/>
  <c r="O268" i="3" s="1"/>
  <c r="O269" i="3" s="1"/>
  <c r="O270" i="3" s="1"/>
  <c r="O271" i="3" s="1"/>
  <c r="O272" i="3" s="1"/>
  <c r="O273" i="3" s="1"/>
  <c r="O274" i="3" s="1"/>
  <c r="O275" i="3" s="1"/>
  <c r="O276" i="3" s="1"/>
  <c r="O277" i="3" s="1"/>
  <c r="O278" i="3" s="1"/>
  <c r="O279" i="3" s="1"/>
  <c r="O280" i="3" s="1"/>
  <c r="O281" i="3" s="1"/>
  <c r="O282" i="3" s="1"/>
  <c r="O283" i="3" s="1"/>
  <c r="O284" i="3" s="1"/>
  <c r="O285" i="3" s="1"/>
  <c r="O286" i="3" s="1"/>
  <c r="O287" i="3" s="1"/>
  <c r="O288" i="3" s="1"/>
  <c r="O289" i="3" s="1"/>
  <c r="O290" i="3" s="1"/>
  <c r="O291" i="3" s="1"/>
  <c r="O292" i="3" s="1"/>
  <c r="O293" i="3" s="1"/>
  <c r="O294" i="3" s="1"/>
  <c r="O295" i="3" s="1"/>
  <c r="O296" i="3" s="1"/>
  <c r="O297" i="3" s="1"/>
  <c r="O298" i="3" s="1"/>
  <c r="O299" i="3" s="1"/>
  <c r="O300" i="3" s="1"/>
  <c r="O301" i="3" s="1"/>
  <c r="O302" i="3" s="1"/>
  <c r="O303" i="3" s="1"/>
  <c r="O304" i="3" s="1"/>
  <c r="O305" i="3" s="1"/>
  <c r="O306" i="3" s="1"/>
  <c r="O307" i="3" s="1"/>
  <c r="O308" i="3" s="1"/>
  <c r="O309" i="3" s="1"/>
  <c r="O310" i="3" s="1"/>
  <c r="O311" i="3" s="1"/>
  <c r="O312" i="3" s="1"/>
  <c r="O313" i="3" s="1"/>
  <c r="O314" i="3" s="1"/>
  <c r="O315" i="3" s="1"/>
  <c r="O316" i="3" s="1"/>
  <c r="O317" i="3" s="1"/>
  <c r="O318" i="3" s="1"/>
  <c r="O319" i="3" s="1"/>
  <c r="O320" i="3" s="1"/>
  <c r="O321" i="3" s="1"/>
  <c r="O322" i="3" s="1"/>
  <c r="O323" i="3" s="1"/>
  <c r="O324" i="3" s="1"/>
  <c r="O325" i="3" s="1"/>
  <c r="O326" i="3" s="1"/>
  <c r="O327" i="3" s="1"/>
  <c r="O328" i="3" s="1"/>
  <c r="O329" i="3" s="1"/>
  <c r="O330" i="3" s="1"/>
  <c r="O331" i="3" s="1"/>
  <c r="O332" i="3" s="1"/>
  <c r="O333" i="3" s="1"/>
  <c r="O334" i="3" s="1"/>
  <c r="O335" i="3" s="1"/>
  <c r="O336" i="3" s="1"/>
  <c r="O337" i="3" s="1"/>
  <c r="O338" i="3" s="1"/>
  <c r="O339" i="3" s="1"/>
  <c r="O340" i="3" s="1"/>
  <c r="O341" i="3" s="1"/>
  <c r="O342" i="3" s="1"/>
  <c r="O343" i="3" s="1"/>
  <c r="O344" i="3" s="1"/>
  <c r="O345" i="3" s="1"/>
  <c r="O346" i="3" s="1"/>
  <c r="O347" i="3" s="1"/>
  <c r="O348" i="3" s="1"/>
  <c r="O349" i="3" s="1"/>
  <c r="O350" i="3" s="1"/>
  <c r="O351" i="3" s="1"/>
  <c r="O352" i="3" s="1"/>
  <c r="O353" i="3" s="1"/>
  <c r="O354" i="3" s="1"/>
  <c r="O355" i="3" s="1"/>
  <c r="O356" i="3" s="1"/>
  <c r="O357" i="3" s="1"/>
  <c r="O358" i="3" s="1"/>
  <c r="O359" i="3" s="1"/>
  <c r="O360" i="3" s="1"/>
  <c r="O361" i="3" s="1"/>
  <c r="O362" i="3" s="1"/>
  <c r="O363" i="3" s="1"/>
  <c r="M4" i="3" l="1"/>
  <c r="H25" i="3"/>
  <c r="I25" i="3" s="1"/>
  <c r="H4" i="3"/>
  <c r="I4" i="3" s="1"/>
  <c r="N4" i="3" s="1"/>
  <c r="N5" i="3" s="1"/>
  <c r="D4" i="4"/>
  <c r="F3" i="4"/>
  <c r="G31" i="2"/>
  <c r="F119" i="2"/>
  <c r="F347" i="2"/>
  <c r="F132" i="2"/>
  <c r="G59" i="2"/>
  <c r="G234" i="2"/>
  <c r="G127" i="2"/>
  <c r="G253" i="2"/>
  <c r="G89" i="2"/>
  <c r="G301" i="2"/>
  <c r="F50" i="2"/>
  <c r="F71" i="2"/>
  <c r="F110" i="2"/>
  <c r="F229" i="2"/>
  <c r="G223" i="2"/>
  <c r="F311" i="2"/>
  <c r="F191" i="2"/>
  <c r="F324" i="2"/>
  <c r="G251" i="2"/>
  <c r="G67" i="2"/>
  <c r="G319" i="2"/>
  <c r="G266" i="2"/>
  <c r="G146" i="2"/>
  <c r="G168" i="2"/>
  <c r="G348" i="2"/>
  <c r="G100" i="2"/>
  <c r="F120" i="2"/>
  <c r="G351" i="2"/>
  <c r="F321" i="2"/>
  <c r="F319" i="2"/>
  <c r="F157" i="2"/>
  <c r="F12" i="2"/>
  <c r="G217" i="2"/>
  <c r="F180" i="2"/>
  <c r="F60" i="2"/>
  <c r="G167" i="2"/>
  <c r="G134" i="2"/>
  <c r="G272" i="2"/>
  <c r="G29" i="2"/>
  <c r="G123" i="2"/>
  <c r="G50" i="2"/>
  <c r="G135" i="2"/>
  <c r="E177" i="2"/>
  <c r="G119" i="2"/>
  <c r="E330" i="2"/>
  <c r="E129" i="2"/>
  <c r="E174" i="2"/>
  <c r="D219" i="2"/>
  <c r="E145" i="2"/>
  <c r="G181" i="2"/>
  <c r="E299" i="2"/>
  <c r="F78" i="2"/>
  <c r="F100" i="2"/>
  <c r="E283" i="2"/>
  <c r="G126" i="2"/>
  <c r="G284" i="2"/>
  <c r="F256" i="2"/>
  <c r="E261" i="2"/>
  <c r="D236" i="2"/>
  <c r="E222" i="2"/>
  <c r="E213" i="2"/>
  <c r="F138" i="2"/>
  <c r="D118" i="2"/>
  <c r="E229" i="2"/>
  <c r="D211" i="2"/>
  <c r="E126" i="2"/>
  <c r="D91" i="2"/>
  <c r="E135" i="2"/>
  <c r="E152" i="2"/>
  <c r="G237" i="2"/>
  <c r="G111" i="2"/>
  <c r="G182" i="2"/>
  <c r="E231" i="2"/>
  <c r="E249" i="2"/>
  <c r="E138" i="2"/>
  <c r="E167" i="2"/>
  <c r="E349" i="2"/>
  <c r="D73" i="2"/>
  <c r="E183" i="2"/>
  <c r="B7" i="1"/>
  <c r="E217" i="2"/>
  <c r="F358" i="2"/>
  <c r="G70" i="2"/>
  <c r="G109" i="2"/>
  <c r="E342" i="2"/>
  <c r="D122" i="2"/>
  <c r="E64" i="2"/>
  <c r="E294" i="2"/>
  <c r="E268" i="2"/>
  <c r="D215" i="2"/>
  <c r="E310" i="2"/>
  <c r="G148" i="2"/>
  <c r="G140" i="2"/>
  <c r="F152" i="2"/>
  <c r="F32" i="2"/>
  <c r="F197" i="2"/>
  <c r="F204" i="2"/>
  <c r="F20" i="2"/>
  <c r="G180" i="2"/>
  <c r="G238" i="2"/>
  <c r="G55" i="2"/>
  <c r="G328" i="2"/>
  <c r="G76" i="2"/>
  <c r="F104" i="2"/>
  <c r="F143" i="2"/>
  <c r="G340" i="2"/>
  <c r="G232" i="2"/>
  <c r="G236" i="2"/>
  <c r="F224" i="2"/>
  <c r="F102" i="2"/>
  <c r="F45" i="2"/>
  <c r="F212" i="2"/>
  <c r="G136" i="2"/>
  <c r="F52" i="2"/>
  <c r="G299" i="2"/>
  <c r="G329" i="2"/>
  <c r="G225" i="2"/>
  <c r="G245" i="2"/>
  <c r="G105" i="2"/>
  <c r="G37" i="2"/>
  <c r="G296" i="2"/>
  <c r="F352" i="2"/>
  <c r="F230" i="2"/>
  <c r="F309" i="2"/>
  <c r="G161" i="2"/>
  <c r="F285" i="2"/>
  <c r="F53" i="2"/>
  <c r="G218" i="2"/>
  <c r="G263" i="2"/>
  <c r="G15" i="2"/>
  <c r="G74" i="2"/>
  <c r="F235" i="2"/>
  <c r="G203" i="2"/>
  <c r="G39" i="2"/>
  <c r="E82" i="2"/>
  <c r="F187" i="2"/>
  <c r="G73" i="2"/>
  <c r="E34" i="2"/>
  <c r="E111" i="2"/>
  <c r="G254" i="2"/>
  <c r="E50" i="2"/>
  <c r="F70" i="2"/>
  <c r="D204" i="2"/>
  <c r="F241" i="2"/>
  <c r="F328" i="2"/>
  <c r="D301" i="2"/>
  <c r="F69" i="2"/>
  <c r="G304" i="2"/>
  <c r="G129" i="2"/>
  <c r="E214" i="2"/>
  <c r="D228" i="2"/>
  <c r="E159" i="2"/>
  <c r="E166" i="2"/>
  <c r="E140" i="2"/>
  <c r="D87" i="2"/>
  <c r="E182" i="2"/>
  <c r="D235" i="2"/>
  <c r="E63" i="2"/>
  <c r="D115" i="2"/>
  <c r="E289" i="2"/>
  <c r="G233" i="2"/>
  <c r="F268" i="2"/>
  <c r="G178" i="2"/>
  <c r="G303" i="2"/>
  <c r="E305" i="2"/>
  <c r="G19" i="2"/>
  <c r="D60" i="2"/>
  <c r="E257" i="2"/>
  <c r="E302" i="2"/>
  <c r="D82" i="2"/>
  <c r="E273" i="2"/>
  <c r="G352" i="2"/>
  <c r="G84" i="2"/>
  <c r="G222" i="2"/>
  <c r="G199" i="2"/>
  <c r="G262" i="2"/>
  <c r="E40" i="2"/>
  <c r="D125" i="2"/>
  <c r="E258" i="2"/>
  <c r="E255" i="2"/>
  <c r="E8" i="2"/>
  <c r="D137" i="2"/>
  <c r="E303" i="2"/>
  <c r="E4" i="4"/>
  <c r="G125" i="2"/>
  <c r="G293" i="2"/>
  <c r="G133" i="2"/>
  <c r="F145" i="2"/>
  <c r="F249" i="2"/>
  <c r="F333" i="2"/>
  <c r="F325" i="2"/>
  <c r="G157" i="2"/>
  <c r="G191" i="2"/>
  <c r="G138" i="2"/>
  <c r="G18" i="2"/>
  <c r="G229" i="2"/>
  <c r="G172" i="2"/>
  <c r="F176" i="2"/>
  <c r="G317" i="2"/>
  <c r="G22" i="2"/>
  <c r="G112" i="2"/>
  <c r="F114" i="2"/>
  <c r="F135" i="2"/>
  <c r="F174" i="2"/>
  <c r="F349" i="2"/>
  <c r="G349" i="2"/>
  <c r="F13" i="2"/>
  <c r="F141" i="2"/>
  <c r="G90" i="2"/>
  <c r="G87" i="2"/>
  <c r="G144" i="2"/>
  <c r="G25" i="2"/>
  <c r="G190" i="2"/>
  <c r="G30" i="2"/>
  <c r="F242" i="2"/>
  <c r="F263" i="2"/>
  <c r="F302" i="2"/>
  <c r="G360" i="2"/>
  <c r="F283" i="2"/>
  <c r="F350" i="2"/>
  <c r="F4" i="2"/>
  <c r="G290" i="2"/>
  <c r="G106" i="2"/>
  <c r="F183" i="2"/>
  <c r="G81" i="2"/>
  <c r="F348" i="2"/>
  <c r="F169" i="2"/>
  <c r="D53" i="2"/>
  <c r="F42" i="2"/>
  <c r="F269" i="2"/>
  <c r="D5" i="2"/>
  <c r="E201" i="2"/>
  <c r="F270" i="2"/>
  <c r="D21" i="2"/>
  <c r="F209" i="2"/>
  <c r="D187" i="2"/>
  <c r="F171" i="2"/>
  <c r="F322" i="2"/>
  <c r="D278" i="2"/>
  <c r="G69" i="2"/>
  <c r="G23" i="2"/>
  <c r="G94" i="2"/>
  <c r="E151" i="2"/>
  <c r="D308" i="2"/>
  <c r="E313" i="2"/>
  <c r="E103" i="2"/>
  <c r="E285" i="2"/>
  <c r="D9" i="2"/>
  <c r="E119" i="2"/>
  <c r="D291" i="2"/>
  <c r="E153" i="2"/>
  <c r="G192" i="2"/>
  <c r="D212" i="2"/>
  <c r="G227" i="2"/>
  <c r="G188" i="2"/>
  <c r="G331" i="2"/>
  <c r="G322" i="2"/>
  <c r="E314" i="2"/>
  <c r="F8" i="2"/>
  <c r="G207" i="2"/>
  <c r="E218" i="2"/>
  <c r="E279" i="2"/>
  <c r="G194" i="2"/>
  <c r="E250" i="2"/>
  <c r="F103" i="2"/>
  <c r="G60" i="2"/>
  <c r="F213" i="2"/>
  <c r="G242" i="2"/>
  <c r="G80" i="2"/>
  <c r="E122" i="2"/>
  <c r="G275" i="2"/>
  <c r="D124" i="2"/>
  <c r="E321" i="2"/>
  <c r="E215" i="2"/>
  <c r="D146" i="2"/>
  <c r="E337" i="2"/>
  <c r="E3" i="4"/>
  <c r="G110" i="2"/>
  <c r="G280" i="2"/>
  <c r="G286" i="2"/>
  <c r="F75" i="2"/>
  <c r="F211" i="2"/>
  <c r="F15" i="2"/>
  <c r="F310" i="2"/>
  <c r="G142" i="2"/>
  <c r="G244" i="2"/>
  <c r="G291" i="2"/>
  <c r="G171" i="2"/>
  <c r="G72" i="2"/>
  <c r="G325" i="2"/>
  <c r="G77" i="2"/>
  <c r="G302" i="2"/>
  <c r="G143" i="2"/>
  <c r="G297" i="2"/>
  <c r="G164" i="2"/>
  <c r="F168" i="2"/>
  <c r="F207" i="2"/>
  <c r="F23" i="2"/>
  <c r="G334" i="2"/>
  <c r="F342" i="2"/>
  <c r="F222" i="2"/>
  <c r="G243" i="2"/>
  <c r="G162" i="2"/>
  <c r="G249" i="2"/>
  <c r="G216" i="2"/>
  <c r="G311" i="2"/>
  <c r="G151" i="2"/>
  <c r="G332" i="2"/>
  <c r="F296" i="2"/>
  <c r="G20" i="2"/>
  <c r="G152" i="2"/>
  <c r="F24" i="2"/>
  <c r="F105" i="2"/>
  <c r="F293" i="2"/>
  <c r="F76" i="2"/>
  <c r="G259" i="2"/>
  <c r="G145" i="2"/>
  <c r="F84" i="2"/>
  <c r="F126" i="2"/>
  <c r="F34" i="2"/>
  <c r="D30" i="2"/>
  <c r="E60" i="2"/>
  <c r="F81" i="2"/>
  <c r="G295" i="2"/>
  <c r="E106" i="2"/>
  <c r="F331" i="2"/>
  <c r="D356" i="2"/>
  <c r="F163" i="2"/>
  <c r="D280" i="2"/>
  <c r="E117" i="2"/>
  <c r="E300" i="2"/>
  <c r="G14" i="2"/>
  <c r="F140" i="2"/>
  <c r="G114" i="2"/>
  <c r="G215" i="2"/>
  <c r="E241" i="2"/>
  <c r="G122" i="2"/>
  <c r="E139" i="2"/>
  <c r="E193" i="2"/>
  <c r="E238" i="2"/>
  <c r="D18" i="2"/>
  <c r="E209" i="2"/>
  <c r="G342" i="2"/>
  <c r="E58" i="2"/>
  <c r="F334" i="2"/>
  <c r="F356" i="2"/>
  <c r="G68" i="2"/>
  <c r="G271" i="2"/>
  <c r="F205" i="2"/>
  <c r="F281" i="2"/>
  <c r="D181" i="2"/>
  <c r="F194" i="2"/>
  <c r="F251" i="2"/>
  <c r="D133" i="2"/>
  <c r="E329" i="2"/>
  <c r="F303" i="2"/>
  <c r="D149" i="2"/>
  <c r="F82" i="2"/>
  <c r="F244" i="2"/>
  <c r="G356" i="2"/>
  <c r="F28" i="2"/>
  <c r="G219" i="2"/>
  <c r="E99" i="2"/>
  <c r="F216" i="2"/>
  <c r="G130" i="2"/>
  <c r="E346" i="2"/>
  <c r="E104" i="2"/>
  <c r="G91" i="2"/>
  <c r="E19" i="2"/>
  <c r="F4" i="4"/>
  <c r="G63" i="2"/>
  <c r="G10" i="2"/>
  <c r="G128" i="2"/>
  <c r="G53" i="2"/>
  <c r="G4" i="2"/>
  <c r="F48" i="2"/>
  <c r="F343" i="2"/>
  <c r="G95" i="2"/>
  <c r="G221" i="2"/>
  <c r="F125" i="2"/>
  <c r="F316" i="2"/>
  <c r="G177" i="2"/>
  <c r="G65" i="2"/>
  <c r="G230" i="2"/>
  <c r="G255" i="2"/>
  <c r="G202" i="2"/>
  <c r="G82" i="2"/>
  <c r="G309" i="2"/>
  <c r="G260" i="2"/>
  <c r="G12" i="2"/>
  <c r="F56" i="2"/>
  <c r="G287" i="2"/>
  <c r="F73" i="2"/>
  <c r="F255" i="2"/>
  <c r="F37" i="2"/>
  <c r="G315" i="2"/>
  <c r="G131" i="2"/>
  <c r="G56" i="2"/>
  <c r="G330" i="2"/>
  <c r="G210" i="2"/>
  <c r="G193" i="2"/>
  <c r="G344" i="2"/>
  <c r="G345" i="2"/>
  <c r="G117" i="2"/>
  <c r="G185" i="2"/>
  <c r="F153" i="2"/>
  <c r="F294" i="2"/>
  <c r="F85" i="2"/>
  <c r="F61" i="2"/>
  <c r="F63" i="2"/>
  <c r="F151" i="2"/>
  <c r="F159" i="2"/>
  <c r="E52" i="2"/>
  <c r="D348" i="2"/>
  <c r="E205" i="2"/>
  <c r="F131" i="2"/>
  <c r="F39" i="2"/>
  <c r="D77" i="2"/>
  <c r="E20" i="2"/>
  <c r="D355" i="2"/>
  <c r="E109" i="2"/>
  <c r="D192" i="2"/>
  <c r="E70" i="2"/>
  <c r="E136" i="2"/>
  <c r="G99" i="2"/>
  <c r="F112" i="2"/>
  <c r="G267" i="2"/>
  <c r="G66" i="2"/>
  <c r="E186" i="2"/>
  <c r="F231" i="2"/>
  <c r="G86" i="2"/>
  <c r="E98" i="2"/>
  <c r="E175" i="2"/>
  <c r="G40" i="2"/>
  <c r="E114" i="2"/>
  <c r="F326" i="2"/>
  <c r="D29" i="2"/>
  <c r="F18" i="2"/>
  <c r="F217" i="2"/>
  <c r="G107" i="2"/>
  <c r="F189" i="2"/>
  <c r="F254" i="2"/>
  <c r="F186" i="2"/>
  <c r="D158" i="2"/>
  <c r="E188" i="2"/>
  <c r="F58" i="2"/>
  <c r="G83" i="2"/>
  <c r="E362" i="2"/>
  <c r="F146" i="2"/>
  <c r="D126" i="2"/>
  <c r="E92" i="2"/>
  <c r="G45" i="2"/>
  <c r="G42" i="2"/>
  <c r="F341" i="2"/>
  <c r="F208" i="2"/>
  <c r="D245" i="2"/>
  <c r="F266" i="2"/>
  <c r="F239" i="2"/>
  <c r="D197" i="2"/>
  <c r="E170" i="2"/>
  <c r="F80" i="2"/>
  <c r="D3" i="4"/>
  <c r="G116" i="2"/>
  <c r="G163" i="2"/>
  <c r="G43" i="2"/>
  <c r="G214" i="2"/>
  <c r="G149" i="2"/>
  <c r="G41" i="2"/>
  <c r="G212" i="2"/>
  <c r="G228" i="2"/>
  <c r="G206" i="2"/>
  <c r="F214" i="2"/>
  <c r="F94" i="2"/>
  <c r="G115" i="2"/>
  <c r="G34" i="2"/>
  <c r="G359" i="2"/>
  <c r="G308" i="2"/>
  <c r="G355" i="2"/>
  <c r="G235" i="2"/>
  <c r="G33" i="2"/>
  <c r="G200" i="2"/>
  <c r="G165" i="2"/>
  <c r="G264" i="2"/>
  <c r="G153" i="2"/>
  <c r="G324" i="2"/>
  <c r="F288" i="2"/>
  <c r="F166" i="2"/>
  <c r="F173" i="2"/>
  <c r="F276" i="2"/>
  <c r="G9" i="2"/>
  <c r="F116" i="2"/>
  <c r="G3" i="2"/>
  <c r="G79" i="2"/>
  <c r="G54" i="2"/>
  <c r="G289" i="2"/>
  <c r="G278" i="2"/>
  <c r="G118" i="2"/>
  <c r="F306" i="2"/>
  <c r="F327" i="2"/>
  <c r="F17" i="2"/>
  <c r="F182" i="2"/>
  <c r="G141" i="2"/>
  <c r="G196" i="2"/>
  <c r="F192" i="2"/>
  <c r="E197" i="2"/>
  <c r="D324" i="2"/>
  <c r="E158" i="2"/>
  <c r="E149" i="2"/>
  <c r="F66" i="2"/>
  <c r="D54" i="2"/>
  <c r="E165" i="2"/>
  <c r="D283" i="2"/>
  <c r="E62" i="2"/>
  <c r="D345" i="2"/>
  <c r="E71" i="2"/>
  <c r="E335" i="2"/>
  <c r="F88" i="2"/>
  <c r="G103" i="2"/>
  <c r="F77" i="2"/>
  <c r="F175" i="2"/>
  <c r="D117" i="2"/>
  <c r="F122" i="2"/>
  <c r="F206" i="2"/>
  <c r="D69" i="2"/>
  <c r="E265" i="2"/>
  <c r="F47" i="2"/>
  <c r="D85" i="2"/>
  <c r="F10" i="2"/>
  <c r="D6" i="2"/>
  <c r="E36" i="2"/>
  <c r="F35" i="2"/>
  <c r="F96" i="2"/>
  <c r="F201" i="2"/>
  <c r="F287" i="2"/>
  <c r="E180" i="2"/>
  <c r="D127" i="2"/>
  <c r="E333" i="2"/>
  <c r="E132" i="2"/>
  <c r="F72" i="2"/>
  <c r="D205" i="2"/>
  <c r="E148" i="2"/>
  <c r="D95" i="2"/>
  <c r="E237" i="2"/>
  <c r="F124" i="2"/>
  <c r="F101" i="2"/>
  <c r="F318" i="2"/>
  <c r="F258" i="2"/>
  <c r="D222" i="2"/>
  <c r="E252" i="2"/>
  <c r="F130" i="2"/>
  <c r="G339" i="2"/>
  <c r="E163" i="2"/>
  <c r="F218" i="2"/>
  <c r="D3" i="2"/>
  <c r="G93" i="2"/>
  <c r="F308" i="2"/>
  <c r="F188" i="2"/>
  <c r="G335" i="2"/>
  <c r="G310" i="2"/>
  <c r="G62" i="2"/>
  <c r="G189" i="2"/>
  <c r="G64" i="2"/>
  <c r="G159" i="2"/>
  <c r="F247" i="2"/>
  <c r="F127" i="2"/>
  <c r="F260" i="2"/>
  <c r="G187" i="2"/>
  <c r="G362" i="2"/>
  <c r="G285" i="2"/>
  <c r="F261" i="2"/>
  <c r="F29" i="2"/>
  <c r="G26" i="2"/>
  <c r="G7" i="2"/>
  <c r="G318" i="2"/>
  <c r="G88" i="2"/>
  <c r="G102" i="2"/>
  <c r="G121" i="2"/>
  <c r="F178" i="2"/>
  <c r="F199" i="2"/>
  <c r="F238" i="2"/>
  <c r="F54" i="2"/>
  <c r="G240" i="2"/>
  <c r="F165" i="2"/>
  <c r="F277" i="2"/>
  <c r="G154" i="2"/>
  <c r="G175" i="2"/>
  <c r="G113" i="2"/>
  <c r="G104" i="2"/>
  <c r="G239" i="2"/>
  <c r="G320" i="2"/>
  <c r="F360" i="2"/>
  <c r="F161" i="2"/>
  <c r="F215" i="2"/>
  <c r="F196" i="2"/>
  <c r="G341" i="2"/>
  <c r="G208" i="2"/>
  <c r="E150" i="2"/>
  <c r="D139" i="2"/>
  <c r="E95" i="2"/>
  <c r="E102" i="2"/>
  <c r="E76" i="2"/>
  <c r="D23" i="2"/>
  <c r="E118" i="2"/>
  <c r="D75" i="2"/>
  <c r="E355" i="2"/>
  <c r="D354" i="2"/>
  <c r="E225" i="2"/>
  <c r="E192" i="2"/>
  <c r="G338" i="2"/>
  <c r="F340" i="2"/>
  <c r="F190" i="2"/>
  <c r="F106" i="2"/>
  <c r="D94" i="2"/>
  <c r="E124" i="2"/>
  <c r="F203" i="2"/>
  <c r="G186" i="2"/>
  <c r="E234" i="2"/>
  <c r="F74" i="2"/>
  <c r="D62" i="2"/>
  <c r="E28" i="2"/>
  <c r="D172" i="2"/>
  <c r="E181" i="2"/>
  <c r="E347" i="2"/>
  <c r="G294" i="2"/>
  <c r="G32" i="2"/>
  <c r="F320" i="2"/>
  <c r="E325" i="2"/>
  <c r="D49" i="2"/>
  <c r="E286" i="2"/>
  <c r="E277" i="2"/>
  <c r="F210" i="2"/>
  <c r="D182" i="2"/>
  <c r="E293" i="2"/>
  <c r="D17" i="2"/>
  <c r="E190" i="2"/>
  <c r="F227" i="2"/>
  <c r="F267" i="2"/>
  <c r="F351" i="2"/>
  <c r="E244" i="2"/>
  <c r="D191" i="2"/>
  <c r="E327" i="2"/>
  <c r="E196" i="2"/>
  <c r="F264" i="2"/>
  <c r="D269" i="2"/>
  <c r="E212" i="2"/>
  <c r="H3" i="4"/>
  <c r="G78" i="2"/>
  <c r="F86" i="2"/>
  <c r="F301" i="2"/>
  <c r="G346" i="2"/>
  <c r="G224" i="2"/>
  <c r="G183" i="2"/>
  <c r="G174" i="2"/>
  <c r="G276" i="2"/>
  <c r="G316" i="2"/>
  <c r="G156" i="2"/>
  <c r="F160" i="2"/>
  <c r="F38" i="2"/>
  <c r="F332" i="2"/>
  <c r="F148" i="2"/>
  <c r="G270" i="2"/>
  <c r="F278" i="2"/>
  <c r="F158" i="2"/>
  <c r="G179" i="2"/>
  <c r="G98" i="2"/>
  <c r="G256" i="2"/>
  <c r="G8" i="2"/>
  <c r="G231" i="2"/>
  <c r="G71" i="2"/>
  <c r="G252" i="2"/>
  <c r="F232" i="2"/>
  <c r="F271" i="2"/>
  <c r="F87" i="2"/>
  <c r="G120" i="2"/>
  <c r="F193" i="2"/>
  <c r="F286" i="2"/>
  <c r="G307" i="2"/>
  <c r="G226" i="2"/>
  <c r="G288" i="2"/>
  <c r="G35" i="2"/>
  <c r="G274" i="2"/>
  <c r="G38" i="2"/>
  <c r="G273" i="2"/>
  <c r="G268" i="2"/>
  <c r="F248" i="2"/>
  <c r="G92" i="2"/>
  <c r="G137" i="2"/>
  <c r="G6" i="2"/>
  <c r="E87" i="2"/>
  <c r="D163" i="2"/>
  <c r="E185" i="2"/>
  <c r="E39" i="2"/>
  <c r="E221" i="2"/>
  <c r="D344" i="2"/>
  <c r="E55" i="2"/>
  <c r="D99" i="2"/>
  <c r="E89" i="2"/>
  <c r="G269" i="2"/>
  <c r="E235" i="2"/>
  <c r="E226" i="2"/>
  <c r="F345" i="2"/>
  <c r="F279" i="2"/>
  <c r="F223" i="2"/>
  <c r="E116" i="2"/>
  <c r="D63" i="2"/>
  <c r="E269" i="2"/>
  <c r="E68" i="2"/>
  <c r="F295" i="2"/>
  <c r="D141" i="2"/>
  <c r="E84" i="2"/>
  <c r="D31" i="2"/>
  <c r="E173" i="2"/>
  <c r="D323" i="2"/>
  <c r="E134" i="2"/>
  <c r="E336" i="2"/>
  <c r="F317" i="2"/>
  <c r="G321" i="2"/>
  <c r="G21" i="2"/>
  <c r="E278" i="2"/>
  <c r="D58" i="2"/>
  <c r="E239" i="2"/>
  <c r="E230" i="2"/>
  <c r="E204" i="2"/>
  <c r="D151" i="2"/>
  <c r="E246" i="2"/>
  <c r="D26" i="2"/>
  <c r="E127" i="2"/>
  <c r="G247" i="2"/>
  <c r="G49" i="2"/>
  <c r="F49" i="2"/>
  <c r="E295" i="2"/>
  <c r="D113" i="2"/>
  <c r="E350" i="2"/>
  <c r="E341" i="2"/>
  <c r="F282" i="2"/>
  <c r="D246" i="2"/>
  <c r="E357" i="2"/>
  <c r="D213" i="2"/>
  <c r="F154" i="2"/>
  <c r="D134" i="2"/>
  <c r="E164" i="2"/>
  <c r="F179" i="2"/>
  <c r="D320" i="2"/>
  <c r="F7" i="2"/>
  <c r="G158" i="2"/>
  <c r="G197" i="2"/>
  <c r="E359" i="2"/>
  <c r="D186" i="2"/>
  <c r="E232" i="2"/>
  <c r="E358" i="2"/>
  <c r="E332" i="2"/>
  <c r="D279" i="2"/>
  <c r="F22" i="2"/>
  <c r="G333" i="2"/>
  <c r="F156" i="2"/>
  <c r="F5" i="2"/>
  <c r="D52" i="2"/>
  <c r="F297" i="2"/>
  <c r="G283" i="2"/>
  <c r="D4" i="2"/>
  <c r="E9" i="2"/>
  <c r="F236" i="2"/>
  <c r="D20" i="2"/>
  <c r="F280" i="2"/>
  <c r="D285" i="2"/>
  <c r="F314" i="2"/>
  <c r="F98" i="2"/>
  <c r="F30" i="2"/>
  <c r="F57" i="2"/>
  <c r="F31" i="2"/>
  <c r="F115" i="2"/>
  <c r="D152" i="2"/>
  <c r="E77" i="2"/>
  <c r="F346" i="2"/>
  <c r="F6" i="2"/>
  <c r="D156" i="2"/>
  <c r="F83" i="2"/>
  <c r="D56" i="2"/>
  <c r="E348" i="2"/>
  <c r="E113" i="2"/>
  <c r="D337" i="2"/>
  <c r="E356" i="2"/>
  <c r="D237" i="2"/>
  <c r="D303" i="2"/>
  <c r="D276" i="2"/>
  <c r="D251" i="2"/>
  <c r="G336" i="2"/>
  <c r="D277" i="2"/>
  <c r="F275" i="2"/>
  <c r="E298" i="2"/>
  <c r="D106" i="2"/>
  <c r="D357" i="2"/>
  <c r="D331" i="2"/>
  <c r="D284" i="2"/>
  <c r="D346" i="2"/>
  <c r="E245" i="2"/>
  <c r="D232" i="2"/>
  <c r="D272" i="2"/>
  <c r="F313" i="2"/>
  <c r="D254" i="2"/>
  <c r="F234" i="2"/>
  <c r="D44" i="2"/>
  <c r="D312" i="2"/>
  <c r="D79" i="2"/>
  <c r="F59" i="2"/>
  <c r="E322" i="2"/>
  <c r="G314" i="2"/>
  <c r="D105" i="2"/>
  <c r="D289" i="2"/>
  <c r="D264" i="2"/>
  <c r="G147" i="2"/>
  <c r="E6" i="2"/>
  <c r="D150" i="2"/>
  <c r="D66" i="2"/>
  <c r="F68" i="2"/>
  <c r="D307" i="2"/>
  <c r="D275" i="2"/>
  <c r="E14" i="2"/>
  <c r="D317" i="2"/>
  <c r="D238" i="2"/>
  <c r="G160" i="2"/>
  <c r="E48" i="2"/>
  <c r="E7" i="2"/>
  <c r="E123" i="2"/>
  <c r="D33" i="2"/>
  <c r="D322" i="2"/>
  <c r="D130" i="2"/>
  <c r="D198" i="2"/>
  <c r="D101" i="2"/>
  <c r="D190" i="2"/>
  <c r="E156" i="2"/>
  <c r="D103" i="2"/>
  <c r="E309" i="2"/>
  <c r="E125" i="2"/>
  <c r="G61" i="2"/>
  <c r="G96" i="2"/>
  <c r="G279" i="2"/>
  <c r="G350" i="2"/>
  <c r="E208" i="2"/>
  <c r="D72" i="2"/>
  <c r="E171" i="2"/>
  <c r="E88" i="2"/>
  <c r="E248" i="2"/>
  <c r="D201" i="2"/>
  <c r="G198" i="2"/>
  <c r="G298" i="2"/>
  <c r="F245" i="2"/>
  <c r="F265" i="2"/>
  <c r="D48" i="2"/>
  <c r="F51" i="2"/>
  <c r="F240" i="2"/>
  <c r="D325" i="2"/>
  <c r="E51" i="2"/>
  <c r="F65" i="2"/>
  <c r="D341" i="2"/>
  <c r="F298" i="2"/>
  <c r="D262" i="2"/>
  <c r="E292" i="2"/>
  <c r="E108" i="2"/>
  <c r="F139" i="2"/>
  <c r="G28" i="2"/>
  <c r="F64" i="2"/>
  <c r="E69" i="2"/>
  <c r="D64" i="2"/>
  <c r="E30" i="2"/>
  <c r="E21" i="2"/>
  <c r="F121" i="2"/>
  <c r="D336" i="2"/>
  <c r="E37" i="2"/>
  <c r="D351" i="2"/>
  <c r="E296" i="2"/>
  <c r="G353" i="2"/>
  <c r="F243" i="2"/>
  <c r="E128" i="2"/>
  <c r="D136" i="2"/>
  <c r="D155" i="2"/>
  <c r="D96" i="2"/>
  <c r="D304" i="2"/>
  <c r="E18" i="2"/>
  <c r="D154" i="2"/>
  <c r="E53" i="2"/>
  <c r="D16" i="2"/>
  <c r="D328" i="2"/>
  <c r="D316" i="2"/>
  <c r="D143" i="2"/>
  <c r="F353" i="2"/>
  <c r="F91" i="2"/>
  <c r="E199" i="2"/>
  <c r="D55" i="2"/>
  <c r="D88" i="2"/>
  <c r="D347" i="2"/>
  <c r="E66" i="2"/>
  <c r="E247" i="2"/>
  <c r="D22" i="2"/>
  <c r="D225" i="2"/>
  <c r="D263" i="2"/>
  <c r="F262" i="2"/>
  <c r="D349" i="2"/>
  <c r="F170" i="2"/>
  <c r="D114" i="2"/>
  <c r="D330" i="2"/>
  <c r="E94" i="2"/>
  <c r="E223" i="2"/>
  <c r="E161" i="2"/>
  <c r="D247" i="2"/>
  <c r="D230" i="2"/>
  <c r="G261" i="2"/>
  <c r="E101" i="2"/>
  <c r="D339" i="2"/>
  <c r="E24" i="2"/>
  <c r="D296" i="2"/>
  <c r="D315" i="2"/>
  <c r="G57" i="2"/>
  <c r="E179" i="2"/>
  <c r="F144" i="2"/>
  <c r="E74" i="2"/>
  <c r="D258" i="2"/>
  <c r="D104" i="2"/>
  <c r="F133" i="2"/>
  <c r="F107" i="2"/>
  <c r="D176" i="2"/>
  <c r="D159" i="2"/>
  <c r="E301" i="2"/>
  <c r="D25" i="2"/>
  <c r="E262" i="2"/>
  <c r="E78" i="2"/>
  <c r="G205" i="2"/>
  <c r="F46" i="2"/>
  <c r="G306" i="2"/>
  <c r="G17" i="2"/>
  <c r="E242" i="2"/>
  <c r="F164" i="2"/>
  <c r="D61" i="2"/>
  <c r="E154" i="2"/>
  <c r="E56" i="2"/>
  <c r="D210" i="2"/>
  <c r="F181" i="2"/>
  <c r="F246" i="2"/>
  <c r="F337" i="2"/>
  <c r="F43" i="2"/>
  <c r="D350" i="2"/>
  <c r="E13" i="2"/>
  <c r="F274" i="2"/>
  <c r="F221" i="2"/>
  <c r="D76" i="2"/>
  <c r="F362" i="2"/>
  <c r="D318" i="2"/>
  <c r="E284" i="2"/>
  <c r="D231" i="2"/>
  <c r="E112" i="2"/>
  <c r="E253" i="2"/>
  <c r="G51" i="2"/>
  <c r="G173" i="2"/>
  <c r="G220" i="2"/>
  <c r="E22" i="2"/>
  <c r="D305" i="2"/>
  <c r="E203" i="2"/>
  <c r="E195" i="2"/>
  <c r="F147" i="2"/>
  <c r="D224" i="2"/>
  <c r="E291" i="2"/>
  <c r="D273" i="2"/>
  <c r="E96" i="2"/>
  <c r="E202" i="2"/>
  <c r="E288" i="2"/>
  <c r="E339" i="2"/>
  <c r="D240" i="2"/>
  <c r="D199" i="2"/>
  <c r="D185" i="2"/>
  <c r="D180" i="2"/>
  <c r="F198" i="2"/>
  <c r="F226" i="2"/>
  <c r="E312" i="2"/>
  <c r="D292" i="2"/>
  <c r="D358" i="2"/>
  <c r="D110" i="2"/>
  <c r="D129" i="2"/>
  <c r="F109" i="2"/>
  <c r="E25" i="2"/>
  <c r="G204" i="2"/>
  <c r="D196" i="2"/>
  <c r="D10" i="2"/>
  <c r="F339" i="2"/>
  <c r="E220" i="2"/>
  <c r="E352" i="2"/>
  <c r="D119" i="2"/>
  <c r="D229" i="2"/>
  <c r="F225" i="2"/>
  <c r="D13" i="2"/>
  <c r="D295" i="2"/>
  <c r="E317" i="2"/>
  <c r="D340" i="2"/>
  <c r="D200" i="2"/>
  <c r="E85" i="2"/>
  <c r="E75" i="2"/>
  <c r="G211" i="2"/>
  <c r="D169" i="2"/>
  <c r="D179" i="2"/>
  <c r="G300" i="2"/>
  <c r="E259" i="2"/>
  <c r="F111" i="2"/>
  <c r="E131" i="2"/>
  <c r="B9" i="1"/>
  <c r="D206" i="2"/>
  <c r="E23" i="2"/>
  <c r="D145" i="2"/>
  <c r="E228" i="2"/>
  <c r="D173" i="2"/>
  <c r="D135" i="2"/>
  <c r="D120" i="2"/>
  <c r="D233" i="2"/>
  <c r="E44" i="2"/>
  <c r="F185" i="2"/>
  <c r="D81" i="2"/>
  <c r="E254" i="2"/>
  <c r="D34" i="2"/>
  <c r="E343" i="2"/>
  <c r="E15" i="2"/>
  <c r="F21" i="2"/>
  <c r="G313" i="2"/>
  <c r="F92" i="2"/>
  <c r="F108" i="2"/>
  <c r="E323" i="2"/>
  <c r="F344" i="2"/>
  <c r="G27" i="2"/>
  <c r="E147" i="2"/>
  <c r="E280" i="2"/>
  <c r="G347" i="2"/>
  <c r="F11" i="2"/>
  <c r="F312" i="2"/>
  <c r="F291" i="2"/>
  <c r="E5" i="2"/>
  <c r="D319" i="2"/>
  <c r="E115" i="2"/>
  <c r="E324" i="2"/>
  <c r="F361" i="2"/>
  <c r="D128" i="2"/>
  <c r="E340" i="2"/>
  <c r="D287" i="2"/>
  <c r="E80" i="2"/>
  <c r="D153" i="2"/>
  <c r="E311" i="2"/>
  <c r="E206" i="2"/>
  <c r="F40" i="2"/>
  <c r="G326" i="2"/>
  <c r="G24" i="2"/>
  <c r="E107" i="2"/>
  <c r="D314" i="2"/>
  <c r="E57" i="2"/>
  <c r="E224" i="2"/>
  <c r="E93" i="2"/>
  <c r="D144" i="2"/>
  <c r="E264" i="2"/>
  <c r="D282" i="2"/>
  <c r="E328" i="2"/>
  <c r="E65" i="2"/>
  <c r="D28" i="2"/>
  <c r="F257" i="2"/>
  <c r="D361" i="2"/>
  <c r="D203" i="2"/>
  <c r="D97" i="2"/>
  <c r="D249" i="2"/>
  <c r="D38" i="2"/>
  <c r="E319" i="2"/>
  <c r="E282" i="2"/>
  <c r="D260" i="2"/>
  <c r="D8" i="2"/>
  <c r="D353" i="2"/>
  <c r="D71" i="2"/>
  <c r="D132" i="2"/>
  <c r="D93" i="2"/>
  <c r="F307" i="2"/>
  <c r="D140" i="2"/>
  <c r="D293" i="2"/>
  <c r="F329" i="2"/>
  <c r="E345" i="2"/>
  <c r="G169" i="2"/>
  <c r="D41" i="2"/>
  <c r="D121" i="2"/>
  <c r="F305" i="2"/>
  <c r="F155" i="2"/>
  <c r="D226" i="2"/>
  <c r="E143" i="2"/>
  <c r="D111" i="2"/>
  <c r="D24" i="2"/>
  <c r="F299" i="2"/>
  <c r="D184" i="2"/>
  <c r="F250" i="2"/>
  <c r="D178" i="2"/>
  <c r="D194" i="2"/>
  <c r="E86" i="2"/>
  <c r="D168" i="2"/>
  <c r="E100" i="2"/>
  <c r="D109" i="2"/>
  <c r="D267" i="2"/>
  <c r="D239" i="2"/>
  <c r="D35" i="2"/>
  <c r="F136" i="2"/>
  <c r="E326" i="2"/>
  <c r="D342" i="2"/>
  <c r="D252" i="2"/>
  <c r="D257" i="2"/>
  <c r="E130" i="2"/>
  <c r="D327" i="2"/>
  <c r="E142" i="2"/>
  <c r="D90" i="2"/>
  <c r="E191" i="2"/>
  <c r="B6" i="1"/>
  <c r="E210" i="2"/>
  <c r="E105" i="2"/>
  <c r="G213" i="2"/>
  <c r="G170" i="2"/>
  <c r="F117" i="2"/>
  <c r="F336" i="2"/>
  <c r="D309" i="2"/>
  <c r="F338" i="2"/>
  <c r="F16" i="2"/>
  <c r="D261" i="2"/>
  <c r="E290" i="2"/>
  <c r="F272" i="2"/>
  <c r="G282" i="2"/>
  <c r="G85" i="2"/>
  <c r="G132" i="2"/>
  <c r="E360" i="2"/>
  <c r="D241" i="2"/>
  <c r="E200" i="2"/>
  <c r="E216" i="2"/>
  <c r="F67" i="2"/>
  <c r="D40" i="2"/>
  <c r="E272" i="2"/>
  <c r="D209" i="2"/>
  <c r="E287" i="2"/>
  <c r="D162" i="2"/>
  <c r="E33" i="2"/>
  <c r="G361" i="2"/>
  <c r="G209" i="2"/>
  <c r="G312" i="2"/>
  <c r="G201" i="2"/>
  <c r="E49" i="2"/>
  <c r="G176" i="2"/>
  <c r="E90" i="2"/>
  <c r="E315" i="2"/>
  <c r="E46" i="2"/>
  <c r="D329" i="2"/>
  <c r="E17" i="2"/>
  <c r="D100" i="2"/>
  <c r="G52" i="2"/>
  <c r="E110" i="2"/>
  <c r="D326" i="2"/>
  <c r="E172" i="2"/>
  <c r="D11" i="2"/>
  <c r="D107" i="2"/>
  <c r="D165" i="2"/>
  <c r="B8" i="1"/>
  <c r="E187" i="2"/>
  <c r="D92" i="2"/>
  <c r="F200" i="2"/>
  <c r="D123" i="2"/>
  <c r="D138" i="2"/>
  <c r="D57" i="2"/>
  <c r="F55" i="2"/>
  <c r="E137" i="2"/>
  <c r="D39" i="2"/>
  <c r="E61" i="2"/>
  <c r="D220" i="2"/>
  <c r="D174" i="2"/>
  <c r="G166" i="2"/>
  <c r="D221" i="2"/>
  <c r="F26" i="2"/>
  <c r="D50" i="2"/>
  <c r="D321" i="2"/>
  <c r="F95" i="2"/>
  <c r="E81" i="2"/>
  <c r="F300" i="2"/>
  <c r="E361" i="2"/>
  <c r="D51" i="2"/>
  <c r="G241" i="2"/>
  <c r="D300" i="2"/>
  <c r="D359" i="2"/>
  <c r="E271" i="2"/>
  <c r="D189" i="2"/>
  <c r="D46" i="2"/>
  <c r="D19" i="2"/>
  <c r="F357" i="2"/>
  <c r="E198" i="2"/>
  <c r="D214" i="2"/>
  <c r="D67" i="2"/>
  <c r="D7" i="2"/>
  <c r="E121" i="2"/>
  <c r="E318" i="2"/>
  <c r="E338" i="2"/>
  <c r="D32" i="2"/>
  <c r="D15" i="2"/>
  <c r="D332" i="2"/>
  <c r="D83" i="2"/>
  <c r="D242" i="2"/>
  <c r="D164" i="2"/>
  <c r="E168" i="2"/>
  <c r="E281" i="2"/>
  <c r="G258" i="2"/>
  <c r="G357" i="2"/>
  <c r="E10" i="2"/>
  <c r="F252" i="2"/>
  <c r="F118" i="2"/>
  <c r="F97" i="2"/>
  <c r="F330" i="2"/>
  <c r="D286" i="2"/>
  <c r="E316" i="2"/>
  <c r="F202" i="2"/>
  <c r="F228" i="2"/>
  <c r="D12" i="2"/>
  <c r="F290" i="2"/>
  <c r="F129" i="2"/>
  <c r="G246" i="2"/>
  <c r="G277" i="2"/>
  <c r="E176" i="2"/>
  <c r="D250" i="2"/>
  <c r="E275" i="2"/>
  <c r="E32" i="2"/>
  <c r="E29" i="2"/>
  <c r="D343" i="2"/>
  <c r="E72" i="2"/>
  <c r="D218" i="2"/>
  <c r="E144" i="2"/>
  <c r="E146" i="2"/>
  <c r="E91" i="2"/>
  <c r="G265" i="2"/>
  <c r="F79" i="2"/>
  <c r="G75" i="2"/>
  <c r="G292" i="2"/>
  <c r="E155" i="2"/>
  <c r="F253" i="2"/>
  <c r="D288" i="2"/>
  <c r="E35" i="2"/>
  <c r="E267" i="2"/>
  <c r="D338" i="2"/>
  <c r="E59" i="2"/>
  <c r="F292" i="2"/>
  <c r="G354" i="2"/>
  <c r="D59" i="2"/>
  <c r="D217" i="2"/>
  <c r="E270" i="2"/>
  <c r="D208" i="2"/>
  <c r="D47" i="2"/>
  <c r="D335" i="2"/>
  <c r="G97" i="2"/>
  <c r="E47" i="2"/>
  <c r="D80" i="2"/>
  <c r="E236" i="2"/>
  <c r="D147" i="2"/>
  <c r="D268" i="2"/>
  <c r="D227" i="2"/>
  <c r="G150" i="2"/>
  <c r="F14" i="2"/>
  <c r="D259" i="2"/>
  <c r="E344" i="2"/>
  <c r="D302" i="2"/>
  <c r="G327" i="2"/>
  <c r="E42" i="2"/>
  <c r="D167" i="2"/>
  <c r="E189" i="2"/>
  <c r="E27" i="2"/>
  <c r="D131" i="2"/>
  <c r="F219" i="2"/>
  <c r="D248" i="2"/>
  <c r="F27" i="2"/>
  <c r="D108" i="2"/>
  <c r="D166" i="2"/>
  <c r="G108" i="2"/>
  <c r="E276" i="2"/>
  <c r="D290" i="2"/>
  <c r="E207" i="2"/>
  <c r="D271" i="2"/>
  <c r="D313" i="2"/>
  <c r="E31" i="2"/>
  <c r="E331" i="2"/>
  <c r="E353" i="2"/>
  <c r="D311" i="2"/>
  <c r="D112" i="2"/>
  <c r="D216" i="2"/>
  <c r="E243" i="2"/>
  <c r="E43" i="2"/>
  <c r="F137" i="2"/>
  <c r="D297" i="2"/>
  <c r="D298" i="2"/>
  <c r="E38" i="2"/>
  <c r="D306" i="2"/>
  <c r="D89" i="2"/>
  <c r="G250" i="2"/>
  <c r="E266" i="2"/>
  <c r="F25" i="2"/>
  <c r="F134" i="2"/>
  <c r="D244" i="2"/>
  <c r="F259" i="2"/>
  <c r="F184" i="2"/>
  <c r="F233" i="2"/>
  <c r="E308" i="2"/>
  <c r="D255" i="2"/>
  <c r="E184" i="2"/>
  <c r="E260" i="2"/>
  <c r="F41" i="2"/>
  <c r="D333" i="2"/>
  <c r="G46" i="2"/>
  <c r="G343" i="2"/>
  <c r="G16" i="2"/>
  <c r="G248" i="2"/>
  <c r="E219" i="2"/>
  <c r="D102" i="2"/>
  <c r="E26" i="2"/>
  <c r="E256" i="2"/>
  <c r="E251" i="2"/>
  <c r="D265" i="2"/>
  <c r="E304" i="2"/>
  <c r="E67" i="2"/>
  <c r="E194" i="2"/>
  <c r="F44" i="2"/>
  <c r="G58" i="2"/>
  <c r="F150" i="2"/>
  <c r="G257" i="2"/>
  <c r="F220" i="2"/>
  <c r="F149" i="2"/>
  <c r="D116" i="2"/>
  <c r="F33" i="2"/>
  <c r="F172" i="2"/>
  <c r="D68" i="2"/>
  <c r="E73" i="2"/>
  <c r="F237" i="2"/>
  <c r="D84" i="2"/>
  <c r="F89" i="2"/>
  <c r="G281" i="2"/>
  <c r="E54" i="2"/>
  <c r="D36" i="2"/>
  <c r="E41" i="2"/>
  <c r="D193" i="2"/>
  <c r="D161" i="2"/>
  <c r="D362" i="2"/>
  <c r="F335" i="2"/>
  <c r="G101" i="2"/>
  <c r="D281" i="2"/>
  <c r="E334" i="2"/>
  <c r="D142" i="2"/>
  <c r="D207" i="2"/>
  <c r="D78" i="2"/>
  <c r="F284" i="2"/>
  <c r="E307" i="2"/>
  <c r="G305" i="2"/>
  <c r="E233" i="2"/>
  <c r="D42" i="2"/>
  <c r="G323" i="2"/>
  <c r="F177" i="2"/>
  <c r="D98" i="2"/>
  <c r="E79" i="2"/>
  <c r="D171" i="2"/>
  <c r="D270" i="2"/>
  <c r="D352" i="2"/>
  <c r="G36" i="2"/>
  <c r="E320" i="2"/>
  <c r="D86" i="2"/>
  <c r="D43" i="2"/>
  <c r="F128" i="2"/>
  <c r="E178" i="2"/>
  <c r="F315" i="2"/>
  <c r="E354" i="2"/>
  <c r="D234" i="2"/>
  <c r="D74" i="2"/>
  <c r="E157" i="2"/>
  <c r="F359" i="2"/>
  <c r="D157" i="2"/>
  <c r="F162" i="2"/>
  <c r="F273" i="2"/>
  <c r="D299" i="2"/>
  <c r="G184" i="2"/>
  <c r="G5" i="2"/>
  <c r="G44" i="2"/>
  <c r="E160" i="2"/>
  <c r="D177" i="2"/>
  <c r="E16" i="2"/>
  <c r="E351" i="2"/>
  <c r="F354" i="2"/>
  <c r="D310" i="2"/>
  <c r="G358" i="2"/>
  <c r="F289" i="2"/>
  <c r="G11" i="2"/>
  <c r="G337" i="2"/>
  <c r="E11" i="2"/>
  <c r="F93" i="2"/>
  <c r="D253" i="2"/>
  <c r="E274" i="2"/>
  <c r="E240" i="2"/>
  <c r="D274" i="2"/>
  <c r="E306" i="2"/>
  <c r="F36" i="2"/>
  <c r="E211" i="2"/>
  <c r="F304" i="2"/>
  <c r="F167" i="2"/>
  <c r="G48" i="2"/>
  <c r="G195" i="2"/>
  <c r="F323" i="2"/>
  <c r="F355" i="2"/>
  <c r="D256" i="2"/>
  <c r="F123" i="2"/>
  <c r="F9" i="2"/>
  <c r="G13" i="2"/>
  <c r="E227" i="2"/>
  <c r="F195" i="2"/>
  <c r="D160" i="2"/>
  <c r="F19" i="2"/>
  <c r="G47" i="2"/>
  <c r="D188" i="2"/>
  <c r="F113" i="2"/>
  <c r="E162" i="2"/>
  <c r="D175" i="2"/>
  <c r="D266" i="2"/>
  <c r="D243" i="2"/>
  <c r="G139" i="2"/>
  <c r="E263" i="2"/>
  <c r="G124" i="2"/>
  <c r="E169" i="2"/>
  <c r="D27" i="2"/>
  <c r="D170" i="2"/>
  <c r="D294" i="2"/>
  <c r="F142" i="2"/>
  <c r="D360" i="2"/>
  <c r="F90" i="2"/>
  <c r="E83" i="2"/>
  <c r="D37" i="2"/>
  <c r="F62" i="2"/>
  <c r="E120" i="2"/>
  <c r="G155" i="2"/>
  <c r="E297" i="2"/>
  <c r="D202" i="2"/>
  <c r="D148" i="2"/>
  <c r="E141" i="2"/>
  <c r="E45" i="2"/>
  <c r="E97" i="2"/>
  <c r="D183" i="2"/>
  <c r="D14" i="2"/>
  <c r="E133" i="2"/>
  <c r="D223" i="2"/>
  <c r="F99" i="2"/>
  <c r="D45" i="2"/>
  <c r="D334" i="2"/>
  <c r="D65" i="2"/>
  <c r="E12" i="2"/>
  <c r="D70" i="2"/>
  <c r="D195" i="2"/>
  <c r="B156" i="2" l="1"/>
  <c r="C156" i="2" s="1"/>
  <c r="B125" i="2"/>
  <c r="C125" i="2" s="1"/>
  <c r="B140" i="2"/>
  <c r="C140" i="2" s="1"/>
  <c r="B48" i="2"/>
  <c r="C48" i="2" s="1"/>
  <c r="B14" i="2"/>
  <c r="C14" i="2" s="1"/>
  <c r="B196" i="2"/>
  <c r="C196" i="2" s="1"/>
  <c r="B49" i="2"/>
  <c r="C49" i="2" s="1"/>
  <c r="B338" i="2"/>
  <c r="C338" i="2" s="1"/>
  <c r="B12" i="2"/>
  <c r="C12" i="2" s="1"/>
  <c r="B359" i="2"/>
  <c r="C359" i="2" s="1"/>
  <c r="B45" i="2"/>
  <c r="C45" i="2" s="1"/>
  <c r="B6" i="2"/>
  <c r="C6" i="2" s="1"/>
  <c r="B185" i="2"/>
  <c r="C185" i="2" s="1"/>
  <c r="B37" i="2"/>
  <c r="C37" i="2" s="1"/>
  <c r="B324" i="2"/>
  <c r="C324" i="2" s="1"/>
  <c r="B306" i="2"/>
  <c r="C306" i="2" s="1"/>
  <c r="B102" i="2"/>
  <c r="C102" i="2" s="1"/>
  <c r="B282" i="2"/>
  <c r="C282" i="2" s="1"/>
  <c r="B258" i="2"/>
  <c r="C258" i="2" s="1"/>
  <c r="B59" i="2"/>
  <c r="C59" i="2" s="1"/>
  <c r="B249" i="2"/>
  <c r="C249" i="2" s="1"/>
  <c r="B17" i="2"/>
  <c r="C17" i="2" s="1"/>
  <c r="B344" i="2"/>
  <c r="C344" i="2" s="1"/>
  <c r="B47" i="2"/>
  <c r="C47" i="2" s="1"/>
  <c r="B251" i="2"/>
  <c r="C251" i="2" s="1"/>
  <c r="B109" i="2"/>
  <c r="C109" i="2" s="1"/>
  <c r="B328" i="2"/>
  <c r="C328" i="2" s="1"/>
  <c r="B151" i="2"/>
  <c r="C151" i="2" s="1"/>
  <c r="B98" i="2"/>
  <c r="C98" i="2" s="1"/>
  <c r="B355" i="2"/>
  <c r="C355" i="2" s="1"/>
  <c r="B293" i="2"/>
  <c r="C293" i="2" s="1"/>
  <c r="B76" i="2"/>
  <c r="C76" i="2" s="1"/>
  <c r="B266" i="2"/>
  <c r="C266" i="2" s="1"/>
  <c r="B278" i="2"/>
  <c r="C278" i="2" s="1"/>
  <c r="B247" i="2"/>
  <c r="C247" i="2" s="1"/>
  <c r="B358" i="2"/>
  <c r="C358" i="2" s="1"/>
  <c r="B259" i="2"/>
  <c r="C259" i="2" s="1"/>
  <c r="B242" i="2"/>
  <c r="C242" i="2" s="1"/>
  <c r="B167" i="2"/>
  <c r="C167" i="2" s="1"/>
  <c r="B53" i="2"/>
  <c r="C53" i="2" s="1"/>
  <c r="B177" i="2"/>
  <c r="C177" i="2" s="1"/>
  <c r="B202" i="2"/>
  <c r="C202" i="2" s="1"/>
  <c r="B313" i="2"/>
  <c r="C313" i="2" s="1"/>
  <c r="B210" i="2"/>
  <c r="C210" i="2" s="1"/>
  <c r="B362" i="2"/>
  <c r="C362" i="2" s="1"/>
  <c r="B133" i="2"/>
  <c r="C133" i="2" s="1"/>
  <c r="B86" i="2"/>
  <c r="C86" i="2" s="1"/>
  <c r="B283" i="2"/>
  <c r="C283" i="2" s="1"/>
  <c r="B171" i="2"/>
  <c r="C171" i="2" s="1"/>
  <c r="B214" i="2"/>
  <c r="C214" i="2" s="1"/>
  <c r="B10" i="1"/>
  <c r="B170" i="2"/>
  <c r="C170" i="2" s="1"/>
  <c r="B25" i="2"/>
  <c r="C25" i="2" s="1"/>
  <c r="B327" i="2"/>
  <c r="C327" i="2" s="1"/>
  <c r="B348" i="2"/>
  <c r="C348" i="2" s="1"/>
  <c r="B28" i="2"/>
  <c r="C28" i="2" s="1"/>
  <c r="B314" i="2"/>
  <c r="C314" i="2" s="1"/>
  <c r="B301" i="2"/>
  <c r="C301" i="2" s="1"/>
  <c r="B212" i="2"/>
  <c r="C212" i="2" s="1"/>
  <c r="B205" i="2"/>
  <c r="C205" i="2" s="1"/>
  <c r="B221" i="2"/>
  <c r="C221" i="2" s="1"/>
  <c r="B174" i="2"/>
  <c r="C174" i="2" s="1"/>
  <c r="B52" i="2"/>
  <c r="C52" i="2" s="1"/>
  <c r="B18" i="2"/>
  <c r="C18" i="2" s="1"/>
  <c r="B307" i="2"/>
  <c r="C307" i="2" s="1"/>
  <c r="B206" i="2"/>
  <c r="C206" i="2" s="1"/>
  <c r="B58" i="2"/>
  <c r="C58" i="2" s="1"/>
  <c r="B262" i="2"/>
  <c r="C262" i="2" s="1"/>
  <c r="B354" i="2"/>
  <c r="C354" i="2" s="1"/>
  <c r="B29" i="2"/>
  <c r="C29" i="2" s="1"/>
  <c r="B299" i="2"/>
  <c r="C299" i="2" s="1"/>
  <c r="B199" i="2"/>
  <c r="C199" i="2" s="1"/>
  <c r="B351" i="2"/>
  <c r="C351" i="2" s="1"/>
  <c r="B280" i="2"/>
  <c r="C280" i="2" s="1"/>
  <c r="B97" i="2"/>
  <c r="C97" i="2" s="1"/>
  <c r="B62" i="2"/>
  <c r="C62" i="2" s="1"/>
  <c r="B161" i="2"/>
  <c r="C161" i="2" s="1"/>
  <c r="B148" i="2"/>
  <c r="C148" i="2" s="1"/>
  <c r="B315" i="2"/>
  <c r="C315" i="2" s="1"/>
  <c r="B337" i="2"/>
  <c r="C337" i="2" s="1"/>
  <c r="B284" i="2"/>
  <c r="C284" i="2" s="1"/>
  <c r="B334" i="2"/>
  <c r="C334" i="2" s="1"/>
  <c r="B198" i="2"/>
  <c r="C198" i="2" s="1"/>
  <c r="B159" i="2"/>
  <c r="C159" i="2" s="1"/>
  <c r="B50" i="2"/>
  <c r="C50" i="2" s="1"/>
  <c r="B248" i="2"/>
  <c r="C248" i="2" s="1"/>
  <c r="B22" i="2"/>
  <c r="C22" i="2" s="1"/>
  <c r="B322" i="2"/>
  <c r="C322" i="2" s="1"/>
  <c r="B270" i="2"/>
  <c r="C270" i="2" s="1"/>
  <c r="B7" i="2"/>
  <c r="C7" i="2" s="1"/>
  <c r="B138" i="2"/>
  <c r="C138" i="2" s="1"/>
  <c r="B93" i="2"/>
  <c r="C93" i="2" s="1"/>
  <c r="B269" i="2"/>
  <c r="C269" i="2" s="1"/>
  <c r="B274" i="2"/>
  <c r="C274" i="2" s="1"/>
  <c r="B39" i="2"/>
  <c r="C39" i="2" s="1"/>
  <c r="B275" i="2"/>
  <c r="C275" i="2" s="1"/>
  <c r="B36" i="2"/>
  <c r="C36" i="2" s="1"/>
  <c r="B289" i="2"/>
  <c r="C289" i="2" s="1"/>
  <c r="B227" i="2"/>
  <c r="C227" i="2" s="1"/>
  <c r="B308" i="2"/>
  <c r="C308" i="2" s="1"/>
  <c r="B121" i="2"/>
  <c r="C121" i="2" s="1"/>
  <c r="B253" i="2"/>
  <c r="C253" i="2" s="1"/>
  <c r="B72" i="2"/>
  <c r="C72" i="2" s="1"/>
  <c r="B232" i="2"/>
  <c r="C232" i="2" s="1"/>
  <c r="B9" i="2"/>
  <c r="C9" i="2" s="1"/>
  <c r="B257" i="2"/>
  <c r="C257" i="2" s="1"/>
  <c r="B99" i="2"/>
  <c r="C99" i="2" s="1"/>
  <c r="B180" i="2"/>
  <c r="C180" i="2" s="1"/>
  <c r="B271" i="2"/>
  <c r="C271" i="2" s="1"/>
  <c r="B157" i="2"/>
  <c r="C157" i="2" s="1"/>
  <c r="B317" i="2"/>
  <c r="C317" i="2" s="1"/>
  <c r="B277" i="2"/>
  <c r="C277" i="2" s="1"/>
  <c r="B175" i="2"/>
  <c r="C175" i="2" s="1"/>
  <c r="B184" i="2"/>
  <c r="C184" i="2" s="1"/>
  <c r="B225" i="2"/>
  <c r="C225" i="2" s="1"/>
  <c r="B347" i="2"/>
  <c r="C347" i="2" s="1"/>
  <c r="B79" i="2"/>
  <c r="C79" i="2" s="1"/>
  <c r="B4" i="4"/>
  <c r="G4" i="4" s="1"/>
  <c r="B33" i="2"/>
  <c r="C33" i="2" s="1"/>
  <c r="B295" i="2"/>
  <c r="C295" i="2" s="1"/>
  <c r="B187" i="2"/>
  <c r="C187" i="2" s="1"/>
  <c r="B339" i="2"/>
  <c r="C339" i="2" s="1"/>
  <c r="B209" i="2"/>
  <c r="C209" i="2" s="1"/>
  <c r="B342" i="2"/>
  <c r="C342" i="2" s="1"/>
  <c r="B321" i="2"/>
  <c r="C321" i="2" s="1"/>
  <c r="B240" i="2"/>
  <c r="C240" i="2" s="1"/>
  <c r="B105" i="2"/>
  <c r="C105" i="2" s="1"/>
  <c r="B114" i="2"/>
  <c r="C114" i="2" s="1"/>
  <c r="B176" i="2"/>
  <c r="C176" i="2" s="1"/>
  <c r="B155" i="2"/>
  <c r="C155" i="2" s="1"/>
  <c r="B241" i="2"/>
  <c r="C241" i="2" s="1"/>
  <c r="B122" i="2"/>
  <c r="C122" i="2" s="1"/>
  <c r="B103" i="2"/>
  <c r="C103" i="2" s="1"/>
  <c r="B89" i="2"/>
  <c r="C89" i="2" s="1"/>
  <c r="B319" i="2"/>
  <c r="C319" i="2" s="1"/>
  <c r="B8" i="2"/>
  <c r="C8" i="2" s="1"/>
  <c r="B27" i="2"/>
  <c r="C27" i="2" s="1"/>
  <c r="B286" i="2"/>
  <c r="C286" i="2" s="1"/>
  <c r="B188" i="2"/>
  <c r="C188" i="2" s="1"/>
  <c r="B160" i="2"/>
  <c r="C160" i="2" s="1"/>
  <c r="B65" i="2"/>
  <c r="C65" i="2" s="1"/>
  <c r="B190" i="2"/>
  <c r="C190" i="2" s="1"/>
  <c r="B63" i="2"/>
  <c r="C63" i="2" s="1"/>
  <c r="B311" i="2"/>
  <c r="C311" i="2" s="1"/>
  <c r="B336" i="2"/>
  <c r="C336" i="2" s="1"/>
  <c r="B94" i="2"/>
  <c r="C94" i="2" s="1"/>
  <c r="B340" i="2"/>
  <c r="C340" i="2" s="1"/>
  <c r="B104" i="2"/>
  <c r="C104" i="2" s="1"/>
  <c r="B197" i="2"/>
  <c r="C197" i="2" s="1"/>
  <c r="B142" i="2"/>
  <c r="C142" i="2" s="1"/>
  <c r="B119" i="2"/>
  <c r="C119" i="2" s="1"/>
  <c r="B279" i="2"/>
  <c r="C279" i="2" s="1"/>
  <c r="B290" i="2"/>
  <c r="C290" i="2" s="1"/>
  <c r="B55" i="2"/>
  <c r="C55" i="2" s="1"/>
  <c r="B80" i="2"/>
  <c r="C80" i="2" s="1"/>
  <c r="B4" i="2"/>
  <c r="C4" i="2" s="1"/>
  <c r="B10" i="2"/>
  <c r="C10" i="2" s="1"/>
  <c r="B325" i="2"/>
  <c r="C325" i="2" s="1"/>
  <c r="B154" i="2"/>
  <c r="C154" i="2" s="1"/>
  <c r="B265" i="2"/>
  <c r="C265" i="2" s="1"/>
  <c r="B166" i="2"/>
  <c r="C166" i="2" s="1"/>
  <c r="B201" i="2"/>
  <c r="C201" i="2" s="1"/>
  <c r="B34" i="2"/>
  <c r="C34" i="2" s="1"/>
  <c r="B236" i="2"/>
  <c r="C236" i="2" s="1"/>
  <c r="B356" i="2"/>
  <c r="C356" i="2" s="1"/>
  <c r="B309" i="2"/>
  <c r="C309" i="2" s="1"/>
  <c r="B360" i="2"/>
  <c r="C360" i="2" s="1"/>
  <c r="B35" i="2"/>
  <c r="C35" i="2" s="1"/>
  <c r="B116" i="2"/>
  <c r="C116" i="2" s="1"/>
  <c r="B207" i="2"/>
  <c r="C207" i="2" s="1"/>
  <c r="B229" i="2"/>
  <c r="C229" i="2" s="1"/>
  <c r="B213" i="2"/>
  <c r="C213" i="2" s="1"/>
  <c r="B42" i="2"/>
  <c r="C42" i="2" s="1"/>
  <c r="B150" i="2"/>
  <c r="C150" i="2" s="1"/>
  <c r="B215" i="2"/>
  <c r="C215" i="2" s="1"/>
  <c r="B44" i="2"/>
  <c r="C44" i="2" s="1"/>
  <c r="B164" i="2"/>
  <c r="C164" i="2" s="1"/>
  <c r="B117" i="2"/>
  <c r="C117" i="2" s="1"/>
  <c r="B43" i="2"/>
  <c r="C43" i="2" s="1"/>
  <c r="B46" i="2"/>
  <c r="C46" i="2" s="1"/>
  <c r="B84" i="2"/>
  <c r="C84" i="2" s="1"/>
  <c r="B108" i="2"/>
  <c r="C108" i="2" s="1"/>
  <c r="B41" i="2"/>
  <c r="C41" i="2" s="1"/>
  <c r="B87" i="2"/>
  <c r="C87" i="2" s="1"/>
  <c r="B67" i="2"/>
  <c r="C67" i="2" s="1"/>
  <c r="B268" i="2"/>
  <c r="C268" i="2" s="1"/>
  <c r="B100" i="2"/>
  <c r="C100" i="2" s="1"/>
  <c r="B186" i="2"/>
  <c r="C186" i="2" s="1"/>
  <c r="B118" i="2"/>
  <c r="C118" i="2" s="1"/>
  <c r="B346" i="2"/>
  <c r="C346" i="2" s="1"/>
  <c r="B345" i="2"/>
  <c r="C345" i="2" s="1"/>
  <c r="B194" i="2"/>
  <c r="C194" i="2" s="1"/>
  <c r="B211" i="2"/>
  <c r="C211" i="2" s="1"/>
  <c r="B331" i="2"/>
  <c r="C331" i="2" s="1"/>
  <c r="B57" i="2"/>
  <c r="C57" i="2" s="1"/>
  <c r="B132" i="2"/>
  <c r="C132" i="2" s="1"/>
  <c r="B316" i="2"/>
  <c r="C316" i="2" s="1"/>
  <c r="B288" i="2"/>
  <c r="C288" i="2" s="1"/>
  <c r="B13" i="2"/>
  <c r="C13" i="2" s="1"/>
  <c r="B261" i="2"/>
  <c r="C261" i="2" s="1"/>
  <c r="B310" i="2"/>
  <c r="C310" i="2" s="1"/>
  <c r="B83" i="2"/>
  <c r="C83" i="2" s="1"/>
  <c r="B203" i="2"/>
  <c r="C203" i="2" s="1"/>
  <c r="B256" i="2"/>
  <c r="C256" i="2" s="1"/>
  <c r="B231" i="2"/>
  <c r="C231" i="2" s="1"/>
  <c r="B66" i="2"/>
  <c r="C66" i="2" s="1"/>
  <c r="B178" i="2"/>
  <c r="C178" i="2" s="1"/>
  <c r="B222" i="2"/>
  <c r="C222" i="2" s="1"/>
  <c r="B96" i="2"/>
  <c r="C96" i="2" s="1"/>
  <c r="B5" i="2"/>
  <c r="C5" i="2" s="1"/>
  <c r="B54" i="2"/>
  <c r="C54" i="2" s="1"/>
  <c r="B129" i="2"/>
  <c r="C129" i="2" s="1"/>
  <c r="B11" i="2"/>
  <c r="C11" i="2" s="1"/>
  <c r="B64" i="2"/>
  <c r="C64" i="2" s="1"/>
  <c r="B92" i="2"/>
  <c r="C92" i="2" s="1"/>
  <c r="B131" i="2"/>
  <c r="C131" i="2" s="1"/>
  <c r="B220" i="2"/>
  <c r="C220" i="2" s="1"/>
  <c r="B357" i="2"/>
  <c r="C357" i="2" s="1"/>
  <c r="B272" i="2"/>
  <c r="C272" i="2" s="1"/>
  <c r="B69" i="2"/>
  <c r="C69" i="2" s="1"/>
  <c r="B343" i="2"/>
  <c r="C343" i="2" s="1"/>
  <c r="B123" i="2"/>
  <c r="C123" i="2" s="1"/>
  <c r="B216" i="2"/>
  <c r="C216" i="2" s="1"/>
  <c r="B115" i="2"/>
  <c r="C115" i="2" s="1"/>
  <c r="B15" i="2"/>
  <c r="C15" i="2" s="1"/>
  <c r="B296" i="2"/>
  <c r="C296" i="2" s="1"/>
  <c r="B146" i="2"/>
  <c r="C146" i="2" s="1"/>
  <c r="B260" i="2"/>
  <c r="C260" i="2" s="1"/>
  <c r="B153" i="2"/>
  <c r="C153" i="2" s="1"/>
  <c r="B21" i="2"/>
  <c r="C21" i="2" s="1"/>
  <c r="B333" i="2"/>
  <c r="C333" i="2" s="1"/>
  <c r="B152" i="2"/>
  <c r="C152" i="2" s="1"/>
  <c r="B312" i="2"/>
  <c r="C312" i="2" s="1"/>
  <c r="B217" i="2"/>
  <c r="C217" i="2" s="1"/>
  <c r="B250" i="2"/>
  <c r="C250" i="2" s="1"/>
  <c r="B163" i="2"/>
  <c r="C163" i="2" s="1"/>
  <c r="B244" i="2"/>
  <c r="C244" i="2" s="1"/>
  <c r="B335" i="2"/>
  <c r="C335" i="2" s="1"/>
  <c r="B165" i="2"/>
  <c r="C165" i="2" s="1"/>
  <c r="B298" i="2"/>
  <c r="C298" i="2" s="1"/>
  <c r="B144" i="2"/>
  <c r="C144" i="2" s="1"/>
  <c r="B303" i="2"/>
  <c r="C303" i="2" s="1"/>
  <c r="B78" i="2"/>
  <c r="C78" i="2" s="1"/>
  <c r="B326" i="2"/>
  <c r="C326" i="2" s="1"/>
  <c r="B73" i="2"/>
  <c r="C73" i="2" s="1"/>
  <c r="B172" i="2"/>
  <c r="C172" i="2" s="1"/>
  <c r="B292" i="2"/>
  <c r="C292" i="2" s="1"/>
  <c r="B245" i="2"/>
  <c r="C245" i="2" s="1"/>
  <c r="B143" i="2"/>
  <c r="C143" i="2" s="1"/>
  <c r="B287" i="2"/>
  <c r="C287" i="2" s="1"/>
  <c r="B281" i="2"/>
  <c r="C281" i="2" s="1"/>
  <c r="B111" i="2"/>
  <c r="C111" i="2" s="1"/>
  <c r="G3" i="4"/>
  <c r="B276" i="2"/>
  <c r="C276" i="2" s="1"/>
  <c r="B81" i="2"/>
  <c r="C81" i="2" s="1"/>
  <c r="B243" i="2"/>
  <c r="C243" i="2" s="1"/>
  <c r="B61" i="2"/>
  <c r="C61" i="2" s="1"/>
  <c r="B195" i="2"/>
  <c r="C195" i="2" s="1"/>
  <c r="B208" i="2"/>
  <c r="C208" i="2" s="1"/>
  <c r="B323" i="2"/>
  <c r="C323" i="2" s="1"/>
  <c r="B332" i="2"/>
  <c r="C332" i="2" s="1"/>
  <c r="B189" i="2"/>
  <c r="C189" i="2" s="1"/>
  <c r="B228" i="2"/>
  <c r="C228" i="2" s="1"/>
  <c r="B193" i="2"/>
  <c r="C193" i="2" s="1"/>
  <c r="B95" i="2"/>
  <c r="C95" i="2" s="1"/>
  <c r="B24" i="2"/>
  <c r="C24" i="2" s="1"/>
  <c r="B70" i="2"/>
  <c r="C70" i="2" s="1"/>
  <c r="B82" i="2"/>
  <c r="C82" i="2" s="1"/>
  <c r="B107" i="2"/>
  <c r="C107" i="2" s="1"/>
  <c r="B291" i="2"/>
  <c r="C291" i="2" s="1"/>
  <c r="B361" i="2"/>
  <c r="C361" i="2" s="1"/>
  <c r="B31" i="2"/>
  <c r="C31" i="2" s="1"/>
  <c r="B191" i="2"/>
  <c r="C191" i="2" s="1"/>
  <c r="B26" i="2"/>
  <c r="C26" i="2" s="1"/>
  <c r="B145" i="2"/>
  <c r="C145" i="2" s="1"/>
  <c r="B88" i="2"/>
  <c r="C88" i="2" s="1"/>
  <c r="B91" i="2"/>
  <c r="C91" i="2" s="1"/>
  <c r="B350" i="2"/>
  <c r="C350" i="2" s="1"/>
  <c r="B113" i="2"/>
  <c r="C113" i="2" s="1"/>
  <c r="B23" i="2"/>
  <c r="C23" i="2" s="1"/>
  <c r="B318" i="2"/>
  <c r="C318" i="2" s="1"/>
  <c r="B173" i="2"/>
  <c r="C173" i="2" s="1"/>
  <c r="B230" i="2"/>
  <c r="C230" i="2" s="1"/>
  <c r="B19" i="2"/>
  <c r="C19" i="2" s="1"/>
  <c r="B139" i="2"/>
  <c r="C139" i="2" s="1"/>
  <c r="B192" i="2"/>
  <c r="C192" i="2" s="1"/>
  <c r="B158" i="2"/>
  <c r="C158" i="2" s="1"/>
  <c r="B134" i="2"/>
  <c r="C134" i="2" s="1"/>
  <c r="B294" i="2"/>
  <c r="C294" i="2" s="1"/>
  <c r="B126" i="2"/>
  <c r="C126" i="2" s="1"/>
  <c r="B263" i="2"/>
  <c r="C263" i="2" s="1"/>
  <c r="B200" i="2"/>
  <c r="C200" i="2" s="1"/>
  <c r="B223" i="2"/>
  <c r="C223" i="2" s="1"/>
  <c r="B85" i="2"/>
  <c r="C85" i="2" s="1"/>
  <c r="B353" i="2"/>
  <c r="C353" i="2" s="1"/>
  <c r="B20" i="2"/>
  <c r="C20" i="2" s="1"/>
  <c r="B304" i="2"/>
  <c r="C304" i="2" s="1"/>
  <c r="B179" i="2"/>
  <c r="C179" i="2" s="1"/>
  <c r="B234" i="2"/>
  <c r="C234" i="2" s="1"/>
  <c r="B130" i="2"/>
  <c r="C130" i="2" s="1"/>
  <c r="B305" i="2"/>
  <c r="C305" i="2" s="1"/>
  <c r="B255" i="2"/>
  <c r="C255" i="2" s="1"/>
  <c r="B74" i="2"/>
  <c r="C74" i="2" s="1"/>
  <c r="B40" i="2"/>
  <c r="C40" i="2" s="1"/>
  <c r="B204" i="2"/>
  <c r="C204" i="2" s="1"/>
  <c r="B75" i="2"/>
  <c r="C75" i="2" s="1"/>
  <c r="B16" i="2"/>
  <c r="C16" i="2" s="1"/>
  <c r="B264" i="2"/>
  <c r="C264" i="2" s="1"/>
  <c r="B219" i="2"/>
  <c r="C219" i="2" s="1"/>
  <c r="B162" i="2"/>
  <c r="C162" i="2" s="1"/>
  <c r="B297" i="2"/>
  <c r="C297" i="2" s="1"/>
  <c r="B38" i="2"/>
  <c r="C38" i="2" s="1"/>
  <c r="B106" i="2"/>
  <c r="C106" i="2" s="1"/>
  <c r="B246" i="2"/>
  <c r="C246" i="2" s="1"/>
  <c r="B226" i="2"/>
  <c r="C226" i="2" s="1"/>
  <c r="B330" i="2"/>
  <c r="C330" i="2" s="1"/>
  <c r="B300" i="2"/>
  <c r="C300" i="2" s="1"/>
  <c r="B137" i="2"/>
  <c r="C137" i="2" s="1"/>
  <c r="B237" i="2"/>
  <c r="C237" i="2" s="1"/>
  <c r="B233" i="2"/>
  <c r="C233" i="2" s="1"/>
  <c r="B341" i="2"/>
  <c r="C341" i="2" s="1"/>
  <c r="B77" i="2"/>
  <c r="C77" i="2" s="1"/>
  <c r="B329" i="2"/>
  <c r="C329" i="2" s="1"/>
  <c r="B56" i="2"/>
  <c r="C56" i="2" s="1"/>
  <c r="B239" i="2"/>
  <c r="C239" i="2" s="1"/>
  <c r="B181" i="2"/>
  <c r="C181" i="2" s="1"/>
  <c r="B141" i="2"/>
  <c r="C141" i="2" s="1"/>
  <c r="B149" i="2"/>
  <c r="C149" i="2" s="1"/>
  <c r="B110" i="2"/>
  <c r="C110" i="2" s="1"/>
  <c r="B71" i="2"/>
  <c r="C71" i="2" s="1"/>
  <c r="B183" i="2"/>
  <c r="C183" i="2" s="1"/>
  <c r="B112" i="2"/>
  <c r="C112" i="2" s="1"/>
  <c r="B238" i="2"/>
  <c r="C238" i="2" s="1"/>
  <c r="B285" i="2"/>
  <c r="C285" i="2" s="1"/>
  <c r="B127" i="2"/>
  <c r="C127" i="2" s="1"/>
  <c r="B182" i="2"/>
  <c r="C182" i="2" s="1"/>
  <c r="B120" i="2"/>
  <c r="C120" i="2" s="1"/>
  <c r="B136" i="2"/>
  <c r="C136" i="2" s="1"/>
  <c r="B51" i="2"/>
  <c r="C51" i="2" s="1"/>
  <c r="B124" i="2"/>
  <c r="C124" i="2" s="1"/>
  <c r="B30" i="2"/>
  <c r="C30" i="2" s="1"/>
  <c r="B273" i="2"/>
  <c r="C273" i="2" s="1"/>
  <c r="B135" i="2"/>
  <c r="C135" i="2" s="1"/>
  <c r="B168" i="2"/>
  <c r="C168" i="2" s="1"/>
  <c r="B218" i="2"/>
  <c r="C218" i="2" s="1"/>
  <c r="B352" i="2"/>
  <c r="C352" i="2" s="1"/>
  <c r="B101" i="2"/>
  <c r="C101" i="2" s="1"/>
  <c r="B349" i="2"/>
  <c r="C349" i="2" s="1"/>
  <c r="B169" i="2"/>
  <c r="C169" i="2" s="1"/>
  <c r="B147" i="2"/>
  <c r="C147" i="2" s="1"/>
  <c r="B267" i="2"/>
  <c r="C267" i="2" s="1"/>
  <c r="B320" i="2"/>
  <c r="C320" i="2" s="1"/>
  <c r="B68" i="2"/>
  <c r="C68" i="2" s="1"/>
  <c r="B252" i="2"/>
  <c r="C252" i="2" s="1"/>
  <c r="B224" i="2"/>
  <c r="C224" i="2" s="1"/>
  <c r="B302" i="2"/>
  <c r="C302" i="2" s="1"/>
  <c r="B90" i="2"/>
  <c r="C90" i="2" s="1"/>
  <c r="B254" i="2"/>
  <c r="C254" i="2" s="1"/>
  <c r="B128" i="2"/>
  <c r="C128" i="2" s="1"/>
  <c r="B235" i="2"/>
  <c r="C235" i="2" s="1"/>
  <c r="B60" i="2"/>
  <c r="C60" i="2" s="1"/>
  <c r="B32" i="2"/>
  <c r="C32" i="2" s="1"/>
  <c r="C25" i="7"/>
  <c r="G25" i="7"/>
  <c r="G225" i="7"/>
  <c r="C225" i="7"/>
  <c r="G215" i="7"/>
  <c r="C215" i="7"/>
  <c r="G163" i="7"/>
  <c r="C163" i="7"/>
  <c r="C85" i="7"/>
  <c r="G85" i="7"/>
  <c r="C117" i="9"/>
  <c r="G117" i="9"/>
  <c r="G201" i="7"/>
  <c r="C201" i="7"/>
  <c r="C53" i="9"/>
  <c r="G53" i="9"/>
  <c r="G289" i="5"/>
  <c r="C289" i="5"/>
  <c r="C342" i="7"/>
  <c r="G342" i="7"/>
  <c r="G91" i="7"/>
  <c r="C91" i="7"/>
  <c r="C336" i="7"/>
  <c r="G336" i="7"/>
  <c r="G319" i="5"/>
  <c r="C319" i="5"/>
  <c r="C143" i="7"/>
  <c r="G143" i="7"/>
  <c r="G214" i="7"/>
  <c r="C214" i="7"/>
  <c r="G230" i="7"/>
  <c r="C230" i="7"/>
  <c r="G324" i="5"/>
  <c r="C324" i="5"/>
  <c r="G80" i="7"/>
  <c r="G155" i="7"/>
  <c r="C155" i="7"/>
  <c r="G52" i="9"/>
  <c r="C52" i="9"/>
  <c r="G89" i="7"/>
  <c r="C89" i="7"/>
  <c r="C104" i="9"/>
  <c r="G104" i="9"/>
  <c r="G264" i="7"/>
  <c r="C264" i="7"/>
  <c r="G316" i="9"/>
  <c r="C316" i="9"/>
  <c r="C166" i="7"/>
  <c r="G166" i="7"/>
  <c r="G353" i="9"/>
  <c r="C353" i="9"/>
  <c r="C66" i="7"/>
  <c r="G66" i="7"/>
  <c r="G273" i="5"/>
  <c r="C273" i="5"/>
  <c r="G321" i="9"/>
  <c r="C321" i="9"/>
  <c r="G352" i="7"/>
  <c r="C352" i="7"/>
  <c r="G276" i="5"/>
  <c r="C276" i="5"/>
  <c r="C295" i="7"/>
  <c r="G295" i="7"/>
  <c r="C93" i="9"/>
  <c r="G93" i="9"/>
  <c r="C341" i="7"/>
  <c r="G341" i="7"/>
  <c r="C349" i="7"/>
  <c r="G349" i="7"/>
  <c r="G224" i="7"/>
  <c r="C224" i="7"/>
  <c r="G232" i="7"/>
  <c r="C232" i="7"/>
  <c r="C303" i="9"/>
  <c r="G303" i="9"/>
  <c r="G150" i="5"/>
  <c r="C150" i="5"/>
  <c r="G158" i="9"/>
  <c r="C158" i="9"/>
  <c r="G209" i="9"/>
  <c r="C209" i="9"/>
  <c r="G223" i="9"/>
  <c r="C223" i="9"/>
  <c r="C15" i="7"/>
  <c r="G15" i="7"/>
  <c r="C212" i="9"/>
  <c r="G212" i="9"/>
  <c r="G109" i="7"/>
  <c r="C109" i="7"/>
  <c r="G349" i="5"/>
  <c r="C349" i="5"/>
  <c r="G247" i="7"/>
  <c r="C247" i="7"/>
  <c r="G238" i="7"/>
  <c r="C103" i="7"/>
  <c r="G103" i="7"/>
  <c r="G146" i="7"/>
  <c r="C63" i="7"/>
  <c r="G63" i="7"/>
  <c r="G153" i="7"/>
  <c r="C164" i="9"/>
  <c r="G164" i="9"/>
  <c r="G257" i="7"/>
  <c r="C257" i="7"/>
  <c r="G181" i="9"/>
  <c r="C181" i="9"/>
  <c r="G183" i="5"/>
  <c r="C183" i="5"/>
  <c r="C67" i="7"/>
  <c r="G67" i="7"/>
  <c r="C176" i="7"/>
  <c r="G176" i="7"/>
  <c r="C98" i="9"/>
  <c r="G98" i="9"/>
  <c r="G147" i="7"/>
  <c r="C147" i="7"/>
  <c r="C136" i="7"/>
  <c r="G136" i="7"/>
  <c r="G177" i="9"/>
  <c r="C177" i="9"/>
  <c r="G213" i="7"/>
  <c r="C213" i="7"/>
  <c r="G244" i="9"/>
  <c r="C244" i="9"/>
  <c r="G223" i="7"/>
  <c r="C223" i="7"/>
  <c r="C44" i="9"/>
  <c r="G44" i="9"/>
  <c r="C300" i="9"/>
  <c r="G300" i="9"/>
  <c r="G36" i="5"/>
  <c r="C36" i="5"/>
  <c r="G99" i="7"/>
  <c r="C99" i="7"/>
  <c r="G172" i="5"/>
  <c r="C172" i="5"/>
  <c r="C354" i="7"/>
  <c r="G354" i="7"/>
  <c r="G358" i="7"/>
  <c r="C358" i="7"/>
  <c r="G209" i="7"/>
  <c r="G241" i="5"/>
  <c r="C241" i="5"/>
  <c r="G213" i="9"/>
  <c r="C213" i="9"/>
  <c r="C122" i="9"/>
  <c r="G122" i="9"/>
  <c r="C130" i="9"/>
  <c r="G130" i="9"/>
  <c r="C58" i="9"/>
  <c r="G58" i="9"/>
  <c r="C135" i="7"/>
  <c r="G135" i="7"/>
  <c r="C79" i="7"/>
  <c r="G79" i="7"/>
  <c r="G150" i="7"/>
  <c r="C150" i="7"/>
  <c r="G205" i="9"/>
  <c r="C205" i="9"/>
  <c r="C62" i="9"/>
  <c r="G62" i="9"/>
  <c r="C302" i="7"/>
  <c r="G302" i="7"/>
  <c r="G189" i="9"/>
  <c r="C189" i="9"/>
  <c r="G148" i="9"/>
  <c r="C148" i="9"/>
  <c r="G337" i="5"/>
  <c r="C337" i="5"/>
  <c r="G332" i="9"/>
  <c r="C332" i="9"/>
  <c r="C110" i="7"/>
  <c r="G110" i="7"/>
  <c r="C165" i="7"/>
  <c r="G165" i="7"/>
  <c r="G323" i="9"/>
  <c r="C323" i="9"/>
  <c r="C136" i="9"/>
  <c r="G136" i="9"/>
  <c r="G8" i="9"/>
  <c r="C8" i="9"/>
  <c r="C297" i="7"/>
  <c r="G297" i="7"/>
  <c r="C56" i="7"/>
  <c r="G56" i="7"/>
  <c r="G360" i="7"/>
  <c r="C360" i="7"/>
  <c r="C55" i="7"/>
  <c r="G55" i="7"/>
  <c r="G146" i="9"/>
  <c r="C146" i="9"/>
  <c r="G332" i="5"/>
  <c r="C332" i="5"/>
  <c r="G229" i="7"/>
  <c r="C229" i="7"/>
  <c r="G273" i="9"/>
  <c r="C273" i="9"/>
  <c r="C288" i="7"/>
  <c r="G288" i="7"/>
  <c r="G293" i="9"/>
  <c r="C293" i="9"/>
  <c r="C24" i="9"/>
  <c r="G24" i="9"/>
  <c r="G160" i="9"/>
  <c r="C160" i="9"/>
  <c r="G108" i="9"/>
  <c r="G21" i="7"/>
  <c r="C100" i="9"/>
  <c r="G100" i="9"/>
  <c r="G152" i="9"/>
  <c r="C152" i="9"/>
  <c r="C112" i="7"/>
  <c r="G112" i="7"/>
  <c r="C117" i="7"/>
  <c r="G117" i="7"/>
  <c r="G311" i="5"/>
  <c r="C311" i="5"/>
  <c r="C62" i="7"/>
  <c r="G62" i="7"/>
  <c r="G190" i="7"/>
  <c r="C190" i="7"/>
  <c r="G263" i="9"/>
  <c r="C263" i="9"/>
  <c r="G241" i="9"/>
  <c r="C241" i="9"/>
  <c r="C73" i="7"/>
  <c r="G73" i="7"/>
  <c r="G248" i="7"/>
  <c r="C248" i="7"/>
  <c r="G361" i="9"/>
  <c r="C361" i="9"/>
  <c r="C125" i="9"/>
  <c r="G125" i="9"/>
  <c r="G313" i="9"/>
  <c r="C313" i="9"/>
  <c r="C189" i="7"/>
  <c r="G189" i="7"/>
  <c r="G32" i="5"/>
  <c r="C32" i="5"/>
  <c r="G44" i="5"/>
  <c r="C44" i="5"/>
  <c r="C5" i="9"/>
  <c r="G5" i="9"/>
  <c r="G253" i="9"/>
  <c r="C253" i="9"/>
  <c r="G271" i="9"/>
  <c r="C271" i="9"/>
  <c r="C48" i="9"/>
  <c r="G48" i="9"/>
  <c r="G120" i="7"/>
  <c r="C83" i="7"/>
  <c r="G83" i="7"/>
  <c r="G121" i="7"/>
  <c r="G149" i="7"/>
  <c r="G199" i="9"/>
  <c r="C199" i="9"/>
  <c r="G305" i="5"/>
  <c r="C305" i="5"/>
  <c r="G249" i="5"/>
  <c r="C249" i="5"/>
  <c r="C289" i="9"/>
  <c r="G289" i="9"/>
  <c r="G335" i="7"/>
  <c r="C335" i="7"/>
  <c r="C286" i="7"/>
  <c r="G286" i="7"/>
  <c r="G269" i="9"/>
  <c r="C269" i="9"/>
  <c r="G138" i="9"/>
  <c r="C138" i="9"/>
  <c r="G150" i="9"/>
  <c r="C150" i="9"/>
  <c r="G115" i="7"/>
  <c r="C115" i="7"/>
  <c r="G229" i="5"/>
  <c r="C229" i="5"/>
  <c r="G92" i="5"/>
  <c r="C92" i="5"/>
  <c r="C72" i="9"/>
  <c r="G72" i="9"/>
  <c r="C104" i="7"/>
  <c r="G104" i="7"/>
  <c r="C75" i="7"/>
  <c r="G75" i="7"/>
  <c r="C349" i="9"/>
  <c r="G349" i="9"/>
  <c r="G144" i="9"/>
  <c r="C144" i="9"/>
  <c r="C280" i="7"/>
  <c r="G280" i="7"/>
  <c r="G199" i="7"/>
  <c r="C199" i="7"/>
  <c r="G183" i="7"/>
  <c r="C183" i="7"/>
  <c r="G287" i="9"/>
  <c r="C287" i="9"/>
  <c r="G337" i="9"/>
  <c r="C337" i="9"/>
  <c r="G140" i="9"/>
  <c r="C140" i="9"/>
  <c r="C51" i="7"/>
  <c r="G51" i="7"/>
  <c r="G357" i="7"/>
  <c r="C357" i="7"/>
  <c r="C81" i="7"/>
  <c r="G81" i="7"/>
  <c r="C327" i="7"/>
  <c r="G327" i="7"/>
  <c r="C318" i="7"/>
  <c r="G318" i="7"/>
  <c r="G253" i="7"/>
  <c r="G168" i="7"/>
  <c r="G181" i="5"/>
  <c r="C181" i="5"/>
  <c r="G37" i="5"/>
  <c r="C37" i="5"/>
  <c r="G245" i="7"/>
  <c r="C245" i="7"/>
  <c r="C127" i="7"/>
  <c r="G127" i="7"/>
  <c r="C101" i="9"/>
  <c r="G101" i="9"/>
  <c r="G327" i="9"/>
  <c r="C327" i="9"/>
  <c r="C112" i="9"/>
  <c r="G112" i="9"/>
  <c r="G188" i="9"/>
  <c r="C188" i="9"/>
  <c r="C133" i="9"/>
  <c r="G133" i="9"/>
  <c r="C28" i="9"/>
  <c r="G28" i="9"/>
  <c r="C45" i="7"/>
  <c r="G45" i="7"/>
  <c r="G196" i="5"/>
  <c r="C196" i="5"/>
  <c r="C47" i="7"/>
  <c r="G47" i="7"/>
  <c r="G168" i="9"/>
  <c r="C168" i="9"/>
  <c r="G40" i="5"/>
  <c r="C40" i="5"/>
  <c r="G120" i="5"/>
  <c r="C120" i="5"/>
  <c r="C32" i="9"/>
  <c r="G32" i="9"/>
  <c r="C120" i="9"/>
  <c r="G120" i="9"/>
  <c r="G270" i="7"/>
  <c r="G206" i="7"/>
  <c r="G269" i="7"/>
  <c r="G159" i="7"/>
  <c r="G277" i="7"/>
  <c r="G233" i="5"/>
  <c r="C233" i="5"/>
  <c r="G313" i="5"/>
  <c r="C313" i="5"/>
  <c r="G300" i="5"/>
  <c r="C300" i="5"/>
  <c r="C308" i="9"/>
  <c r="G308" i="9"/>
  <c r="G61" i="9"/>
  <c r="C61" i="9"/>
  <c r="G205" i="7"/>
  <c r="C205" i="7"/>
  <c r="G343" i="9"/>
  <c r="C343" i="9"/>
  <c r="G351" i="5"/>
  <c r="C351" i="5"/>
  <c r="G4" i="9"/>
  <c r="C4" i="9"/>
  <c r="G293" i="5"/>
  <c r="C293" i="5"/>
  <c r="C301" i="9"/>
  <c r="G301" i="9"/>
  <c r="G160" i="5"/>
  <c r="C160" i="5"/>
  <c r="C82" i="9"/>
  <c r="G82" i="9"/>
  <c r="G123" i="7"/>
  <c r="C123" i="7"/>
  <c r="C7" i="7"/>
  <c r="G7" i="7"/>
  <c r="C93" i="7"/>
  <c r="G93" i="7"/>
  <c r="G239" i="9"/>
  <c r="C239" i="9"/>
  <c r="G222" i="7"/>
  <c r="C222" i="7"/>
  <c r="C61" i="7"/>
  <c r="G61" i="7"/>
  <c r="C76" i="9"/>
  <c r="G76" i="9"/>
  <c r="G156" i="9"/>
  <c r="C156" i="9"/>
  <c r="C109" i="9"/>
  <c r="G109" i="9"/>
  <c r="C54" i="7"/>
  <c r="G54" i="7"/>
  <c r="G204" i="5"/>
  <c r="C204" i="5"/>
  <c r="G184" i="7"/>
  <c r="C184" i="7"/>
  <c r="G107" i="7"/>
  <c r="C107" i="7"/>
  <c r="G93" i="5"/>
  <c r="C93" i="5"/>
  <c r="G337" i="7"/>
  <c r="C9" i="7"/>
  <c r="G9" i="7"/>
  <c r="G296" i="7"/>
  <c r="C126" i="7"/>
  <c r="G126" i="7"/>
  <c r="G245" i="5"/>
  <c r="C245" i="5"/>
  <c r="G16" i="9"/>
  <c r="G165" i="5"/>
  <c r="C165" i="5"/>
  <c r="C31" i="7"/>
  <c r="G31" i="7"/>
  <c r="G255" i="7"/>
  <c r="C255" i="7"/>
  <c r="G247" i="9"/>
  <c r="C247" i="9"/>
  <c r="G207" i="7"/>
  <c r="C207" i="7"/>
  <c r="G333" i="9"/>
  <c r="C333" i="9"/>
  <c r="G215" i="9"/>
  <c r="C215" i="9"/>
  <c r="C46" i="7"/>
  <c r="G46" i="7"/>
  <c r="G325" i="9"/>
  <c r="C325" i="9"/>
  <c r="C144" i="7"/>
  <c r="G144" i="7"/>
  <c r="G197" i="9"/>
  <c r="C197" i="9"/>
  <c r="C305" i="9"/>
  <c r="G305" i="9"/>
  <c r="C271" i="7"/>
  <c r="G271" i="7"/>
  <c r="C151" i="7"/>
  <c r="G151" i="7"/>
  <c r="C125" i="7"/>
  <c r="G125" i="7"/>
  <c r="G138" i="5"/>
  <c r="C138" i="5"/>
  <c r="G328" i="7"/>
  <c r="C39" i="7"/>
  <c r="G39" i="7"/>
  <c r="G287" i="7"/>
  <c r="C290" i="7"/>
  <c r="G290" i="7"/>
  <c r="G361" i="5"/>
  <c r="C361" i="5"/>
  <c r="G252" i="9"/>
  <c r="C252" i="9"/>
  <c r="C132" i="9"/>
  <c r="G132" i="9"/>
  <c r="G137" i="7"/>
  <c r="C137" i="7"/>
  <c r="C95" i="7"/>
  <c r="G95" i="7"/>
  <c r="C257" i="9"/>
  <c r="G257" i="9"/>
  <c r="C68" i="9"/>
  <c r="G68" i="9"/>
  <c r="C38" i="7"/>
  <c r="G38" i="7"/>
  <c r="G24" i="5"/>
  <c r="C24" i="5"/>
  <c r="G225" i="9"/>
  <c r="C225" i="9"/>
  <c r="G359" i="9"/>
  <c r="C359" i="9"/>
  <c r="G254" i="7"/>
  <c r="C254" i="7"/>
  <c r="C152" i="7"/>
  <c r="G152" i="7"/>
  <c r="G221" i="7"/>
  <c r="C221" i="7"/>
  <c r="C70" i="7"/>
  <c r="G70" i="7"/>
  <c r="C311" i="7"/>
  <c r="G311" i="7"/>
  <c r="C29" i="7"/>
  <c r="G29" i="7"/>
  <c r="G5" i="7"/>
  <c r="C5" i="7"/>
  <c r="G285" i="5"/>
  <c r="C285" i="5"/>
  <c r="C310" i="7"/>
  <c r="G310" i="7"/>
  <c r="C37" i="7"/>
  <c r="G37" i="7"/>
  <c r="G13" i="9"/>
  <c r="C13" i="9"/>
  <c r="C35" i="7"/>
  <c r="G35" i="7"/>
  <c r="G157" i="9"/>
  <c r="C157" i="9"/>
  <c r="G161" i="7"/>
  <c r="C161" i="7"/>
  <c r="C312" i="7"/>
  <c r="G312" i="7"/>
  <c r="G262" i="7"/>
  <c r="C262" i="7"/>
  <c r="C30" i="7"/>
  <c r="G30" i="7"/>
  <c r="G309" i="5"/>
  <c r="C309" i="5"/>
  <c r="G16" i="5"/>
  <c r="C16" i="5"/>
  <c r="C57" i="7"/>
  <c r="G57" i="7"/>
  <c r="G217" i="9"/>
  <c r="C217" i="9"/>
  <c r="G237" i="7"/>
  <c r="C237" i="7"/>
  <c r="G207" i="9"/>
  <c r="C207" i="9"/>
  <c r="C333" i="7"/>
  <c r="G333" i="7"/>
  <c r="G279" i="9"/>
  <c r="C279" i="9"/>
  <c r="C13" i="7"/>
  <c r="G13" i="7"/>
  <c r="G197" i="7"/>
  <c r="C197" i="7"/>
  <c r="C343" i="7"/>
  <c r="G343" i="7"/>
  <c r="C294" i="7"/>
  <c r="G294" i="7"/>
  <c r="C114" i="9"/>
  <c r="G114" i="9"/>
  <c r="C69" i="9"/>
  <c r="G69" i="9"/>
  <c r="C64" i="7"/>
  <c r="G64" i="7"/>
  <c r="G261" i="7"/>
  <c r="C261" i="7"/>
  <c r="G252" i="5"/>
  <c r="C252" i="5"/>
  <c r="G185" i="9"/>
  <c r="C185" i="9"/>
  <c r="G168" i="5"/>
  <c r="C168" i="5"/>
  <c r="C141" i="7"/>
  <c r="G141" i="7"/>
  <c r="G233" i="9"/>
  <c r="C233" i="9"/>
  <c r="G86" i="7"/>
  <c r="G249" i="9"/>
  <c r="G317" i="9"/>
  <c r="C317" i="9"/>
  <c r="C116" i="9"/>
  <c r="G116" i="9"/>
  <c r="C77" i="7"/>
  <c r="G77" i="7"/>
  <c r="C142" i="7"/>
  <c r="G142" i="7"/>
  <c r="C69" i="7"/>
  <c r="G69" i="7"/>
  <c r="G40" i="9"/>
  <c r="C40" i="9"/>
  <c r="C41" i="7"/>
  <c r="G41" i="7"/>
  <c r="C351" i="7"/>
  <c r="G351" i="7"/>
  <c r="G268" i="9"/>
  <c r="C268" i="9"/>
  <c r="C21" i="9"/>
  <c r="G21" i="9"/>
  <c r="C22" i="7"/>
  <c r="G22" i="7"/>
  <c r="C27" i="7"/>
  <c r="G27" i="7"/>
  <c r="C111" i="7"/>
  <c r="G111" i="7"/>
  <c r="G12" i="9"/>
  <c r="C12" i="9"/>
  <c r="G141" i="9"/>
  <c r="C141" i="9"/>
  <c r="G241" i="7"/>
  <c r="C241" i="7"/>
  <c r="G220" i="9"/>
  <c r="C220" i="9"/>
  <c r="G193" i="9"/>
  <c r="C193" i="9"/>
  <c r="G177" i="7"/>
  <c r="C177" i="7"/>
  <c r="G239" i="7"/>
  <c r="C239" i="7"/>
  <c r="C6" i="7"/>
  <c r="G6" i="7"/>
  <c r="G60" i="5"/>
  <c r="C60" i="5"/>
  <c r="G157" i="7"/>
  <c r="C157" i="7"/>
  <c r="G72" i="5"/>
  <c r="C72" i="5"/>
  <c r="G182" i="7"/>
  <c r="C182" i="7"/>
  <c r="C128" i="9"/>
  <c r="G128" i="9"/>
  <c r="G353" i="7"/>
  <c r="C353" i="7"/>
  <c r="C80" i="9"/>
  <c r="G80" i="9"/>
  <c r="G88" i="7"/>
  <c r="G179" i="7"/>
  <c r="G101" i="7"/>
  <c r="C20" i="9"/>
  <c r="G20" i="9"/>
  <c r="C131" i="7"/>
  <c r="G131" i="7"/>
  <c r="C53" i="7"/>
  <c r="G53" i="7"/>
  <c r="G247" i="5"/>
  <c r="C247" i="5"/>
  <c r="C304" i="7"/>
  <c r="G304" i="7"/>
  <c r="G218" i="7"/>
  <c r="C218" i="7"/>
  <c r="C281" i="9"/>
  <c r="G281" i="9"/>
  <c r="G361" i="7"/>
  <c r="C361" i="7"/>
  <c r="G100" i="5"/>
  <c r="C100" i="5"/>
  <c r="G261" i="9"/>
  <c r="C261" i="9"/>
  <c r="G335" i="9"/>
  <c r="C335" i="9"/>
  <c r="C45" i="9"/>
  <c r="G45" i="9"/>
  <c r="G277" i="9"/>
  <c r="C277" i="9"/>
  <c r="G193" i="7"/>
  <c r="C193" i="7"/>
  <c r="C325" i="7"/>
  <c r="G325" i="7"/>
  <c r="C124" i="9"/>
  <c r="G124" i="9"/>
  <c r="G263" i="7"/>
  <c r="C263" i="7"/>
  <c r="C133" i="7"/>
  <c r="G133" i="7"/>
  <c r="C320" i="7"/>
  <c r="G320" i="7"/>
  <c r="G198" i="7"/>
  <c r="C198" i="7"/>
  <c r="G199" i="5"/>
  <c r="C199" i="5"/>
  <c r="C72" i="7"/>
  <c r="G72" i="7"/>
  <c r="G185" i="5"/>
  <c r="C185" i="5"/>
  <c r="G350" i="7"/>
  <c r="G256" i="7"/>
  <c r="C256" i="7"/>
  <c r="G180" i="9"/>
  <c r="C180" i="9"/>
  <c r="G273" i="7"/>
  <c r="C273" i="7"/>
  <c r="G260" i="9"/>
  <c r="C260" i="9"/>
  <c r="C278" i="7"/>
  <c r="G278" i="7"/>
  <c r="C134" i="7"/>
  <c r="G134" i="7"/>
  <c r="C57" i="9"/>
  <c r="G57" i="9"/>
  <c r="G272" i="7"/>
  <c r="C272" i="7"/>
  <c r="G305" i="7"/>
  <c r="C305" i="7"/>
  <c r="G221" i="9"/>
  <c r="C221" i="9"/>
  <c r="G265" i="9"/>
  <c r="C265" i="9"/>
  <c r="C118" i="7"/>
  <c r="G118" i="7"/>
  <c r="C60" i="9"/>
  <c r="G60" i="9"/>
  <c r="G236" i="9"/>
  <c r="C236" i="9"/>
  <c r="G201" i="9"/>
  <c r="C201" i="9"/>
  <c r="C14" i="7"/>
  <c r="G14" i="7"/>
  <c r="G217" i="7"/>
  <c r="C217" i="7"/>
  <c r="G97" i="7"/>
  <c r="C97" i="7"/>
  <c r="G293" i="7"/>
  <c r="C293" i="7"/>
  <c r="C102" i="7"/>
  <c r="G102" i="7"/>
  <c r="G140" i="5"/>
  <c r="C140" i="5"/>
  <c r="C77" i="9"/>
  <c r="G77" i="9"/>
  <c r="G109" i="5"/>
  <c r="C109" i="5"/>
  <c r="C175" i="7"/>
  <c r="G175" i="7"/>
  <c r="G29" i="5"/>
  <c r="C29" i="5"/>
  <c r="G146" i="5"/>
  <c r="C146" i="5"/>
  <c r="G68" i="5"/>
  <c r="C68" i="5"/>
  <c r="C90" i="9"/>
  <c r="G90" i="9"/>
  <c r="G255" i="9"/>
  <c r="G88" i="9"/>
  <c r="C88" i="9"/>
  <c r="C37" i="9"/>
  <c r="G37" i="9"/>
  <c r="G185" i="7"/>
  <c r="C185" i="7"/>
  <c r="G309" i="7"/>
  <c r="G345" i="9"/>
  <c r="C345" i="9"/>
  <c r="C326" i="7"/>
  <c r="G326" i="7"/>
  <c r="G292" i="9"/>
  <c r="C292" i="9"/>
  <c r="C301" i="7"/>
  <c r="G301" i="7"/>
  <c r="C17" i="7"/>
  <c r="G17" i="7"/>
  <c r="G228" i="9"/>
  <c r="C228" i="9"/>
  <c r="G319" i="9"/>
  <c r="C319" i="9"/>
  <c r="C87" i="7"/>
  <c r="G87" i="7"/>
  <c r="C19" i="7"/>
  <c r="G19" i="7"/>
  <c r="G341" i="9"/>
  <c r="C341" i="9"/>
  <c r="C128" i="7"/>
  <c r="G128" i="7"/>
  <c r="G233" i="7"/>
  <c r="C233" i="7"/>
  <c r="C78" i="7"/>
  <c r="G78" i="7"/>
  <c r="C96" i="9"/>
  <c r="G96" i="9"/>
  <c r="G96" i="5"/>
  <c r="C96" i="5"/>
  <c r="G263" i="5"/>
  <c r="C263" i="5"/>
  <c r="G200" i="7"/>
  <c r="C200" i="7"/>
  <c r="C94" i="7"/>
  <c r="G94" i="7"/>
  <c r="G132" i="5"/>
  <c r="C132" i="5"/>
  <c r="G105" i="7"/>
  <c r="G169" i="7"/>
  <c r="G36" i="9"/>
  <c r="C36" i="9"/>
  <c r="C33" i="7"/>
  <c r="G33" i="7"/>
  <c r="C265" i="7"/>
  <c r="G265" i="7"/>
  <c r="C324" i="9"/>
  <c r="G324" i="9"/>
  <c r="C11" i="7"/>
  <c r="G11" i="7"/>
  <c r="C50" i="9"/>
  <c r="G50" i="9"/>
  <c r="C158" i="7"/>
  <c r="G158" i="7"/>
  <c r="G171" i="7"/>
  <c r="C171" i="7"/>
  <c r="C334" i="7"/>
  <c r="G334" i="7"/>
  <c r="G329" i="9"/>
  <c r="C329" i="9"/>
  <c r="G209" i="5"/>
  <c r="C209" i="5"/>
  <c r="G167" i="7"/>
  <c r="C167" i="7"/>
  <c r="G173" i="9"/>
  <c r="C173" i="9"/>
  <c r="G246" i="7"/>
  <c r="C246" i="7"/>
  <c r="C29" i="9"/>
  <c r="G29" i="9"/>
  <c r="G237" i="9"/>
  <c r="C237" i="9"/>
  <c r="G285" i="9"/>
  <c r="C285" i="9"/>
  <c r="C96" i="7"/>
  <c r="G96" i="7"/>
  <c r="G113" i="7"/>
  <c r="C113" i="7"/>
  <c r="G175" i="9"/>
  <c r="C175" i="9"/>
  <c r="G204" i="9"/>
  <c r="C204" i="9"/>
  <c r="C174" i="7"/>
  <c r="G174" i="7"/>
  <c r="G276" i="9"/>
  <c r="C276" i="9"/>
  <c r="C66" i="9"/>
  <c r="G66" i="9"/>
  <c r="C303" i="7"/>
  <c r="G303" i="7"/>
  <c r="G284" i="9"/>
  <c r="C284" i="9"/>
  <c r="G359" i="7"/>
  <c r="C359" i="7"/>
  <c r="G357" i="9"/>
  <c r="C357" i="9"/>
  <c r="G351" i="9"/>
  <c r="C71" i="7"/>
  <c r="G71" i="7"/>
  <c r="C85" i="9"/>
  <c r="G85" i="9"/>
  <c r="G119" i="7"/>
  <c r="G183" i="9"/>
  <c r="C165" i="9"/>
  <c r="G165" i="9"/>
  <c r="G319" i="7"/>
  <c r="G139" i="7"/>
  <c r="C139" i="7"/>
  <c r="G164" i="5"/>
  <c r="C164" i="5"/>
  <c r="G20" i="5"/>
  <c r="C20" i="5"/>
  <c r="C173" i="7"/>
  <c r="G173" i="7"/>
  <c r="G129" i="7"/>
  <c r="C129" i="7"/>
  <c r="C84" i="9"/>
  <c r="G84" i="9"/>
  <c r="M5" i="3"/>
  <c r="C4" i="4"/>
  <c r="N6" i="3"/>
  <c r="N7" i="3" s="1"/>
  <c r="N8" i="3" s="1"/>
  <c r="N9" i="3" s="1"/>
  <c r="N10" i="3" s="1"/>
  <c r="N11" i="3" s="1"/>
  <c r="N12" i="3" s="1"/>
  <c r="N13" i="3" s="1"/>
  <c r="N14" i="3" s="1"/>
  <c r="N15" i="3" s="1"/>
  <c r="N16" i="3" s="1"/>
  <c r="N17" i="3" s="1"/>
  <c r="N18" i="3" s="1"/>
  <c r="N19" i="3" s="1"/>
  <c r="N20" i="3" s="1"/>
  <c r="N21" i="3" s="1"/>
  <c r="N22" i="3" s="1"/>
  <c r="N23" i="3" s="1"/>
  <c r="N24" i="3" s="1"/>
  <c r="N25" i="3" s="1"/>
  <c r="N26" i="3" s="1"/>
  <c r="N27" i="3" s="1"/>
  <c r="N28" i="3" s="1"/>
  <c r="N29" i="3" s="1"/>
  <c r="N30" i="3" s="1"/>
  <c r="N31" i="3" s="1"/>
  <c r="N32" i="3" s="1"/>
  <c r="N33" i="3" s="1"/>
  <c r="N34" i="3" s="1"/>
  <c r="N35" i="3" s="1"/>
  <c r="N36" i="3" s="1"/>
  <c r="N37" i="3" s="1"/>
  <c r="N38" i="3" s="1"/>
  <c r="N39" i="3" s="1"/>
  <c r="N40" i="3" s="1"/>
  <c r="N41" i="3" s="1"/>
  <c r="N42" i="3" s="1"/>
  <c r="N43" i="3" s="1"/>
  <c r="N44" i="3" s="1"/>
  <c r="N45" i="3" s="1"/>
  <c r="N46" i="3" s="1"/>
  <c r="N47" i="3" s="1"/>
  <c r="N48" i="3" s="1"/>
  <c r="N49" i="3" s="1"/>
  <c r="N50" i="3" s="1"/>
  <c r="N51" i="3" s="1"/>
  <c r="N52" i="3" s="1"/>
  <c r="N53" i="3" s="1"/>
  <c r="N54" i="3" s="1"/>
  <c r="N55" i="3" s="1"/>
  <c r="N56" i="3" s="1"/>
  <c r="N57" i="3" s="1"/>
  <c r="N58" i="3" s="1"/>
  <c r="N59" i="3" s="1"/>
  <c r="N60" i="3" s="1"/>
  <c r="N61" i="3" s="1"/>
  <c r="N62" i="3" s="1"/>
  <c r="N63" i="3" s="1"/>
  <c r="N64" i="3" s="1"/>
  <c r="N65" i="3" s="1"/>
  <c r="N66" i="3" s="1"/>
  <c r="N67" i="3" s="1"/>
  <c r="N68" i="3" s="1"/>
  <c r="N69" i="3" s="1"/>
  <c r="N70" i="3" s="1"/>
  <c r="N71" i="3" s="1"/>
  <c r="N72" i="3" s="1"/>
  <c r="N73" i="3" s="1"/>
  <c r="N74" i="3" s="1"/>
  <c r="N75" i="3" s="1"/>
  <c r="N76" i="3" s="1"/>
  <c r="N77" i="3" s="1"/>
  <c r="N78" i="3" s="1"/>
  <c r="N79" i="3" s="1"/>
  <c r="N80" i="3" s="1"/>
  <c r="N81" i="3" s="1"/>
  <c r="N82" i="3" s="1"/>
  <c r="N83" i="3" s="1"/>
  <c r="N84" i="3" s="1"/>
  <c r="N85" i="3" s="1"/>
  <c r="N86" i="3" s="1"/>
  <c r="N87" i="3" s="1"/>
  <c r="N88" i="3" s="1"/>
  <c r="N89" i="3" s="1"/>
  <c r="N90" i="3" s="1"/>
  <c r="N91" i="3" s="1"/>
  <c r="N92" i="3" s="1"/>
  <c r="N93" i="3" s="1"/>
  <c r="N94" i="3" s="1"/>
  <c r="N95" i="3" s="1"/>
  <c r="N96" i="3" s="1"/>
  <c r="N97" i="3" s="1"/>
  <c r="N98" i="3" s="1"/>
  <c r="N99" i="3" s="1"/>
  <c r="N100" i="3" s="1"/>
  <c r="N101" i="3" s="1"/>
  <c r="N102" i="3" s="1"/>
  <c r="N103" i="3" s="1"/>
  <c r="N104" i="3" s="1"/>
  <c r="N105" i="3" s="1"/>
  <c r="N106" i="3" s="1"/>
  <c r="N107" i="3" s="1"/>
  <c r="N108" i="3" s="1"/>
  <c r="N109" i="3" s="1"/>
  <c r="N110" i="3" s="1"/>
  <c r="N111" i="3" s="1"/>
  <c r="N112" i="3" s="1"/>
  <c r="N113" i="3" s="1"/>
  <c r="N114" i="3" s="1"/>
  <c r="N115" i="3" s="1"/>
  <c r="N116" i="3" s="1"/>
  <c r="N117" i="3" s="1"/>
  <c r="N118" i="3" s="1"/>
  <c r="N119" i="3" s="1"/>
  <c r="N120" i="3" s="1"/>
  <c r="N121" i="3" s="1"/>
  <c r="N122" i="3" s="1"/>
  <c r="N123" i="3" s="1"/>
  <c r="N124" i="3" s="1"/>
  <c r="N125" i="3" s="1"/>
  <c r="N126" i="3" s="1"/>
  <c r="N127" i="3" s="1"/>
  <c r="N128" i="3" s="1"/>
  <c r="N129" i="3" s="1"/>
  <c r="N130" i="3" s="1"/>
  <c r="N131" i="3" s="1"/>
  <c r="N132" i="3" s="1"/>
  <c r="N133" i="3" s="1"/>
  <c r="N134" i="3" s="1"/>
  <c r="N135" i="3" s="1"/>
  <c r="N136" i="3" s="1"/>
  <c r="N137" i="3" s="1"/>
  <c r="N138" i="3" s="1"/>
  <c r="N139" i="3" s="1"/>
  <c r="N140" i="3" s="1"/>
  <c r="N141" i="3" s="1"/>
  <c r="N142" i="3" s="1"/>
  <c r="N143" i="3" s="1"/>
  <c r="N144" i="3" s="1"/>
  <c r="N145" i="3" s="1"/>
  <c r="N146" i="3" s="1"/>
  <c r="N147" i="3" s="1"/>
  <c r="N148" i="3" s="1"/>
  <c r="N149" i="3" s="1"/>
  <c r="N150" i="3" s="1"/>
  <c r="N151" i="3" s="1"/>
  <c r="N152" i="3" s="1"/>
  <c r="N153" i="3" s="1"/>
  <c r="N154" i="3" s="1"/>
  <c r="N155" i="3" s="1"/>
  <c r="N156" i="3" s="1"/>
  <c r="N157" i="3" s="1"/>
  <c r="N158" i="3" s="1"/>
  <c r="N159" i="3" s="1"/>
  <c r="N160" i="3" s="1"/>
  <c r="N161" i="3" s="1"/>
  <c r="N162" i="3" s="1"/>
  <c r="N163" i="3" s="1"/>
  <c r="N164" i="3" s="1"/>
  <c r="N165" i="3" s="1"/>
  <c r="N166" i="3" s="1"/>
  <c r="N167" i="3" s="1"/>
  <c r="N168" i="3" s="1"/>
  <c r="N169" i="3" s="1"/>
  <c r="N170" i="3" s="1"/>
  <c r="N171" i="3" s="1"/>
  <c r="N172" i="3" s="1"/>
  <c r="N173" i="3" s="1"/>
  <c r="N174" i="3" s="1"/>
  <c r="N175" i="3" s="1"/>
  <c r="N176" i="3" s="1"/>
  <c r="N177" i="3" s="1"/>
  <c r="N178" i="3" s="1"/>
  <c r="N179" i="3" s="1"/>
  <c r="N180" i="3" s="1"/>
  <c r="N181" i="3" s="1"/>
  <c r="N182" i="3" s="1"/>
  <c r="N183" i="3" s="1"/>
  <c r="N184" i="3" s="1"/>
  <c r="N185" i="3" s="1"/>
  <c r="N186" i="3" s="1"/>
  <c r="N187" i="3" s="1"/>
  <c r="N188" i="3" s="1"/>
  <c r="N189" i="3" s="1"/>
  <c r="N190" i="3" s="1"/>
  <c r="N191" i="3" s="1"/>
  <c r="N192" i="3" s="1"/>
  <c r="N193" i="3" s="1"/>
  <c r="N194" i="3" s="1"/>
  <c r="N195" i="3" s="1"/>
  <c r="N196" i="3" s="1"/>
  <c r="N197" i="3" s="1"/>
  <c r="N198" i="3" s="1"/>
  <c r="N199" i="3" s="1"/>
  <c r="N200" i="3" s="1"/>
  <c r="N201" i="3" s="1"/>
  <c r="N202" i="3" s="1"/>
  <c r="N203" i="3" s="1"/>
  <c r="N204" i="3" s="1"/>
  <c r="N205" i="3" s="1"/>
  <c r="N206" i="3" s="1"/>
  <c r="N207" i="3" s="1"/>
  <c r="N208" i="3" s="1"/>
  <c r="N209" i="3" s="1"/>
  <c r="N210" i="3" s="1"/>
  <c r="N211" i="3" s="1"/>
  <c r="N212" i="3" s="1"/>
  <c r="N213" i="3" s="1"/>
  <c r="N214" i="3" s="1"/>
  <c r="N215" i="3" s="1"/>
  <c r="N216" i="3" s="1"/>
  <c r="N217" i="3" s="1"/>
  <c r="N218" i="3" s="1"/>
  <c r="N219" i="3" s="1"/>
  <c r="N220" i="3" s="1"/>
  <c r="N221" i="3" s="1"/>
  <c r="N222" i="3" s="1"/>
  <c r="N223" i="3" s="1"/>
  <c r="N224" i="3" s="1"/>
  <c r="N225" i="3" s="1"/>
  <c r="N226" i="3" s="1"/>
  <c r="N227" i="3" s="1"/>
  <c r="N228" i="3" s="1"/>
  <c r="N229" i="3" s="1"/>
  <c r="N230" i="3" s="1"/>
  <c r="N231" i="3" s="1"/>
  <c r="N232" i="3" s="1"/>
  <c r="N233" i="3" s="1"/>
  <c r="N234" i="3" s="1"/>
  <c r="N235" i="3" s="1"/>
  <c r="N236" i="3" s="1"/>
  <c r="N237" i="3" s="1"/>
  <c r="N238" i="3" s="1"/>
  <c r="N239" i="3" s="1"/>
  <c r="N240" i="3" s="1"/>
  <c r="N241" i="3" s="1"/>
  <c r="N242" i="3" s="1"/>
  <c r="N243" i="3" s="1"/>
  <c r="N244" i="3" s="1"/>
  <c r="N245" i="3" s="1"/>
  <c r="N246" i="3" s="1"/>
  <c r="N247" i="3" s="1"/>
  <c r="N248" i="3" s="1"/>
  <c r="N249" i="3" s="1"/>
  <c r="N250" i="3" s="1"/>
  <c r="N251" i="3" s="1"/>
  <c r="N252" i="3" s="1"/>
  <c r="N253" i="3" s="1"/>
  <c r="N254" i="3" s="1"/>
  <c r="N255" i="3" s="1"/>
  <c r="N256" i="3" s="1"/>
  <c r="N257" i="3" s="1"/>
  <c r="N258" i="3" s="1"/>
  <c r="N259" i="3" s="1"/>
  <c r="N260" i="3" s="1"/>
  <c r="N261" i="3" s="1"/>
  <c r="N262" i="3" s="1"/>
  <c r="N263" i="3" s="1"/>
  <c r="N264" i="3" s="1"/>
  <c r="N265" i="3" s="1"/>
  <c r="N266" i="3" s="1"/>
  <c r="N267" i="3" s="1"/>
  <c r="N268" i="3" s="1"/>
  <c r="N269" i="3" s="1"/>
  <c r="N270" i="3" s="1"/>
  <c r="N271" i="3" s="1"/>
  <c r="N272" i="3" s="1"/>
  <c r="N273" i="3" s="1"/>
  <c r="N274" i="3" s="1"/>
  <c r="N275" i="3" s="1"/>
  <c r="N276" i="3" s="1"/>
  <c r="N277" i="3" s="1"/>
  <c r="N278" i="3" s="1"/>
  <c r="N279" i="3" s="1"/>
  <c r="N280" i="3" s="1"/>
  <c r="N281" i="3" s="1"/>
  <c r="N282" i="3" s="1"/>
  <c r="N283" i="3" s="1"/>
  <c r="N284" i="3" s="1"/>
  <c r="N285" i="3" s="1"/>
  <c r="N286" i="3" s="1"/>
  <c r="N287" i="3" s="1"/>
  <c r="N288" i="3" s="1"/>
  <c r="N289" i="3" s="1"/>
  <c r="N290" i="3" s="1"/>
  <c r="N291" i="3" s="1"/>
  <c r="N292" i="3" s="1"/>
  <c r="N293" i="3" s="1"/>
  <c r="N294" i="3" s="1"/>
  <c r="N295" i="3" s="1"/>
  <c r="N296" i="3" s="1"/>
  <c r="N297" i="3" s="1"/>
  <c r="N298" i="3" s="1"/>
  <c r="N299" i="3" s="1"/>
  <c r="N300" i="3" s="1"/>
  <c r="N301" i="3" s="1"/>
  <c r="N302" i="3" s="1"/>
  <c r="N303" i="3" s="1"/>
  <c r="N304" i="3" s="1"/>
  <c r="N305" i="3" s="1"/>
  <c r="N306" i="3" s="1"/>
  <c r="N307" i="3" s="1"/>
  <c r="N308" i="3" s="1"/>
  <c r="N309" i="3" s="1"/>
  <c r="N310" i="3" s="1"/>
  <c r="N311" i="3" s="1"/>
  <c r="N312" i="3" s="1"/>
  <c r="N313" i="3" s="1"/>
  <c r="N314" i="3" s="1"/>
  <c r="N315" i="3" s="1"/>
  <c r="N316" i="3" s="1"/>
  <c r="N317" i="3" s="1"/>
  <c r="N318" i="3" s="1"/>
  <c r="N319" i="3" s="1"/>
  <c r="N320" i="3" s="1"/>
  <c r="N321" i="3" s="1"/>
  <c r="N322" i="3" s="1"/>
  <c r="N323" i="3" s="1"/>
  <c r="N324" i="3" s="1"/>
  <c r="N325" i="3" s="1"/>
  <c r="N326" i="3" s="1"/>
  <c r="N327" i="3" s="1"/>
  <c r="N328" i="3" s="1"/>
  <c r="N329" i="3" s="1"/>
  <c r="N330" i="3" s="1"/>
  <c r="N331" i="3" s="1"/>
  <c r="N332" i="3" s="1"/>
  <c r="N333" i="3" s="1"/>
  <c r="N334" i="3" s="1"/>
  <c r="N335" i="3" s="1"/>
  <c r="N336" i="3" s="1"/>
  <c r="N337" i="3" s="1"/>
  <c r="N338" i="3" s="1"/>
  <c r="N339" i="3" s="1"/>
  <c r="N340" i="3" s="1"/>
  <c r="N341" i="3" s="1"/>
  <c r="N342" i="3" s="1"/>
  <c r="N343" i="3" s="1"/>
  <c r="N344" i="3" s="1"/>
  <c r="N345" i="3" s="1"/>
  <c r="N346" i="3" s="1"/>
  <c r="N347" i="3" s="1"/>
  <c r="N348" i="3" s="1"/>
  <c r="N349" i="3" s="1"/>
  <c r="N350" i="3" s="1"/>
  <c r="N351" i="3" s="1"/>
  <c r="N352" i="3" s="1"/>
  <c r="N353" i="3" s="1"/>
  <c r="N354" i="3" s="1"/>
  <c r="N355" i="3" s="1"/>
  <c r="N356" i="3" s="1"/>
  <c r="N357" i="3" s="1"/>
  <c r="N358" i="3" s="1"/>
  <c r="N359" i="3" s="1"/>
  <c r="N360" i="3" s="1"/>
  <c r="N361" i="3" s="1"/>
  <c r="N362" i="3" s="1"/>
  <c r="N363" i="3" s="1"/>
  <c r="E5" i="4"/>
  <c r="D5" i="4"/>
  <c r="H4" i="4"/>
  <c r="F5" i="4"/>
  <c r="B5" i="4" l="1"/>
  <c r="M6" i="3"/>
  <c r="D6" i="4"/>
  <c r="H5" i="4"/>
  <c r="F6" i="4"/>
  <c r="E6" i="4"/>
  <c r="B6" i="4" l="1"/>
  <c r="G6" i="4" s="1"/>
  <c r="C5" i="4"/>
  <c r="G5" i="4"/>
  <c r="M7" i="3"/>
  <c r="D7" i="4"/>
  <c r="H6" i="4"/>
  <c r="E7" i="4"/>
  <c r="F7" i="4"/>
  <c r="C6" i="4" l="1"/>
  <c r="B7" i="4"/>
  <c r="C7" i="4" s="1"/>
  <c r="M8" i="3"/>
  <c r="D8" i="4"/>
  <c r="E8" i="4"/>
  <c r="F8" i="4"/>
  <c r="H7" i="4"/>
  <c r="G7" i="4" l="1"/>
  <c r="B8" i="4"/>
  <c r="G8" i="4" s="1"/>
  <c r="M9" i="3"/>
  <c r="H8" i="4"/>
  <c r="D9" i="4"/>
  <c r="E9" i="4"/>
  <c r="F9" i="4"/>
  <c r="C8" i="4" l="1"/>
  <c r="B9" i="4"/>
  <c r="C9" i="4" s="1"/>
  <c r="M10" i="3"/>
  <c r="D10" i="4"/>
  <c r="E10" i="4"/>
  <c r="H9" i="4"/>
  <c r="F10" i="4"/>
  <c r="G9" i="4" l="1"/>
  <c r="B10" i="4"/>
  <c r="G10" i="4" s="1"/>
  <c r="C10" i="4"/>
  <c r="M11" i="3"/>
  <c r="D11" i="4"/>
  <c r="E11" i="4"/>
  <c r="H10" i="4"/>
  <c r="F11" i="4"/>
  <c r="B11" i="4" l="1"/>
  <c r="C11" i="4" s="1"/>
  <c r="M12" i="3"/>
  <c r="D12" i="4"/>
  <c r="H11" i="4"/>
  <c r="E12" i="4"/>
  <c r="F12" i="4"/>
  <c r="G11" i="4" l="1"/>
  <c r="B12" i="4"/>
  <c r="C12" i="4" s="1"/>
  <c r="M13" i="3"/>
  <c r="D13" i="4"/>
  <c r="E13" i="4"/>
  <c r="F13" i="4"/>
  <c r="H12" i="4"/>
  <c r="G12" i="4" l="1"/>
  <c r="B13" i="4"/>
  <c r="G13" i="4" s="1"/>
  <c r="M14" i="3"/>
  <c r="D14" i="4"/>
  <c r="E14" i="4"/>
  <c r="F14" i="4"/>
  <c r="H13" i="4"/>
  <c r="C13" i="4" l="1"/>
  <c r="B14" i="4"/>
  <c r="G14" i="4" s="1"/>
  <c r="M15" i="3"/>
  <c r="D15" i="4"/>
  <c r="H14" i="4"/>
  <c r="E15" i="4"/>
  <c r="F15" i="4"/>
  <c r="C14" i="4" l="1"/>
  <c r="B15" i="4"/>
  <c r="C15" i="4" s="1"/>
  <c r="M16" i="3"/>
  <c r="E16" i="4"/>
  <c r="F16" i="4"/>
  <c r="H15" i="4"/>
  <c r="D16" i="4"/>
  <c r="G15" i="4" l="1"/>
  <c r="B16" i="4"/>
  <c r="C16" i="4" s="1"/>
  <c r="M17" i="3"/>
  <c r="D17" i="4"/>
  <c r="E17" i="4"/>
  <c r="F17" i="4"/>
  <c r="H16" i="4"/>
  <c r="G16" i="4" l="1"/>
  <c r="B17" i="4"/>
  <c r="G17" i="4" s="1"/>
  <c r="M18" i="3"/>
  <c r="D18" i="4"/>
  <c r="H17" i="4"/>
  <c r="E18" i="4"/>
  <c r="F18" i="4"/>
  <c r="C17" i="4" l="1"/>
  <c r="B18" i="4"/>
  <c r="C18" i="4" s="1"/>
  <c r="M19" i="3"/>
  <c r="D19" i="4"/>
  <c r="F19" i="4"/>
  <c r="E19" i="4"/>
  <c r="H18" i="4"/>
  <c r="G18" i="4" l="1"/>
  <c r="B19" i="4"/>
  <c r="G19" i="4" s="1"/>
  <c r="M20" i="3"/>
  <c r="D20" i="4"/>
  <c r="H19" i="4"/>
  <c r="E20" i="4"/>
  <c r="F20" i="4"/>
  <c r="C19" i="4" l="1"/>
  <c r="B20" i="4"/>
  <c r="G20" i="4" s="1"/>
  <c r="M21" i="3"/>
  <c r="D21" i="4"/>
  <c r="H20" i="4"/>
  <c r="F21" i="4"/>
  <c r="E21" i="4"/>
  <c r="C20" i="4" l="1"/>
  <c r="B21" i="4"/>
  <c r="C21" i="4" s="1"/>
  <c r="M22" i="3"/>
  <c r="D22" i="4"/>
  <c r="F22" i="4"/>
  <c r="E22" i="4"/>
  <c r="H21" i="4"/>
  <c r="G21" i="4" l="1"/>
  <c r="B22" i="4"/>
  <c r="C22" i="4" s="1"/>
  <c r="M23" i="3"/>
  <c r="D23" i="4"/>
  <c r="F23" i="4"/>
  <c r="E23" i="4"/>
  <c r="H22" i="4"/>
  <c r="G22" i="4" l="1"/>
  <c r="B23" i="4"/>
  <c r="C23" i="4" s="1"/>
  <c r="M24" i="3"/>
  <c r="D24" i="4"/>
  <c r="H23" i="4"/>
  <c r="F24" i="4"/>
  <c r="E24" i="4"/>
  <c r="G23" i="4" l="1"/>
  <c r="B24" i="4"/>
  <c r="G24" i="4" s="1"/>
  <c r="M25" i="3"/>
  <c r="D25" i="4"/>
  <c r="F25" i="4"/>
  <c r="H24" i="4"/>
  <c r="E25" i="4"/>
  <c r="C24" i="4" l="1"/>
  <c r="B25" i="4"/>
  <c r="G25" i="4" s="1"/>
  <c r="C25" i="4"/>
  <c r="M26" i="3"/>
  <c r="D26" i="4"/>
  <c r="F26" i="4"/>
  <c r="H25" i="4"/>
  <c r="E26" i="4"/>
  <c r="B26" i="4" l="1"/>
  <c r="C26" i="4" s="1"/>
  <c r="M27" i="3"/>
  <c r="D27" i="4"/>
  <c r="E27" i="4"/>
  <c r="F27" i="4"/>
  <c r="H26" i="4"/>
  <c r="G26" i="4" l="1"/>
  <c r="B27" i="4"/>
  <c r="C27" i="4" s="1"/>
  <c r="M28" i="3"/>
  <c r="D28" i="4"/>
  <c r="E28" i="4"/>
  <c r="H27" i="4"/>
  <c r="F28" i="4"/>
  <c r="G27" i="4" l="1"/>
  <c r="B28" i="4"/>
  <c r="C28" i="4" s="1"/>
  <c r="G28" i="4"/>
  <c r="M29" i="3"/>
  <c r="D29" i="4"/>
  <c r="F29" i="4"/>
  <c r="E29" i="4"/>
  <c r="H28" i="4"/>
  <c r="B29" i="4" l="1"/>
  <c r="C29" i="4" s="1"/>
  <c r="G29" i="4"/>
  <c r="M30" i="3"/>
  <c r="D30" i="4"/>
  <c r="F30" i="4"/>
  <c r="E30" i="4"/>
  <c r="H29" i="4"/>
  <c r="B30" i="4" l="1"/>
  <c r="C30" i="4" s="1"/>
  <c r="G30" i="4"/>
  <c r="M31" i="3"/>
  <c r="D31" i="4"/>
  <c r="F31" i="4"/>
  <c r="H30" i="4"/>
  <c r="E31" i="4"/>
  <c r="B31" i="4" l="1"/>
  <c r="G31" i="4" s="1"/>
  <c r="M32" i="3"/>
  <c r="D32" i="4"/>
  <c r="F32" i="4"/>
  <c r="H31" i="4"/>
  <c r="E32" i="4"/>
  <c r="C31" i="4" l="1"/>
  <c r="B32" i="4"/>
  <c r="C32" i="4" s="1"/>
  <c r="M33" i="3"/>
  <c r="H32" i="4"/>
  <c r="D33" i="4"/>
  <c r="E33" i="4"/>
  <c r="F33" i="4"/>
  <c r="G32" i="4" l="1"/>
  <c r="B33" i="4"/>
  <c r="C33" i="4" s="1"/>
  <c r="G33" i="4"/>
  <c r="M34" i="3"/>
  <c r="E34" i="4"/>
  <c r="F34" i="4"/>
  <c r="D34" i="4"/>
  <c r="H33" i="4"/>
  <c r="B34" i="4" l="1"/>
  <c r="C34" i="4" s="1"/>
  <c r="M35" i="3"/>
  <c r="D35" i="4"/>
  <c r="F35" i="4"/>
  <c r="H34" i="4"/>
  <c r="E35" i="4"/>
  <c r="G34" i="4" l="1"/>
  <c r="B35" i="4"/>
  <c r="G35" i="4" s="1"/>
  <c r="C35" i="4"/>
  <c r="M36" i="3"/>
  <c r="D36" i="4"/>
  <c r="H35" i="4"/>
  <c r="F36" i="4"/>
  <c r="E36" i="4"/>
  <c r="B36" i="4" l="1"/>
  <c r="G36" i="4" s="1"/>
  <c r="M37" i="3"/>
  <c r="D37" i="4"/>
  <c r="E37" i="4"/>
  <c r="F37" i="4"/>
  <c r="H36" i="4"/>
  <c r="C36" i="4" l="1"/>
  <c r="B37" i="4"/>
  <c r="C37" i="4" s="1"/>
  <c r="M38" i="3"/>
  <c r="D38" i="4"/>
  <c r="H37" i="4"/>
  <c r="F38" i="4"/>
  <c r="E38" i="4"/>
  <c r="G37" i="4" l="1"/>
  <c r="B38" i="4"/>
  <c r="G38" i="4" s="1"/>
  <c r="M39" i="3"/>
  <c r="H38" i="4"/>
  <c r="E39" i="4"/>
  <c r="D39" i="4"/>
  <c r="F39" i="4"/>
  <c r="C38" i="4" l="1"/>
  <c r="B39" i="4"/>
  <c r="C39" i="4" s="1"/>
  <c r="M40" i="3"/>
  <c r="F40" i="4"/>
  <c r="E40" i="4"/>
  <c r="H39" i="4"/>
  <c r="D40" i="4"/>
  <c r="G39" i="4" l="1"/>
  <c r="B40" i="4"/>
  <c r="C40" i="4" s="1"/>
  <c r="M41" i="3"/>
  <c r="G40" i="4"/>
  <c r="D41" i="4"/>
  <c r="H40" i="4"/>
  <c r="E41" i="4"/>
  <c r="F41" i="4"/>
  <c r="B41" i="4" l="1"/>
  <c r="G41" i="4" s="1"/>
  <c r="M42" i="3"/>
  <c r="H41" i="4"/>
  <c r="D42" i="4"/>
  <c r="E42" i="4"/>
  <c r="F42" i="4"/>
  <c r="C41" i="4" l="1"/>
  <c r="B42" i="4"/>
  <c r="C42" i="4" s="1"/>
  <c r="M43" i="3"/>
  <c r="D43" i="4"/>
  <c r="E43" i="4"/>
  <c r="F43" i="4"/>
  <c r="H42" i="4"/>
  <c r="G42" i="4" l="1"/>
  <c r="B43" i="4"/>
  <c r="C43" i="4" s="1"/>
  <c r="M44" i="3"/>
  <c r="D44" i="4"/>
  <c r="E44" i="4"/>
  <c r="F44" i="4"/>
  <c r="H43" i="4"/>
  <c r="G43" i="4" l="1"/>
  <c r="B44" i="4"/>
  <c r="G44" i="4"/>
  <c r="C44" i="4"/>
  <c r="M45" i="3"/>
  <c r="D45" i="4"/>
  <c r="H44" i="4"/>
  <c r="E45" i="4"/>
  <c r="F45" i="4"/>
  <c r="B45" i="4" l="1"/>
  <c r="G45" i="4" s="1"/>
  <c r="M46" i="3"/>
  <c r="D46" i="4"/>
  <c r="F46" i="4"/>
  <c r="E46" i="4"/>
  <c r="H45" i="4"/>
  <c r="C45" i="4" l="1"/>
  <c r="B46" i="4"/>
  <c r="G46" i="4" s="1"/>
  <c r="M47" i="3"/>
  <c r="F47" i="4"/>
  <c r="D47" i="4"/>
  <c r="H46" i="4"/>
  <c r="E47" i="4"/>
  <c r="B47" i="4" l="1"/>
  <c r="G47" i="4" s="1"/>
  <c r="C46" i="4"/>
  <c r="M48" i="3"/>
  <c r="D48" i="4"/>
  <c r="F48" i="4"/>
  <c r="E48" i="4"/>
  <c r="H47" i="4"/>
  <c r="B48" i="4" l="1"/>
  <c r="G48" i="4" s="1"/>
  <c r="C47" i="4"/>
  <c r="M49" i="3"/>
  <c r="H48" i="4"/>
  <c r="D49" i="4"/>
  <c r="F49" i="4"/>
  <c r="E49" i="4"/>
  <c r="C48" i="4" l="1"/>
  <c r="B49" i="4"/>
  <c r="G49" i="4" s="1"/>
  <c r="M50" i="3"/>
  <c r="D50" i="4"/>
  <c r="F50" i="4"/>
  <c r="H49" i="4"/>
  <c r="E50" i="4"/>
  <c r="C49" i="4" l="1"/>
  <c r="B50" i="4"/>
  <c r="C50" i="4" s="1"/>
  <c r="M51" i="3"/>
  <c r="H50" i="4"/>
  <c r="E51" i="4"/>
  <c r="D51" i="4"/>
  <c r="F51" i="4"/>
  <c r="G50" i="4" l="1"/>
  <c r="B51" i="4"/>
  <c r="C51" i="4" s="1"/>
  <c r="M52" i="3"/>
  <c r="E52" i="4"/>
  <c r="D52" i="4"/>
  <c r="F52" i="4"/>
  <c r="H51" i="4"/>
  <c r="B52" i="4" l="1"/>
  <c r="G52" i="4" s="1"/>
  <c r="G51" i="4"/>
  <c r="M53" i="3"/>
  <c r="E53" i="4"/>
  <c r="D53" i="4"/>
  <c r="H52" i="4"/>
  <c r="F53" i="4"/>
  <c r="C52" i="4" l="1"/>
  <c r="B53" i="4"/>
  <c r="G53" i="4" s="1"/>
  <c r="M54" i="3"/>
  <c r="D54" i="4"/>
  <c r="H53" i="4"/>
  <c r="E54" i="4"/>
  <c r="F54" i="4"/>
  <c r="C53" i="4" l="1"/>
  <c r="B54" i="4"/>
  <c r="G54" i="4" s="1"/>
  <c r="C54" i="4"/>
  <c r="M55" i="3"/>
  <c r="D55" i="4"/>
  <c r="F55" i="4"/>
  <c r="H54" i="4"/>
  <c r="E55" i="4"/>
  <c r="B55" i="4" l="1"/>
  <c r="G55" i="4" s="1"/>
  <c r="M56" i="3"/>
  <c r="D56" i="4"/>
  <c r="E56" i="4"/>
  <c r="H55" i="4"/>
  <c r="F56" i="4"/>
  <c r="C55" i="4" l="1"/>
  <c r="B56" i="4"/>
  <c r="G56" i="4" s="1"/>
  <c r="M57" i="3"/>
  <c r="D57" i="4"/>
  <c r="H56" i="4"/>
  <c r="F57" i="4"/>
  <c r="E57" i="4"/>
  <c r="C56" i="4" l="1"/>
  <c r="B57" i="4"/>
  <c r="C57" i="4" s="1"/>
  <c r="M58" i="3"/>
  <c r="D58" i="4"/>
  <c r="H57" i="4"/>
  <c r="F58" i="4"/>
  <c r="E58" i="4"/>
  <c r="G57" i="4" l="1"/>
  <c r="B58" i="4"/>
  <c r="M59" i="3"/>
  <c r="G58" i="4"/>
  <c r="C58" i="4"/>
  <c r="D59" i="4"/>
  <c r="E59" i="4"/>
  <c r="F59" i="4"/>
  <c r="H58" i="4"/>
  <c r="B59" i="4" l="1"/>
  <c r="C59" i="4" s="1"/>
  <c r="M60" i="3"/>
  <c r="D60" i="4"/>
  <c r="H59" i="4"/>
  <c r="E60" i="4"/>
  <c r="F60" i="4"/>
  <c r="G59" i="4" l="1"/>
  <c r="B60" i="4"/>
  <c r="C60" i="4" s="1"/>
  <c r="M61" i="3"/>
  <c r="D61" i="4"/>
  <c r="H60" i="4"/>
  <c r="E61" i="4"/>
  <c r="F61" i="4"/>
  <c r="G60" i="4" l="1"/>
  <c r="B61" i="4"/>
  <c r="G61" i="4" s="1"/>
  <c r="M62" i="3"/>
  <c r="D62" i="4"/>
  <c r="F62" i="4"/>
  <c r="H61" i="4"/>
  <c r="E62" i="4"/>
  <c r="C61" i="4" l="1"/>
  <c r="B62" i="4"/>
  <c r="G62" i="4" s="1"/>
  <c r="M63" i="3"/>
  <c r="H62" i="4"/>
  <c r="D63" i="4"/>
  <c r="F63" i="4"/>
  <c r="E63" i="4"/>
  <c r="B63" i="4" l="1"/>
  <c r="G63" i="4" s="1"/>
  <c r="C62" i="4"/>
  <c r="M64" i="3"/>
  <c r="H63" i="4"/>
  <c r="D64" i="4"/>
  <c r="F64" i="4"/>
  <c r="E64" i="4"/>
  <c r="C63" i="4" l="1"/>
  <c r="B64" i="4"/>
  <c r="G64" i="4" s="1"/>
  <c r="M65" i="3"/>
  <c r="D65" i="4"/>
  <c r="E65" i="4"/>
  <c r="H64" i="4"/>
  <c r="F65" i="4"/>
  <c r="B65" i="4" l="1"/>
  <c r="G65" i="4" s="1"/>
  <c r="C64" i="4"/>
  <c r="M66" i="3"/>
  <c r="H65" i="4"/>
  <c r="D66" i="4"/>
  <c r="E66" i="4"/>
  <c r="F66" i="4"/>
  <c r="B66" i="4" l="1"/>
  <c r="C66" i="4" s="1"/>
  <c r="C65" i="4"/>
  <c r="M67" i="3"/>
  <c r="H66" i="4"/>
  <c r="D67" i="4"/>
  <c r="E67" i="4"/>
  <c r="F67" i="4"/>
  <c r="G66" i="4" l="1"/>
  <c r="B67" i="4"/>
  <c r="C67" i="4" s="1"/>
  <c r="M68" i="3"/>
  <c r="D68" i="4"/>
  <c r="F68" i="4"/>
  <c r="E68" i="4"/>
  <c r="H67" i="4"/>
  <c r="G67" i="4" l="1"/>
  <c r="B68" i="4"/>
  <c r="C68" i="4" s="1"/>
  <c r="M69" i="3"/>
  <c r="D69" i="4"/>
  <c r="H68" i="4"/>
  <c r="F69" i="4"/>
  <c r="E69" i="4"/>
  <c r="G68" i="4" l="1"/>
  <c r="B69" i="4"/>
  <c r="C69" i="4" s="1"/>
  <c r="M70" i="3"/>
  <c r="D70" i="4"/>
  <c r="F70" i="4"/>
  <c r="E70" i="4"/>
  <c r="H69" i="4"/>
  <c r="B70" i="4" l="1"/>
  <c r="G70" i="4" s="1"/>
  <c r="G69" i="4"/>
  <c r="M71" i="3"/>
  <c r="H70" i="4"/>
  <c r="D71" i="4"/>
  <c r="E71" i="4"/>
  <c r="F71" i="4"/>
  <c r="C70" i="4" l="1"/>
  <c r="B71" i="4"/>
  <c r="C71" i="4" s="1"/>
  <c r="M72" i="3"/>
  <c r="F72" i="4"/>
  <c r="H71" i="4"/>
  <c r="E72" i="4"/>
  <c r="D72" i="4"/>
  <c r="G71" i="4" l="1"/>
  <c r="B72" i="4"/>
  <c r="C72" i="4" s="1"/>
  <c r="M73" i="3"/>
  <c r="D73" i="4"/>
  <c r="F73" i="4"/>
  <c r="H72" i="4"/>
  <c r="E73" i="4"/>
  <c r="G72" i="4" l="1"/>
  <c r="B73" i="4"/>
  <c r="G73" i="4" s="1"/>
  <c r="C73" i="4"/>
  <c r="M74" i="3"/>
  <c r="D74" i="4"/>
  <c r="F74" i="4"/>
  <c r="H73" i="4"/>
  <c r="E74" i="4"/>
  <c r="B74" i="4" l="1"/>
  <c r="G74" i="4" s="1"/>
  <c r="M75" i="3"/>
  <c r="D75" i="4"/>
  <c r="F75" i="4"/>
  <c r="E75" i="4"/>
  <c r="H74" i="4"/>
  <c r="C74" i="4" l="1"/>
  <c r="B75" i="4"/>
  <c r="C75" i="4"/>
  <c r="G75" i="4"/>
  <c r="M76" i="3"/>
  <c r="D76" i="4"/>
  <c r="H75" i="4"/>
  <c r="E76" i="4"/>
  <c r="F76" i="4"/>
  <c r="B76" i="4" l="1"/>
  <c r="G76" i="4" s="1"/>
  <c r="M77" i="3"/>
  <c r="D77" i="4"/>
  <c r="F77" i="4"/>
  <c r="H76" i="4"/>
  <c r="E77" i="4"/>
  <c r="C76" i="4" l="1"/>
  <c r="B77" i="4"/>
  <c r="C77" i="4" s="1"/>
  <c r="G77" i="4"/>
  <c r="M78" i="3"/>
  <c r="D78" i="4"/>
  <c r="F78" i="4"/>
  <c r="H77" i="4"/>
  <c r="E78" i="4"/>
  <c r="B78" i="4" l="1"/>
  <c r="G78" i="4" s="1"/>
  <c r="C78" i="4"/>
  <c r="M79" i="3"/>
  <c r="D79" i="4"/>
  <c r="E79" i="4"/>
  <c r="F79" i="4"/>
  <c r="H78" i="4"/>
  <c r="B79" i="4" l="1"/>
  <c r="G79" i="4" s="1"/>
  <c r="M80" i="3"/>
  <c r="D80" i="4"/>
  <c r="E80" i="4"/>
  <c r="H79" i="4"/>
  <c r="F80" i="4"/>
  <c r="C79" i="4" l="1"/>
  <c r="B80" i="4"/>
  <c r="C80" i="4" s="1"/>
  <c r="M81" i="3"/>
  <c r="D81" i="4"/>
  <c r="H80" i="4"/>
  <c r="E81" i="4"/>
  <c r="F81" i="4"/>
  <c r="G80" i="4" l="1"/>
  <c r="B81" i="4"/>
  <c r="G81" i="4" s="1"/>
  <c r="C81" i="4"/>
  <c r="M82" i="3"/>
  <c r="D82" i="4"/>
  <c r="H81" i="4"/>
  <c r="F82" i="4"/>
  <c r="E82" i="4"/>
  <c r="B82" i="4" l="1"/>
  <c r="G82" i="4" s="1"/>
  <c r="M83" i="3"/>
  <c r="H82" i="4"/>
  <c r="F83" i="4"/>
  <c r="D83" i="4"/>
  <c r="E83" i="4"/>
  <c r="B83" i="4" l="1"/>
  <c r="G83" i="4" s="1"/>
  <c r="C82" i="4"/>
  <c r="C83" i="4"/>
  <c r="M84" i="3"/>
  <c r="F84" i="4"/>
  <c r="E84" i="4"/>
  <c r="H83" i="4"/>
  <c r="D84" i="4"/>
  <c r="B84" i="4" l="1"/>
  <c r="C84" i="4" s="1"/>
  <c r="M85" i="3"/>
  <c r="D85" i="4"/>
  <c r="E85" i="4"/>
  <c r="H84" i="4"/>
  <c r="F85" i="4"/>
  <c r="G84" i="4" l="1"/>
  <c r="B85" i="4"/>
  <c r="C85" i="4" s="1"/>
  <c r="M86" i="3"/>
  <c r="D86" i="4"/>
  <c r="E86" i="4"/>
  <c r="F86" i="4"/>
  <c r="H85" i="4"/>
  <c r="G85" i="4" l="1"/>
  <c r="B86" i="4"/>
  <c r="G86" i="4" s="1"/>
  <c r="M87" i="3"/>
  <c r="D87" i="4"/>
  <c r="E87" i="4"/>
  <c r="H86" i="4"/>
  <c r="F87" i="4"/>
  <c r="C86" i="4" l="1"/>
  <c r="B87" i="4"/>
  <c r="C87" i="4" s="1"/>
  <c r="G87" i="4"/>
  <c r="M88" i="3"/>
  <c r="D88" i="4"/>
  <c r="E88" i="4"/>
  <c r="H87" i="4"/>
  <c r="F88" i="4"/>
  <c r="B88" i="4" l="1"/>
  <c r="C88" i="4" s="1"/>
  <c r="M89" i="3"/>
  <c r="E89" i="4"/>
  <c r="D89" i="4"/>
  <c r="F89" i="4"/>
  <c r="H88" i="4"/>
  <c r="B89" i="4" l="1"/>
  <c r="C89" i="4" s="1"/>
  <c r="G88" i="4"/>
  <c r="M90" i="3"/>
  <c r="F90" i="4"/>
  <c r="E90" i="4"/>
  <c r="H89" i="4"/>
  <c r="D90" i="4"/>
  <c r="G89" i="4" l="1"/>
  <c r="B90" i="4"/>
  <c r="C90" i="4" s="1"/>
  <c r="M91" i="3"/>
  <c r="D91" i="4"/>
  <c r="E91" i="4"/>
  <c r="H90" i="4"/>
  <c r="F91" i="4"/>
  <c r="G90" i="4" l="1"/>
  <c r="B91" i="4"/>
  <c r="C91" i="4" s="1"/>
  <c r="M92" i="3"/>
  <c r="D92" i="4"/>
  <c r="F92" i="4"/>
  <c r="H91" i="4"/>
  <c r="E92" i="4"/>
  <c r="G91" i="4" l="1"/>
  <c r="B92" i="4"/>
  <c r="G92" i="4" s="1"/>
  <c r="M93" i="3"/>
  <c r="H92" i="4"/>
  <c r="E93" i="4"/>
  <c r="D93" i="4"/>
  <c r="F93" i="4"/>
  <c r="C92" i="4" l="1"/>
  <c r="B93" i="4"/>
  <c r="C93" i="4" s="1"/>
  <c r="G93" i="4"/>
  <c r="M94" i="3"/>
  <c r="H93" i="4"/>
  <c r="D94" i="4"/>
  <c r="E94" i="4"/>
  <c r="F94" i="4"/>
  <c r="B94" i="4" l="1"/>
  <c r="C94" i="4" s="1"/>
  <c r="M95" i="3"/>
  <c r="D95" i="4"/>
  <c r="F95" i="4"/>
  <c r="H94" i="4"/>
  <c r="E95" i="4"/>
  <c r="G94" i="4" l="1"/>
  <c r="B95" i="4"/>
  <c r="C95" i="4" s="1"/>
  <c r="M96" i="3"/>
  <c r="E96" i="4"/>
  <c r="D96" i="4"/>
  <c r="F96" i="4"/>
  <c r="H95" i="4"/>
  <c r="G95" i="4" l="1"/>
  <c r="B96" i="4"/>
  <c r="C96" i="4"/>
  <c r="G96" i="4"/>
  <c r="M97" i="3"/>
  <c r="D97" i="4"/>
  <c r="E97" i="4"/>
  <c r="F97" i="4"/>
  <c r="H96" i="4"/>
  <c r="B97" i="4" l="1"/>
  <c r="G97" i="4" s="1"/>
  <c r="M98" i="3"/>
  <c r="F98" i="4"/>
  <c r="D98" i="4"/>
  <c r="E98" i="4"/>
  <c r="H97" i="4"/>
  <c r="C97" i="4" l="1"/>
  <c r="B98" i="4"/>
  <c r="C98" i="4" s="1"/>
  <c r="M99" i="3"/>
  <c r="H98" i="4"/>
  <c r="D99" i="4"/>
  <c r="F99" i="4"/>
  <c r="E99" i="4"/>
  <c r="G98" i="4" l="1"/>
  <c r="B99" i="4"/>
  <c r="G99" i="4" s="1"/>
  <c r="M100" i="3"/>
  <c r="F100" i="4"/>
  <c r="H99" i="4"/>
  <c r="D100" i="4"/>
  <c r="E100" i="4"/>
  <c r="C99" i="4" l="1"/>
  <c r="B100" i="4"/>
  <c r="C100" i="4" s="1"/>
  <c r="M101" i="3"/>
  <c r="F101" i="4"/>
  <c r="D101" i="4"/>
  <c r="H100" i="4"/>
  <c r="E101" i="4"/>
  <c r="G100" i="4" l="1"/>
  <c r="B101" i="4"/>
  <c r="C101" i="4" s="1"/>
  <c r="M102" i="3"/>
  <c r="F102" i="4"/>
  <c r="E102" i="4"/>
  <c r="H101" i="4"/>
  <c r="D102" i="4"/>
  <c r="G101" i="4" l="1"/>
  <c r="B102" i="4"/>
  <c r="C102" i="4" s="1"/>
  <c r="G102" i="4"/>
  <c r="M103" i="3"/>
  <c r="D103" i="4"/>
  <c r="F103" i="4"/>
  <c r="E103" i="4"/>
  <c r="H102" i="4"/>
  <c r="B103" i="4" l="1"/>
  <c r="G103" i="4" s="1"/>
  <c r="C103" i="4"/>
  <c r="M104" i="3"/>
  <c r="D104" i="4"/>
  <c r="E104" i="4"/>
  <c r="F104" i="4"/>
  <c r="H103" i="4"/>
  <c r="B104" i="4" l="1"/>
  <c r="C104" i="4" s="1"/>
  <c r="M105" i="3"/>
  <c r="D105" i="4"/>
  <c r="F105" i="4"/>
  <c r="E105" i="4"/>
  <c r="H104" i="4"/>
  <c r="G104" i="4" l="1"/>
  <c r="B105" i="4"/>
  <c r="G105" i="4" s="1"/>
  <c r="C105" i="4"/>
  <c r="M106" i="3"/>
  <c r="D106" i="4"/>
  <c r="H105" i="4"/>
  <c r="E106" i="4"/>
  <c r="F106" i="4"/>
  <c r="B106" i="4" l="1"/>
  <c r="C106" i="4" s="1"/>
  <c r="G106" i="4"/>
  <c r="M107" i="3"/>
  <c r="D107" i="4"/>
  <c r="E107" i="4"/>
  <c r="H106" i="4"/>
  <c r="F107" i="4"/>
  <c r="B107" i="4" l="1"/>
  <c r="C107" i="4" s="1"/>
  <c r="M108" i="3"/>
  <c r="D108" i="4"/>
  <c r="H107" i="4"/>
  <c r="E108" i="4"/>
  <c r="F108" i="4"/>
  <c r="G107" i="4" l="1"/>
  <c r="B108" i="4"/>
  <c r="G108" i="4" s="1"/>
  <c r="M109" i="3"/>
  <c r="H108" i="4"/>
  <c r="D109" i="4"/>
  <c r="E109" i="4"/>
  <c r="F109" i="4"/>
  <c r="C108" i="4" l="1"/>
  <c r="B109" i="4"/>
  <c r="C109" i="4" s="1"/>
  <c r="M110" i="3"/>
  <c r="D110" i="4"/>
  <c r="E110" i="4"/>
  <c r="F110" i="4"/>
  <c r="H109" i="4"/>
  <c r="G109" i="4" l="1"/>
  <c r="B110" i="4"/>
  <c r="G110" i="4" s="1"/>
  <c r="C110" i="4"/>
  <c r="M111" i="3"/>
  <c r="D111" i="4"/>
  <c r="F111" i="4"/>
  <c r="E111" i="4"/>
  <c r="H110" i="4"/>
  <c r="B111" i="4" l="1"/>
  <c r="G111" i="4" s="1"/>
  <c r="M112" i="3"/>
  <c r="D112" i="4"/>
  <c r="F112" i="4"/>
  <c r="H111" i="4"/>
  <c r="E112" i="4"/>
  <c r="C111" i="4" l="1"/>
  <c r="B112" i="4"/>
  <c r="C112" i="4"/>
  <c r="G112" i="4"/>
  <c r="M113" i="3"/>
  <c r="D113" i="4"/>
  <c r="F113" i="4"/>
  <c r="E113" i="4"/>
  <c r="H112" i="4"/>
  <c r="B113" i="4" l="1"/>
  <c r="G113" i="4" s="1"/>
  <c r="M114" i="3"/>
  <c r="D114" i="4"/>
  <c r="F114" i="4"/>
  <c r="E114" i="4"/>
  <c r="H113" i="4"/>
  <c r="C113" i="4" l="1"/>
  <c r="B114" i="4"/>
  <c r="G114" i="4" s="1"/>
  <c r="C114" i="4"/>
  <c r="M115" i="3"/>
  <c r="D115" i="4"/>
  <c r="E115" i="4"/>
  <c r="F115" i="4"/>
  <c r="H114" i="4"/>
  <c r="B115" i="4" l="1"/>
  <c r="C115" i="4" s="1"/>
  <c r="M116" i="3"/>
  <c r="F116" i="4"/>
  <c r="D116" i="4"/>
  <c r="H115" i="4"/>
  <c r="E116" i="4"/>
  <c r="G115" i="4" l="1"/>
  <c r="B116" i="4"/>
  <c r="G116" i="4" s="1"/>
  <c r="M117" i="3"/>
  <c r="D117" i="4"/>
  <c r="H116" i="4"/>
  <c r="E117" i="4"/>
  <c r="F117" i="4"/>
  <c r="C116" i="4" l="1"/>
  <c r="B117" i="4"/>
  <c r="C117" i="4" s="1"/>
  <c r="G117" i="4"/>
  <c r="M118" i="3"/>
  <c r="D118" i="4"/>
  <c r="E118" i="4"/>
  <c r="H117" i="4"/>
  <c r="F118" i="4"/>
  <c r="B118" i="4" l="1"/>
  <c r="C118" i="4" s="1"/>
  <c r="M119" i="3"/>
  <c r="E119" i="4"/>
  <c r="H118" i="4"/>
  <c r="D119" i="4"/>
  <c r="F119" i="4"/>
  <c r="G118" i="4" l="1"/>
  <c r="B119" i="4"/>
  <c r="G119" i="4" s="1"/>
  <c r="M120" i="3"/>
  <c r="D120" i="4"/>
  <c r="H119" i="4"/>
  <c r="F120" i="4"/>
  <c r="E120" i="4"/>
  <c r="C119" i="4" l="1"/>
  <c r="B120" i="4"/>
  <c r="G120" i="4" s="1"/>
  <c r="M121" i="3"/>
  <c r="D121" i="4"/>
  <c r="H120" i="4"/>
  <c r="F121" i="4"/>
  <c r="E121" i="4"/>
  <c r="C120" i="4" l="1"/>
  <c r="B121" i="4"/>
  <c r="C121" i="4" s="1"/>
  <c r="M122" i="3"/>
  <c r="D122" i="4"/>
  <c r="F122" i="4"/>
  <c r="E122" i="4"/>
  <c r="H121" i="4"/>
  <c r="G121" i="4" l="1"/>
  <c r="B122" i="4"/>
  <c r="C122" i="4" s="1"/>
  <c r="G122" i="4"/>
  <c r="M123" i="3"/>
  <c r="D123" i="4"/>
  <c r="E123" i="4"/>
  <c r="F123" i="4"/>
  <c r="H122" i="4"/>
  <c r="B123" i="4" l="1"/>
  <c r="C123" i="4" s="1"/>
  <c r="M124" i="3"/>
  <c r="D124" i="4"/>
  <c r="H123" i="4"/>
  <c r="F124" i="4"/>
  <c r="E124" i="4"/>
  <c r="G123" i="4" l="1"/>
  <c r="B124" i="4"/>
  <c r="C124" i="4" s="1"/>
  <c r="M125" i="3"/>
  <c r="D125" i="4"/>
  <c r="E125" i="4"/>
  <c r="F125" i="4"/>
  <c r="H124" i="4"/>
  <c r="G124" i="4" l="1"/>
  <c r="B125" i="4"/>
  <c r="C125" i="4" s="1"/>
  <c r="M126" i="3"/>
  <c r="F126" i="4"/>
  <c r="D126" i="4"/>
  <c r="H125" i="4"/>
  <c r="E126" i="4"/>
  <c r="G125" i="4" l="1"/>
  <c r="B126" i="4"/>
  <c r="G126" i="4" s="1"/>
  <c r="M127" i="3"/>
  <c r="D127" i="4"/>
  <c r="H126" i="4"/>
  <c r="E127" i="4"/>
  <c r="F127" i="4"/>
  <c r="C126" i="4" l="1"/>
  <c r="B127" i="4"/>
  <c r="G127" i="4" s="1"/>
  <c r="M128" i="3"/>
  <c r="D128" i="4"/>
  <c r="E128" i="4"/>
  <c r="H127" i="4"/>
  <c r="F128" i="4"/>
  <c r="C127" i="4" l="1"/>
  <c r="B128" i="4"/>
  <c r="G128" i="4" s="1"/>
  <c r="M129" i="3"/>
  <c r="D129" i="4"/>
  <c r="E129" i="4"/>
  <c r="H128" i="4"/>
  <c r="F129" i="4"/>
  <c r="C128" i="4" l="1"/>
  <c r="B129" i="4"/>
  <c r="G129" i="4" s="1"/>
  <c r="M130" i="3"/>
  <c r="D130" i="4"/>
  <c r="H129" i="4"/>
  <c r="F130" i="4"/>
  <c r="E130" i="4"/>
  <c r="C129" i="4" l="1"/>
  <c r="B130" i="4"/>
  <c r="C130" i="4" s="1"/>
  <c r="M131" i="3"/>
  <c r="D131" i="4"/>
  <c r="F131" i="4"/>
  <c r="H130" i="4"/>
  <c r="E131" i="4"/>
  <c r="B131" i="4" l="1"/>
  <c r="C131" i="4" s="1"/>
  <c r="G130" i="4"/>
  <c r="M132" i="3"/>
  <c r="D132" i="4"/>
  <c r="H131" i="4"/>
  <c r="F132" i="4"/>
  <c r="E132" i="4"/>
  <c r="G131" i="4" l="1"/>
  <c r="B132" i="4"/>
  <c r="G132" i="4"/>
  <c r="C132" i="4"/>
  <c r="M133" i="3"/>
  <c r="D133" i="4"/>
  <c r="F133" i="4"/>
  <c r="H132" i="4"/>
  <c r="E133" i="4"/>
  <c r="B133" i="4" l="1"/>
  <c r="C133" i="4" s="1"/>
  <c r="M134" i="3"/>
  <c r="D134" i="4"/>
  <c r="E134" i="4"/>
  <c r="F134" i="4"/>
  <c r="H133" i="4"/>
  <c r="G133" i="4" l="1"/>
  <c r="B134" i="4"/>
  <c r="G134" i="4" s="1"/>
  <c r="M135" i="3"/>
  <c r="D135" i="4"/>
  <c r="F135" i="4"/>
  <c r="H134" i="4"/>
  <c r="E135" i="4"/>
  <c r="C134" i="4" l="1"/>
  <c r="B135" i="4"/>
  <c r="G135" i="4" s="1"/>
  <c r="M136" i="3"/>
  <c r="H135" i="4"/>
  <c r="D136" i="4"/>
  <c r="F136" i="4"/>
  <c r="E136" i="4"/>
  <c r="B136" i="4" l="1"/>
  <c r="C135" i="4"/>
  <c r="C136" i="4"/>
  <c r="G136" i="4"/>
  <c r="M137" i="3"/>
  <c r="E137" i="4"/>
  <c r="D137" i="4"/>
  <c r="F137" i="4"/>
  <c r="H136" i="4"/>
  <c r="B137" i="4" l="1"/>
  <c r="C137" i="4" s="1"/>
  <c r="M138" i="3"/>
  <c r="F138" i="4"/>
  <c r="E138" i="4"/>
  <c r="H137" i="4"/>
  <c r="D138" i="4"/>
  <c r="G137" i="4" l="1"/>
  <c r="B138" i="4"/>
  <c r="C138" i="4" s="1"/>
  <c r="M139" i="3"/>
  <c r="D139" i="4"/>
  <c r="F139" i="4"/>
  <c r="E139" i="4"/>
  <c r="H138" i="4"/>
  <c r="G138" i="4" l="1"/>
  <c r="B139" i="4"/>
  <c r="C139" i="4" s="1"/>
  <c r="M140" i="3"/>
  <c r="H139" i="4"/>
  <c r="E140" i="4"/>
  <c r="D140" i="4"/>
  <c r="F140" i="4"/>
  <c r="G139" i="4" l="1"/>
  <c r="B140" i="4"/>
  <c r="C140" i="4" s="1"/>
  <c r="M141" i="3"/>
  <c r="D141" i="4"/>
  <c r="H140" i="4"/>
  <c r="E141" i="4"/>
  <c r="F141" i="4"/>
  <c r="G140" i="4" l="1"/>
  <c r="B141" i="4"/>
  <c r="G141" i="4" s="1"/>
  <c r="M142" i="3"/>
  <c r="D142" i="4"/>
  <c r="H141" i="4"/>
  <c r="F142" i="4"/>
  <c r="E142" i="4"/>
  <c r="C141" i="4" l="1"/>
  <c r="B142" i="4"/>
  <c r="G142" i="4" s="1"/>
  <c r="C142" i="4"/>
  <c r="M143" i="3"/>
  <c r="E143" i="4"/>
  <c r="F143" i="4"/>
  <c r="H142" i="4"/>
  <c r="D143" i="4"/>
  <c r="B143" i="4" l="1"/>
  <c r="C143" i="4" s="1"/>
  <c r="G143" i="4"/>
  <c r="M144" i="3"/>
  <c r="D144" i="4"/>
  <c r="F144" i="4"/>
  <c r="H143" i="4"/>
  <c r="E144" i="4"/>
  <c r="B144" i="4" l="1"/>
  <c r="C144" i="4" s="1"/>
  <c r="M145" i="3"/>
  <c r="F145" i="4"/>
  <c r="H144" i="4"/>
  <c r="D145" i="4"/>
  <c r="E145" i="4"/>
  <c r="G144" i="4" l="1"/>
  <c r="B145" i="4"/>
  <c r="G145" i="4" s="1"/>
  <c r="M146" i="3"/>
  <c r="D146" i="4"/>
  <c r="E146" i="4"/>
  <c r="H145" i="4"/>
  <c r="F146" i="4"/>
  <c r="C145" i="4" l="1"/>
  <c r="B146" i="4"/>
  <c r="G146" i="4" s="1"/>
  <c r="M147" i="3"/>
  <c r="D147" i="4"/>
  <c r="E147" i="4"/>
  <c r="H146" i="4"/>
  <c r="F147" i="4"/>
  <c r="C146" i="4" l="1"/>
  <c r="B147" i="4"/>
  <c r="G147" i="4" s="1"/>
  <c r="M148" i="3"/>
  <c r="D148" i="4"/>
  <c r="F148" i="4"/>
  <c r="E148" i="4"/>
  <c r="H147" i="4"/>
  <c r="C147" i="4" l="1"/>
  <c r="B148" i="4"/>
  <c r="G148" i="4" s="1"/>
  <c r="M149" i="3"/>
  <c r="D149" i="4"/>
  <c r="F149" i="4"/>
  <c r="H148" i="4"/>
  <c r="E149" i="4"/>
  <c r="C148" i="4" l="1"/>
  <c r="B149" i="4"/>
  <c r="C149" i="4" s="1"/>
  <c r="M150" i="3"/>
  <c r="G149" i="4"/>
  <c r="F150" i="4"/>
  <c r="D150" i="4"/>
  <c r="H149" i="4"/>
  <c r="E150" i="4"/>
  <c r="B150" i="4" l="1"/>
  <c r="G150" i="4"/>
  <c r="C150" i="4"/>
  <c r="M151" i="3"/>
  <c r="D151" i="4"/>
  <c r="E151" i="4"/>
  <c r="H150" i="4"/>
  <c r="F151" i="4"/>
  <c r="B151" i="4" l="1"/>
  <c r="C151" i="4" s="1"/>
  <c r="M152" i="3"/>
  <c r="H151" i="4"/>
  <c r="E152" i="4"/>
  <c r="D152" i="4"/>
  <c r="F152" i="4"/>
  <c r="G151" i="4" l="1"/>
  <c r="B152" i="4"/>
  <c r="G152" i="4"/>
  <c r="C152" i="4"/>
  <c r="M153" i="3"/>
  <c r="E153" i="4"/>
  <c r="F153" i="4"/>
  <c r="D153" i="4"/>
  <c r="H152" i="4"/>
  <c r="B153" i="4" l="1"/>
  <c r="G153" i="4" s="1"/>
  <c r="M154" i="3"/>
  <c r="D154" i="4"/>
  <c r="E154" i="4"/>
  <c r="H153" i="4"/>
  <c r="F154" i="4"/>
  <c r="C153" i="4" l="1"/>
  <c r="B154" i="4"/>
  <c r="C154" i="4" s="1"/>
  <c r="M155" i="3"/>
  <c r="D155" i="4"/>
  <c r="E155" i="4"/>
  <c r="F155" i="4"/>
  <c r="H154" i="4"/>
  <c r="G154" i="4" l="1"/>
  <c r="B155" i="4"/>
  <c r="G155" i="4" s="1"/>
  <c r="M156" i="3"/>
  <c r="D156" i="4"/>
  <c r="F156" i="4"/>
  <c r="H155" i="4"/>
  <c r="E156" i="4"/>
  <c r="C155" i="4" l="1"/>
  <c r="B156" i="4"/>
  <c r="C156" i="4" s="1"/>
  <c r="G156" i="4"/>
  <c r="M157" i="3"/>
  <c r="D157" i="4"/>
  <c r="H156" i="4"/>
  <c r="F157" i="4"/>
  <c r="E157" i="4"/>
  <c r="B157" i="4" l="1"/>
  <c r="C157" i="4" s="1"/>
  <c r="M158" i="3"/>
  <c r="D158" i="4"/>
  <c r="F158" i="4"/>
  <c r="E158" i="4"/>
  <c r="H157" i="4"/>
  <c r="G157" i="4" l="1"/>
  <c r="B158" i="4"/>
  <c r="G158" i="4" s="1"/>
  <c r="M159" i="3"/>
  <c r="D159" i="4"/>
  <c r="F159" i="4"/>
  <c r="H158" i="4"/>
  <c r="E159" i="4"/>
  <c r="C158" i="4" l="1"/>
  <c r="B159" i="4"/>
  <c r="C159" i="4" s="1"/>
  <c r="M160" i="3"/>
  <c r="D160" i="4"/>
  <c r="F160" i="4"/>
  <c r="E160" i="4"/>
  <c r="H159" i="4"/>
  <c r="G159" i="4" l="1"/>
  <c r="B160" i="4"/>
  <c r="C160" i="4" s="1"/>
  <c r="M161" i="3"/>
  <c r="D161" i="4"/>
  <c r="E161" i="4"/>
  <c r="F161" i="4"/>
  <c r="H160" i="4"/>
  <c r="G160" i="4" l="1"/>
  <c r="B161" i="4"/>
  <c r="G161" i="4"/>
  <c r="C161" i="4"/>
  <c r="M162" i="3"/>
  <c r="D162" i="4"/>
  <c r="E162" i="4"/>
  <c r="F162" i="4"/>
  <c r="H161" i="4"/>
  <c r="B162" i="4" l="1"/>
  <c r="G162" i="4" s="1"/>
  <c r="C162" i="4"/>
  <c r="M163" i="3"/>
  <c r="D163" i="4"/>
  <c r="H162" i="4"/>
  <c r="F163" i="4"/>
  <c r="E163" i="4"/>
  <c r="B163" i="4" l="1"/>
  <c r="C163" i="4" s="1"/>
  <c r="M164" i="3"/>
  <c r="E164" i="4"/>
  <c r="F164" i="4"/>
  <c r="D164" i="4"/>
  <c r="H163" i="4"/>
  <c r="G163" i="4" l="1"/>
  <c r="B164" i="4"/>
  <c r="G164" i="4" s="1"/>
  <c r="M165" i="3"/>
  <c r="C164" i="4"/>
  <c r="D165" i="4"/>
  <c r="H164" i="4"/>
  <c r="F165" i="4"/>
  <c r="E165" i="4"/>
  <c r="B165" i="4" l="1"/>
  <c r="G165" i="4" s="1"/>
  <c r="M166" i="3"/>
  <c r="D166" i="4"/>
  <c r="F166" i="4"/>
  <c r="H165" i="4"/>
  <c r="E166" i="4"/>
  <c r="C165" i="4" l="1"/>
  <c r="B166" i="4"/>
  <c r="G166" i="4" s="1"/>
  <c r="M167" i="3"/>
  <c r="D167" i="4"/>
  <c r="H166" i="4"/>
  <c r="E167" i="4"/>
  <c r="F167" i="4"/>
  <c r="C166" i="4" l="1"/>
  <c r="B167" i="4"/>
  <c r="G167" i="4" s="1"/>
  <c r="C167" i="4"/>
  <c r="M168" i="3"/>
  <c r="D168" i="4"/>
  <c r="H167" i="4"/>
  <c r="F168" i="4"/>
  <c r="E168" i="4"/>
  <c r="B168" i="4" l="1"/>
  <c r="G168" i="4" s="1"/>
  <c r="M169" i="3"/>
  <c r="D169" i="4"/>
  <c r="H168" i="4"/>
  <c r="E169" i="4"/>
  <c r="F169" i="4"/>
  <c r="C168" i="4" l="1"/>
  <c r="B169" i="4"/>
  <c r="G169" i="4" s="1"/>
  <c r="M170" i="3"/>
  <c r="D170" i="4"/>
  <c r="E170" i="4"/>
  <c r="H169" i="4"/>
  <c r="F170" i="4"/>
  <c r="C169" i="4" l="1"/>
  <c r="B170" i="4"/>
  <c r="C170" i="4" s="1"/>
  <c r="M171" i="3"/>
  <c r="E171" i="4"/>
  <c r="F171" i="4"/>
  <c r="H170" i="4"/>
  <c r="D171" i="4"/>
  <c r="G170" i="4" l="1"/>
  <c r="B171" i="4"/>
  <c r="C171" i="4" s="1"/>
  <c r="M172" i="3"/>
  <c r="D172" i="4"/>
  <c r="H171" i="4"/>
  <c r="E172" i="4"/>
  <c r="F172" i="4"/>
  <c r="G171" i="4" l="1"/>
  <c r="B172" i="4"/>
  <c r="G172" i="4" s="1"/>
  <c r="M173" i="3"/>
  <c r="D173" i="4"/>
  <c r="E173" i="4"/>
  <c r="H172" i="4"/>
  <c r="F173" i="4"/>
  <c r="C172" i="4" l="1"/>
  <c r="B173" i="4"/>
  <c r="C173" i="4" s="1"/>
  <c r="G173" i="4"/>
  <c r="M174" i="3"/>
  <c r="D174" i="4"/>
  <c r="F174" i="4"/>
  <c r="E174" i="4"/>
  <c r="H173" i="4"/>
  <c r="B174" i="4" l="1"/>
  <c r="G174" i="4" s="1"/>
  <c r="M175" i="3"/>
  <c r="D175" i="4"/>
  <c r="E175" i="4"/>
  <c r="H174" i="4"/>
  <c r="F175" i="4"/>
  <c r="C174" i="4" l="1"/>
  <c r="B175" i="4"/>
  <c r="G175" i="4" s="1"/>
  <c r="M176" i="3"/>
  <c r="D176" i="4"/>
  <c r="H175" i="4"/>
  <c r="E176" i="4"/>
  <c r="F176" i="4"/>
  <c r="C175" i="4" l="1"/>
  <c r="B176" i="4"/>
  <c r="G176" i="4" s="1"/>
  <c r="M177" i="3"/>
  <c r="D177" i="4"/>
  <c r="H176" i="4"/>
  <c r="F177" i="4"/>
  <c r="E177" i="4"/>
  <c r="C176" i="4" l="1"/>
  <c r="B177" i="4"/>
  <c r="G177" i="4" s="1"/>
  <c r="M178" i="3"/>
  <c r="D178" i="4"/>
  <c r="E178" i="4"/>
  <c r="F178" i="4"/>
  <c r="H177" i="4"/>
  <c r="C177" i="4" l="1"/>
  <c r="B178" i="4"/>
  <c r="G178" i="4" s="1"/>
  <c r="M179" i="3"/>
  <c r="D179" i="4"/>
  <c r="H178" i="4"/>
  <c r="F179" i="4"/>
  <c r="E179" i="4"/>
  <c r="C178" i="4" l="1"/>
  <c r="B179" i="4"/>
  <c r="C179" i="4" s="1"/>
  <c r="M180" i="3"/>
  <c r="D180" i="4"/>
  <c r="E180" i="4"/>
  <c r="F180" i="4"/>
  <c r="H179" i="4"/>
  <c r="G179" i="4" l="1"/>
  <c r="B180" i="4"/>
  <c r="C180" i="4" s="1"/>
  <c r="M181" i="3"/>
  <c r="D181" i="4"/>
  <c r="F181" i="4"/>
  <c r="E181" i="4"/>
  <c r="H180" i="4"/>
  <c r="G180" i="4" l="1"/>
  <c r="B181" i="4"/>
  <c r="G181" i="4" s="1"/>
  <c r="M182" i="3"/>
  <c r="D182" i="4"/>
  <c r="E182" i="4"/>
  <c r="H181" i="4"/>
  <c r="F182" i="4"/>
  <c r="C181" i="4" l="1"/>
  <c r="B182" i="4"/>
  <c r="G182" i="4" s="1"/>
  <c r="M183" i="3"/>
  <c r="D183" i="4"/>
  <c r="E183" i="4"/>
  <c r="F183" i="4"/>
  <c r="H182" i="4"/>
  <c r="C182" i="4" l="1"/>
  <c r="B183" i="4"/>
  <c r="C183" i="4" s="1"/>
  <c r="G183" i="4"/>
  <c r="M184" i="3"/>
  <c r="D184" i="4"/>
  <c r="E184" i="4"/>
  <c r="H183" i="4"/>
  <c r="F184" i="4"/>
  <c r="B184" i="4" l="1"/>
  <c r="C184" i="4" s="1"/>
  <c r="M185" i="3"/>
  <c r="D185" i="4"/>
  <c r="E185" i="4"/>
  <c r="H184" i="4"/>
  <c r="F185" i="4"/>
  <c r="B185" i="4" l="1"/>
  <c r="C185" i="4" s="1"/>
  <c r="G184" i="4"/>
  <c r="G185" i="4"/>
  <c r="M186" i="3"/>
  <c r="F186" i="4"/>
  <c r="D186" i="4"/>
  <c r="H185" i="4"/>
  <c r="E186" i="4"/>
  <c r="B186" i="4" l="1"/>
  <c r="G186" i="4" s="1"/>
  <c r="M187" i="3"/>
  <c r="D187" i="4"/>
  <c r="F187" i="4"/>
  <c r="H186" i="4"/>
  <c r="E187" i="4"/>
  <c r="C186" i="4" l="1"/>
  <c r="B187" i="4"/>
  <c r="C187" i="4" s="1"/>
  <c r="M188" i="3"/>
  <c r="D188" i="4"/>
  <c r="E188" i="4"/>
  <c r="F188" i="4"/>
  <c r="H187" i="4"/>
  <c r="G187" i="4" l="1"/>
  <c r="B188" i="4"/>
  <c r="C188" i="4" s="1"/>
  <c r="M189" i="3"/>
  <c r="D189" i="4"/>
  <c r="H188" i="4"/>
  <c r="F189" i="4"/>
  <c r="E189" i="4"/>
  <c r="G188" i="4" l="1"/>
  <c r="B189" i="4"/>
  <c r="C189" i="4" s="1"/>
  <c r="G189" i="4"/>
  <c r="M190" i="3"/>
  <c r="D190" i="4"/>
  <c r="E190" i="4"/>
  <c r="H189" i="4"/>
  <c r="F190" i="4"/>
  <c r="B190" i="4" l="1"/>
  <c r="C190" i="4" s="1"/>
  <c r="M191" i="3"/>
  <c r="D191" i="4"/>
  <c r="F191" i="4"/>
  <c r="H190" i="4"/>
  <c r="E191" i="4"/>
  <c r="G190" i="4" l="1"/>
  <c r="B191" i="4"/>
  <c r="G191" i="4" s="1"/>
  <c r="M192" i="3"/>
  <c r="D192" i="4"/>
  <c r="F192" i="4"/>
  <c r="H191" i="4"/>
  <c r="E192" i="4"/>
  <c r="C191" i="4" l="1"/>
  <c r="B192" i="4"/>
  <c r="G192" i="4" s="1"/>
  <c r="C192" i="4"/>
  <c r="M193" i="3"/>
  <c r="D193" i="4"/>
  <c r="F193" i="4"/>
  <c r="H192" i="4"/>
  <c r="E193" i="4"/>
  <c r="B193" i="4" l="1"/>
  <c r="G193" i="4" s="1"/>
  <c r="M194" i="3"/>
  <c r="D194" i="4"/>
  <c r="H193" i="4"/>
  <c r="E194" i="4"/>
  <c r="F194" i="4"/>
  <c r="C193" i="4" l="1"/>
  <c r="B194" i="4"/>
  <c r="C194" i="4" s="1"/>
  <c r="G194" i="4"/>
  <c r="M195" i="3"/>
  <c r="D195" i="4"/>
  <c r="E195" i="4"/>
  <c r="F195" i="4"/>
  <c r="H194" i="4"/>
  <c r="B195" i="4" l="1"/>
  <c r="C195" i="4" s="1"/>
  <c r="M196" i="3"/>
  <c r="D196" i="4"/>
  <c r="E196" i="4"/>
  <c r="H195" i="4"/>
  <c r="F196" i="4"/>
  <c r="G195" i="4" l="1"/>
  <c r="B196" i="4"/>
  <c r="G196" i="4" s="1"/>
  <c r="M197" i="3"/>
  <c r="D197" i="4"/>
  <c r="F197" i="4"/>
  <c r="H196" i="4"/>
  <c r="E197" i="4"/>
  <c r="B197" i="4" l="1"/>
  <c r="C197" i="4" s="1"/>
  <c r="C196" i="4"/>
  <c r="G197" i="4"/>
  <c r="M198" i="3"/>
  <c r="E198" i="4"/>
  <c r="D198" i="4"/>
  <c r="H197" i="4"/>
  <c r="F198" i="4"/>
  <c r="B198" i="4" l="1"/>
  <c r="G198" i="4" s="1"/>
  <c r="M199" i="3"/>
  <c r="D199" i="4"/>
  <c r="F199" i="4"/>
  <c r="H198" i="4"/>
  <c r="E199" i="4"/>
  <c r="C198" i="4" l="1"/>
  <c r="B199" i="4"/>
  <c r="G199" i="4" s="1"/>
  <c r="M200" i="3"/>
  <c r="D200" i="4"/>
  <c r="F200" i="4"/>
  <c r="H199" i="4"/>
  <c r="E200" i="4"/>
  <c r="C199" i="4" l="1"/>
  <c r="B200" i="4"/>
  <c r="C200" i="4" s="1"/>
  <c r="G200" i="4"/>
  <c r="M201" i="3"/>
  <c r="D201" i="4"/>
  <c r="E201" i="4"/>
  <c r="H200" i="4"/>
  <c r="F201" i="4"/>
  <c r="B201" i="4" l="1"/>
  <c r="C201" i="4" s="1"/>
  <c r="M202" i="3"/>
  <c r="F202" i="4"/>
  <c r="D202" i="4"/>
  <c r="E202" i="4"/>
  <c r="H201" i="4"/>
  <c r="G201" i="4" l="1"/>
  <c r="B202" i="4"/>
  <c r="G202" i="4" s="1"/>
  <c r="C202" i="4"/>
  <c r="M203" i="3"/>
  <c r="H202" i="4"/>
  <c r="D203" i="4"/>
  <c r="F203" i="4"/>
  <c r="E203" i="4"/>
  <c r="B203" i="4" l="1"/>
  <c r="C203" i="4"/>
  <c r="G203" i="4"/>
  <c r="M204" i="3"/>
  <c r="D204" i="4"/>
  <c r="F204" i="4"/>
  <c r="E204" i="4"/>
  <c r="H203" i="4"/>
  <c r="B204" i="4" l="1"/>
  <c r="C204" i="4" s="1"/>
  <c r="M205" i="3"/>
  <c r="D205" i="4"/>
  <c r="E205" i="4"/>
  <c r="H204" i="4"/>
  <c r="F205" i="4"/>
  <c r="B205" i="4" l="1"/>
  <c r="G204" i="4"/>
  <c r="G205" i="4"/>
  <c r="C205" i="4"/>
  <c r="M206" i="3"/>
  <c r="H205" i="4"/>
  <c r="E206" i="4"/>
  <c r="F206" i="4"/>
  <c r="D206" i="4"/>
  <c r="B206" i="4" l="1"/>
  <c r="C206" i="4" s="1"/>
  <c r="M207" i="3"/>
  <c r="D207" i="4"/>
  <c r="F207" i="4"/>
  <c r="E207" i="4"/>
  <c r="H206" i="4"/>
  <c r="G206" i="4" l="1"/>
  <c r="B207" i="4"/>
  <c r="G207" i="4" s="1"/>
  <c r="M208" i="3"/>
  <c r="D208" i="4"/>
  <c r="F208" i="4"/>
  <c r="H207" i="4"/>
  <c r="E208" i="4"/>
  <c r="C207" i="4" l="1"/>
  <c r="B208" i="4"/>
  <c r="C208" i="4" s="1"/>
  <c r="M209" i="3"/>
  <c r="D209" i="4"/>
  <c r="F209" i="4"/>
  <c r="H208" i="4"/>
  <c r="E209" i="4"/>
  <c r="G208" i="4" l="1"/>
  <c r="B209" i="4"/>
  <c r="C209" i="4" s="1"/>
  <c r="G209" i="4"/>
  <c r="M210" i="3"/>
  <c r="H209" i="4"/>
  <c r="F210" i="4"/>
  <c r="D210" i="4"/>
  <c r="E210" i="4"/>
  <c r="B210" i="4" l="1"/>
  <c r="G210" i="4" s="1"/>
  <c r="M211" i="3"/>
  <c r="D211" i="4"/>
  <c r="H210" i="4"/>
  <c r="E211" i="4"/>
  <c r="F211" i="4"/>
  <c r="C210" i="4" l="1"/>
  <c r="B211" i="4"/>
  <c r="C211" i="4" s="1"/>
  <c r="G211" i="4"/>
  <c r="M212" i="3"/>
  <c r="F212" i="4"/>
  <c r="H211" i="4"/>
  <c r="D212" i="4"/>
  <c r="E212" i="4"/>
  <c r="B212" i="4" l="1"/>
  <c r="G212" i="4" s="1"/>
  <c r="M213" i="3"/>
  <c r="D213" i="4"/>
  <c r="E213" i="4"/>
  <c r="F213" i="4"/>
  <c r="H212" i="4"/>
  <c r="C212" i="4" l="1"/>
  <c r="B213" i="4"/>
  <c r="G213" i="4"/>
  <c r="C213" i="4"/>
  <c r="M214" i="3"/>
  <c r="F214" i="4"/>
  <c r="H213" i="4"/>
  <c r="E214" i="4"/>
  <c r="D214" i="4"/>
  <c r="B214" i="4" l="1"/>
  <c r="G214" i="4" s="1"/>
  <c r="M215" i="3"/>
  <c r="D215" i="4"/>
  <c r="H214" i="4"/>
  <c r="E215" i="4"/>
  <c r="F215" i="4"/>
  <c r="C214" i="4" l="1"/>
  <c r="B215" i="4"/>
  <c r="C215" i="4" s="1"/>
  <c r="M216" i="3"/>
  <c r="D216" i="4"/>
  <c r="E216" i="4"/>
  <c r="F216" i="4"/>
  <c r="H215" i="4"/>
  <c r="G215" i="4" l="1"/>
  <c r="B216" i="4"/>
  <c r="G216" i="4" s="1"/>
  <c r="C216" i="4"/>
  <c r="M217" i="3"/>
  <c r="D217" i="4"/>
  <c r="F217" i="4"/>
  <c r="E217" i="4"/>
  <c r="H216" i="4"/>
  <c r="B217" i="4" l="1"/>
  <c r="C217" i="4" s="1"/>
  <c r="G217" i="4"/>
  <c r="M218" i="3"/>
  <c r="D218" i="4"/>
  <c r="E218" i="4"/>
  <c r="H217" i="4"/>
  <c r="F218" i="4"/>
  <c r="B218" i="4" l="1"/>
  <c r="G218" i="4" s="1"/>
  <c r="C218" i="4"/>
  <c r="M219" i="3"/>
  <c r="D219" i="4"/>
  <c r="E219" i="4"/>
  <c r="F219" i="4"/>
  <c r="H218" i="4"/>
  <c r="B219" i="4" l="1"/>
  <c r="C219" i="4" s="1"/>
  <c r="M220" i="3"/>
  <c r="D220" i="4"/>
  <c r="H219" i="4"/>
  <c r="F220" i="4"/>
  <c r="E220" i="4"/>
  <c r="G219" i="4" l="1"/>
  <c r="B220" i="4"/>
  <c r="G220" i="4" s="1"/>
  <c r="M221" i="3"/>
  <c r="D221" i="4"/>
  <c r="F221" i="4"/>
  <c r="E221" i="4"/>
  <c r="H220" i="4"/>
  <c r="C220" i="4" l="1"/>
  <c r="B221" i="4"/>
  <c r="G221" i="4"/>
  <c r="C221" i="4"/>
  <c r="M222" i="3"/>
  <c r="D222" i="4"/>
  <c r="F222" i="4"/>
  <c r="H221" i="4"/>
  <c r="E222" i="4"/>
  <c r="B222" i="4" l="1"/>
  <c r="G222" i="4" s="1"/>
  <c r="M223" i="3"/>
  <c r="D223" i="4"/>
  <c r="F223" i="4"/>
  <c r="H222" i="4"/>
  <c r="E223" i="4"/>
  <c r="C222" i="4" l="1"/>
  <c r="B223" i="4"/>
  <c r="C223" i="4" s="1"/>
  <c r="G223" i="4"/>
  <c r="M224" i="3"/>
  <c r="D224" i="4"/>
  <c r="F224" i="4"/>
  <c r="H223" i="4"/>
  <c r="E224" i="4"/>
  <c r="B224" i="4" l="1"/>
  <c r="C224" i="4" s="1"/>
  <c r="G224" i="4"/>
  <c r="M225" i="3"/>
  <c r="D225" i="4"/>
  <c r="H224" i="4"/>
  <c r="F225" i="4"/>
  <c r="E225" i="4"/>
  <c r="B225" i="4" l="1"/>
  <c r="G225" i="4" s="1"/>
  <c r="M226" i="3"/>
  <c r="H225" i="4"/>
  <c r="F226" i="4"/>
  <c r="E226" i="4"/>
  <c r="D226" i="4"/>
  <c r="C225" i="4" l="1"/>
  <c r="B226" i="4"/>
  <c r="G226" i="4" s="1"/>
  <c r="M227" i="3"/>
  <c r="C226" i="4"/>
  <c r="D227" i="4"/>
  <c r="E227" i="4"/>
  <c r="F227" i="4"/>
  <c r="H226" i="4"/>
  <c r="B227" i="4" l="1"/>
  <c r="C227" i="4" s="1"/>
  <c r="G227" i="4"/>
  <c r="M228" i="3"/>
  <c r="D228" i="4"/>
  <c r="E228" i="4"/>
  <c r="H227" i="4"/>
  <c r="F228" i="4"/>
  <c r="B228" i="4" l="1"/>
  <c r="C228" i="4" s="1"/>
  <c r="M229" i="3"/>
  <c r="D229" i="4"/>
  <c r="H228" i="4"/>
  <c r="F229" i="4"/>
  <c r="E229" i="4"/>
  <c r="B229" i="4" l="1"/>
  <c r="C229" i="4" s="1"/>
  <c r="G228" i="4"/>
  <c r="M230" i="3"/>
  <c r="D230" i="4"/>
  <c r="H229" i="4"/>
  <c r="F230" i="4"/>
  <c r="E230" i="4"/>
  <c r="B230" i="4" l="1"/>
  <c r="C230" i="4" s="1"/>
  <c r="G229" i="4"/>
  <c r="G230" i="4"/>
  <c r="M231" i="3"/>
  <c r="H230" i="4"/>
  <c r="D231" i="4"/>
  <c r="F231" i="4"/>
  <c r="E231" i="4"/>
  <c r="B231" i="4" l="1"/>
  <c r="C231" i="4" s="1"/>
  <c r="M232" i="3"/>
  <c r="D232" i="4"/>
  <c r="E232" i="4"/>
  <c r="F232" i="4"/>
  <c r="H231" i="4"/>
  <c r="G231" i="4" l="1"/>
  <c r="B232" i="4"/>
  <c r="G232" i="4" s="1"/>
  <c r="M233" i="3"/>
  <c r="F233" i="4"/>
  <c r="D233" i="4"/>
  <c r="H232" i="4"/>
  <c r="E233" i="4"/>
  <c r="C232" i="4" l="1"/>
  <c r="B233" i="4"/>
  <c r="C233" i="4" s="1"/>
  <c r="M234" i="3"/>
  <c r="F234" i="4"/>
  <c r="E234" i="4"/>
  <c r="H233" i="4"/>
  <c r="D234" i="4"/>
  <c r="G233" i="4" l="1"/>
  <c r="B234" i="4"/>
  <c r="G234" i="4" s="1"/>
  <c r="M235" i="3"/>
  <c r="D235" i="4"/>
  <c r="H234" i="4"/>
  <c r="F235" i="4"/>
  <c r="E235" i="4"/>
  <c r="C234" i="4" l="1"/>
  <c r="B235" i="4"/>
  <c r="G235" i="4" s="1"/>
  <c r="M236" i="3"/>
  <c r="D236" i="4"/>
  <c r="F236" i="4"/>
  <c r="E236" i="4"/>
  <c r="H235" i="4"/>
  <c r="C235" i="4" l="1"/>
  <c r="B236" i="4"/>
  <c r="G236" i="4" s="1"/>
  <c r="M237" i="3"/>
  <c r="D237" i="4"/>
  <c r="E237" i="4"/>
  <c r="H236" i="4"/>
  <c r="F237" i="4"/>
  <c r="C236" i="4" l="1"/>
  <c r="B237" i="4"/>
  <c r="G237" i="4" s="1"/>
  <c r="M238" i="3"/>
  <c r="D238" i="4"/>
  <c r="F238" i="4"/>
  <c r="E238" i="4"/>
  <c r="H237" i="4"/>
  <c r="C237" i="4" l="1"/>
  <c r="B238" i="4"/>
  <c r="G238" i="4" s="1"/>
  <c r="C238" i="4"/>
  <c r="M239" i="3"/>
  <c r="D239" i="4"/>
  <c r="F239" i="4"/>
  <c r="H238" i="4"/>
  <c r="E239" i="4"/>
  <c r="B239" i="4" l="1"/>
  <c r="C239" i="4" s="1"/>
  <c r="M240" i="3"/>
  <c r="D240" i="4"/>
  <c r="F240" i="4"/>
  <c r="H239" i="4"/>
  <c r="E240" i="4"/>
  <c r="G239" i="4" l="1"/>
  <c r="B240" i="4"/>
  <c r="G240" i="4" s="1"/>
  <c r="M241" i="3"/>
  <c r="D241" i="4"/>
  <c r="E241" i="4"/>
  <c r="F241" i="4"/>
  <c r="H240" i="4"/>
  <c r="C240" i="4" l="1"/>
  <c r="B241" i="4"/>
  <c r="C241" i="4" s="1"/>
  <c r="M242" i="3"/>
  <c r="D242" i="4"/>
  <c r="F242" i="4"/>
  <c r="E242" i="4"/>
  <c r="H241" i="4"/>
  <c r="G241" i="4" l="1"/>
  <c r="B242" i="4"/>
  <c r="C242" i="4" s="1"/>
  <c r="G242" i="4"/>
  <c r="M243" i="3"/>
  <c r="D243" i="4"/>
  <c r="F243" i="4"/>
  <c r="H242" i="4"/>
  <c r="E243" i="4"/>
  <c r="B243" i="4" l="1"/>
  <c r="G243" i="4" s="1"/>
  <c r="M244" i="3"/>
  <c r="C243" i="4"/>
  <c r="D244" i="4"/>
  <c r="H243" i="4"/>
  <c r="F244" i="4"/>
  <c r="E244" i="4"/>
  <c r="B244" i="4" l="1"/>
  <c r="G244" i="4" s="1"/>
  <c r="C244" i="4"/>
  <c r="M245" i="3"/>
  <c r="D245" i="4"/>
  <c r="H244" i="4"/>
  <c r="F245" i="4"/>
  <c r="E245" i="4"/>
  <c r="B245" i="4" l="1"/>
  <c r="G245" i="4" s="1"/>
  <c r="M246" i="3"/>
  <c r="H245" i="4"/>
  <c r="D246" i="4"/>
  <c r="E246" i="4"/>
  <c r="F246" i="4"/>
  <c r="C245" i="4" l="1"/>
  <c r="B246" i="4"/>
  <c r="C246" i="4" s="1"/>
  <c r="M247" i="3"/>
  <c r="H246" i="4"/>
  <c r="D247" i="4"/>
  <c r="E247" i="4"/>
  <c r="F247" i="4"/>
  <c r="B247" i="4" l="1"/>
  <c r="G247" i="4" s="1"/>
  <c r="G246" i="4"/>
  <c r="C247" i="4"/>
  <c r="M248" i="3"/>
  <c r="F248" i="4"/>
  <c r="D248" i="4"/>
  <c r="E248" i="4"/>
  <c r="H247" i="4"/>
  <c r="B248" i="4" l="1"/>
  <c r="G248" i="4" s="1"/>
  <c r="M249" i="3"/>
  <c r="D249" i="4"/>
  <c r="E249" i="4"/>
  <c r="H248" i="4"/>
  <c r="F249" i="4"/>
  <c r="B249" i="4" l="1"/>
  <c r="C249" i="4" s="1"/>
  <c r="C248" i="4"/>
  <c r="M250" i="3"/>
  <c r="E250" i="4"/>
  <c r="F250" i="4"/>
  <c r="D250" i="4"/>
  <c r="H249" i="4"/>
  <c r="G249" i="4" l="1"/>
  <c r="B250" i="4"/>
  <c r="C250" i="4" s="1"/>
  <c r="G250" i="4"/>
  <c r="M251" i="3"/>
  <c r="D251" i="4"/>
  <c r="H250" i="4"/>
  <c r="F251" i="4"/>
  <c r="E251" i="4"/>
  <c r="B251" i="4" l="1"/>
  <c r="C251" i="4" s="1"/>
  <c r="M252" i="3"/>
  <c r="D252" i="4"/>
  <c r="E252" i="4"/>
  <c r="H251" i="4"/>
  <c r="F252" i="4"/>
  <c r="G251" i="4" l="1"/>
  <c r="B252" i="4"/>
  <c r="G252" i="4" s="1"/>
  <c r="C252" i="4"/>
  <c r="M253" i="3"/>
  <c r="D253" i="4"/>
  <c r="E253" i="4"/>
  <c r="H252" i="4"/>
  <c r="F253" i="4"/>
  <c r="B253" i="4" l="1"/>
  <c r="G253" i="4" s="1"/>
  <c r="M254" i="3"/>
  <c r="D254" i="4"/>
  <c r="E254" i="4"/>
  <c r="H253" i="4"/>
  <c r="F254" i="4"/>
  <c r="C253" i="4" l="1"/>
  <c r="B254" i="4"/>
  <c r="G254" i="4" s="1"/>
  <c r="M255" i="3"/>
  <c r="D255" i="4"/>
  <c r="F255" i="4"/>
  <c r="E255" i="4"/>
  <c r="H254" i="4"/>
  <c r="C254" i="4" l="1"/>
  <c r="B255" i="4"/>
  <c r="C255" i="4" s="1"/>
  <c r="G255" i="4"/>
  <c r="M256" i="3"/>
  <c r="D256" i="4"/>
  <c r="H255" i="4"/>
  <c r="F256" i="4"/>
  <c r="E256" i="4"/>
  <c r="B256" i="4" l="1"/>
  <c r="C256" i="4" s="1"/>
  <c r="M257" i="3"/>
  <c r="E257" i="4"/>
  <c r="F257" i="4"/>
  <c r="D257" i="4"/>
  <c r="H256" i="4"/>
  <c r="G256" i="4" l="1"/>
  <c r="B257" i="4"/>
  <c r="G257" i="4" s="1"/>
  <c r="M258" i="3"/>
  <c r="D258" i="4"/>
  <c r="H257" i="4"/>
  <c r="E258" i="4"/>
  <c r="F258" i="4"/>
  <c r="C257" i="4" l="1"/>
  <c r="B258" i="4"/>
  <c r="C258" i="4" s="1"/>
  <c r="M259" i="3"/>
  <c r="D259" i="4"/>
  <c r="E259" i="4"/>
  <c r="H258" i="4"/>
  <c r="F259" i="4"/>
  <c r="G258" i="4" l="1"/>
  <c r="B259" i="4"/>
  <c r="C259" i="4" s="1"/>
  <c r="M260" i="3"/>
  <c r="D260" i="4"/>
  <c r="F260" i="4"/>
  <c r="E260" i="4"/>
  <c r="H259" i="4"/>
  <c r="G259" i="4" l="1"/>
  <c r="B260" i="4"/>
  <c r="G260" i="4" s="1"/>
  <c r="M261" i="3"/>
  <c r="D261" i="4"/>
  <c r="F261" i="4"/>
  <c r="E261" i="4"/>
  <c r="H260" i="4"/>
  <c r="C260" i="4" l="1"/>
  <c r="B261" i="4"/>
  <c r="C261" i="4" s="1"/>
  <c r="M262" i="3"/>
  <c r="E262" i="4"/>
  <c r="H261" i="4"/>
  <c r="D262" i="4"/>
  <c r="F262" i="4"/>
  <c r="B262" i="4" l="1"/>
  <c r="G262" i="4" s="1"/>
  <c r="G261" i="4"/>
  <c r="M263" i="3"/>
  <c r="D263" i="4"/>
  <c r="F263" i="4"/>
  <c r="H262" i="4"/>
  <c r="E263" i="4"/>
  <c r="C262" i="4" l="1"/>
  <c r="B263" i="4"/>
  <c r="G263" i="4" s="1"/>
  <c r="M264" i="3"/>
  <c r="D264" i="4"/>
  <c r="E264" i="4"/>
  <c r="H263" i="4"/>
  <c r="F264" i="4"/>
  <c r="C263" i="4" l="1"/>
  <c r="B264" i="4"/>
  <c r="G264" i="4" s="1"/>
  <c r="M265" i="3"/>
  <c r="D265" i="4"/>
  <c r="H264" i="4"/>
  <c r="E265" i="4"/>
  <c r="F265" i="4"/>
  <c r="B265" i="4" l="1"/>
  <c r="G265" i="4" s="1"/>
  <c r="C264" i="4"/>
  <c r="C265" i="4"/>
  <c r="M266" i="3"/>
  <c r="F266" i="4"/>
  <c r="D266" i="4"/>
  <c r="E266" i="4"/>
  <c r="H265" i="4"/>
  <c r="B266" i="4" l="1"/>
  <c r="C266" i="4" s="1"/>
  <c r="M267" i="3"/>
  <c r="H266" i="4"/>
  <c r="E267" i="4"/>
  <c r="D267" i="4"/>
  <c r="F267" i="4"/>
  <c r="G266" i="4" l="1"/>
  <c r="B267" i="4"/>
  <c r="C267" i="4" s="1"/>
  <c r="M268" i="3"/>
  <c r="D268" i="4"/>
  <c r="F268" i="4"/>
  <c r="E268" i="4"/>
  <c r="H267" i="4"/>
  <c r="G267" i="4" l="1"/>
  <c r="B268" i="4"/>
  <c r="C268" i="4" s="1"/>
  <c r="M269" i="3"/>
  <c r="D269" i="4"/>
  <c r="H268" i="4"/>
  <c r="F269" i="4"/>
  <c r="E269" i="4"/>
  <c r="G268" i="4" l="1"/>
  <c r="B269" i="4"/>
  <c r="C269" i="4" s="1"/>
  <c r="G269" i="4"/>
  <c r="M270" i="3"/>
  <c r="D270" i="4"/>
  <c r="H269" i="4"/>
  <c r="F270" i="4"/>
  <c r="E270" i="4"/>
  <c r="B270" i="4" l="1"/>
  <c r="C270" i="4" s="1"/>
  <c r="M271" i="3"/>
  <c r="D271" i="4"/>
  <c r="H270" i="4"/>
  <c r="E271" i="4"/>
  <c r="F271" i="4"/>
  <c r="G270" i="4" l="1"/>
  <c r="B271" i="4"/>
  <c r="G271" i="4" s="1"/>
  <c r="M272" i="3"/>
  <c r="D272" i="4"/>
  <c r="E272" i="4"/>
  <c r="F272" i="4"/>
  <c r="H271" i="4"/>
  <c r="C271" i="4" l="1"/>
  <c r="B272" i="4"/>
  <c r="C272" i="4" s="1"/>
  <c r="M273" i="3"/>
  <c r="D273" i="4"/>
  <c r="F273" i="4"/>
  <c r="H272" i="4"/>
  <c r="E273" i="4"/>
  <c r="G272" i="4" l="1"/>
  <c r="B273" i="4"/>
  <c r="G273" i="4" s="1"/>
  <c r="C273" i="4"/>
  <c r="M274" i="3"/>
  <c r="D274" i="4"/>
  <c r="H273" i="4"/>
  <c r="E274" i="4"/>
  <c r="F274" i="4"/>
  <c r="B274" i="4" l="1"/>
  <c r="C274" i="4" s="1"/>
  <c r="M275" i="3"/>
  <c r="D275" i="4"/>
  <c r="H274" i="4"/>
  <c r="E275" i="4"/>
  <c r="F275" i="4"/>
  <c r="G274" i="4" l="1"/>
  <c r="B275" i="4"/>
  <c r="C275" i="4"/>
  <c r="G275" i="4"/>
  <c r="M276" i="3"/>
  <c r="D276" i="4"/>
  <c r="E276" i="4"/>
  <c r="F276" i="4"/>
  <c r="H275" i="4"/>
  <c r="B276" i="4" l="1"/>
  <c r="G276" i="4" s="1"/>
  <c r="M277" i="3"/>
  <c r="D277" i="4"/>
  <c r="E277" i="4"/>
  <c r="F277" i="4"/>
  <c r="H276" i="4"/>
  <c r="C276" i="4" l="1"/>
  <c r="B277" i="4"/>
  <c r="C277" i="4" s="1"/>
  <c r="M278" i="3"/>
  <c r="D278" i="4"/>
  <c r="E278" i="4"/>
  <c r="H277" i="4"/>
  <c r="F278" i="4"/>
  <c r="G277" i="4" l="1"/>
  <c r="B278" i="4"/>
  <c r="G278" i="4" s="1"/>
  <c r="M279" i="3"/>
  <c r="D279" i="4"/>
  <c r="E279" i="4"/>
  <c r="F279" i="4"/>
  <c r="H278" i="4"/>
  <c r="C278" i="4" l="1"/>
  <c r="B279" i="4"/>
  <c r="C279" i="4" s="1"/>
  <c r="M280" i="3"/>
  <c r="D280" i="4"/>
  <c r="F280" i="4"/>
  <c r="E280" i="4"/>
  <c r="H279" i="4"/>
  <c r="G279" i="4" l="1"/>
  <c r="B280" i="4"/>
  <c r="C280" i="4" s="1"/>
  <c r="G280" i="4"/>
  <c r="M281" i="3"/>
  <c r="D281" i="4"/>
  <c r="E281" i="4"/>
  <c r="H280" i="4"/>
  <c r="F281" i="4"/>
  <c r="B281" i="4" l="1"/>
  <c r="G281" i="4" s="1"/>
  <c r="M282" i="3"/>
  <c r="D282" i="4"/>
  <c r="E282" i="4"/>
  <c r="H281" i="4"/>
  <c r="F282" i="4"/>
  <c r="B282" i="4" l="1"/>
  <c r="C282" i="4" s="1"/>
  <c r="C281" i="4"/>
  <c r="M283" i="3"/>
  <c r="D283" i="4"/>
  <c r="F283" i="4"/>
  <c r="H282" i="4"/>
  <c r="E283" i="4"/>
  <c r="G282" i="4" l="1"/>
  <c r="B283" i="4"/>
  <c r="G283" i="4" s="1"/>
  <c r="C283" i="4"/>
  <c r="M284" i="3"/>
  <c r="D284" i="4"/>
  <c r="F284" i="4"/>
  <c r="E284" i="4"/>
  <c r="H283" i="4"/>
  <c r="B284" i="4" l="1"/>
  <c r="G284" i="4" s="1"/>
  <c r="M285" i="3"/>
  <c r="D285" i="4"/>
  <c r="E285" i="4"/>
  <c r="H284" i="4"/>
  <c r="F285" i="4"/>
  <c r="C284" i="4" l="1"/>
  <c r="B285" i="4"/>
  <c r="C285" i="4" s="1"/>
  <c r="G285" i="4"/>
  <c r="M286" i="3"/>
  <c r="D286" i="4"/>
  <c r="E286" i="4"/>
  <c r="H285" i="4"/>
  <c r="F286" i="4"/>
  <c r="B286" i="4" l="1"/>
  <c r="C286" i="4" s="1"/>
  <c r="M287" i="3"/>
  <c r="D287" i="4"/>
  <c r="E287" i="4"/>
  <c r="F287" i="4"/>
  <c r="H286" i="4"/>
  <c r="G286" i="4" l="1"/>
  <c r="B287" i="4"/>
  <c r="G287" i="4" s="1"/>
  <c r="M288" i="3"/>
  <c r="D288" i="4"/>
  <c r="F288" i="4"/>
  <c r="E288" i="4"/>
  <c r="H287" i="4"/>
  <c r="C287" i="4" l="1"/>
  <c r="B288" i="4"/>
  <c r="G288" i="4" s="1"/>
  <c r="M289" i="3"/>
  <c r="E289" i="4"/>
  <c r="F289" i="4"/>
  <c r="D289" i="4"/>
  <c r="H288" i="4"/>
  <c r="B289" i="4" l="1"/>
  <c r="G289" i="4" s="1"/>
  <c r="C288" i="4"/>
  <c r="M290" i="3"/>
  <c r="D290" i="4"/>
  <c r="E290" i="4"/>
  <c r="H289" i="4"/>
  <c r="F290" i="4"/>
  <c r="C289" i="4" l="1"/>
  <c r="B290" i="4"/>
  <c r="C290" i="4" s="1"/>
  <c r="M291" i="3"/>
  <c r="E291" i="4"/>
  <c r="D291" i="4"/>
  <c r="F291" i="4"/>
  <c r="H290" i="4"/>
  <c r="G290" i="4" l="1"/>
  <c r="B291" i="4"/>
  <c r="C291" i="4" s="1"/>
  <c r="M292" i="3"/>
  <c r="F292" i="4"/>
  <c r="E292" i="4"/>
  <c r="D292" i="4"/>
  <c r="H291" i="4"/>
  <c r="G291" i="4" l="1"/>
  <c r="B292" i="4"/>
  <c r="G292" i="4" s="1"/>
  <c r="C292" i="4"/>
  <c r="M293" i="3"/>
  <c r="D293" i="4"/>
  <c r="H292" i="4"/>
  <c r="E293" i="4"/>
  <c r="F293" i="4"/>
  <c r="B293" i="4" l="1"/>
  <c r="C293" i="4" s="1"/>
  <c r="M294" i="3"/>
  <c r="D294" i="4"/>
  <c r="E294" i="4"/>
  <c r="F294" i="4"/>
  <c r="H293" i="4"/>
  <c r="G293" i="4" l="1"/>
  <c r="B294" i="4"/>
  <c r="G294" i="4" s="1"/>
  <c r="M295" i="3"/>
  <c r="F295" i="4"/>
  <c r="D295" i="4"/>
  <c r="H294" i="4"/>
  <c r="E295" i="4"/>
  <c r="C294" i="4" l="1"/>
  <c r="B295" i="4"/>
  <c r="G295" i="4" s="1"/>
  <c r="M296" i="3"/>
  <c r="D296" i="4"/>
  <c r="E296" i="4"/>
  <c r="H295" i="4"/>
  <c r="F296" i="4"/>
  <c r="C295" i="4" l="1"/>
  <c r="B296" i="4"/>
  <c r="C296" i="4" s="1"/>
  <c r="M297" i="3"/>
  <c r="D297" i="4"/>
  <c r="H296" i="4"/>
  <c r="E297" i="4"/>
  <c r="F297" i="4"/>
  <c r="B297" i="4" l="1"/>
  <c r="G297" i="4" s="1"/>
  <c r="G296" i="4"/>
  <c r="M298" i="3"/>
  <c r="D298" i="4"/>
  <c r="E298" i="4"/>
  <c r="F298" i="4"/>
  <c r="H297" i="4"/>
  <c r="B298" i="4" l="1"/>
  <c r="G298" i="4" s="1"/>
  <c r="C297" i="4"/>
  <c r="C298" i="4"/>
  <c r="M299" i="3"/>
  <c r="H298" i="4"/>
  <c r="D299" i="4"/>
  <c r="E299" i="4"/>
  <c r="F299" i="4"/>
  <c r="B299" i="4" l="1"/>
  <c r="C299" i="4" s="1"/>
  <c r="G299" i="4"/>
  <c r="M300" i="3"/>
  <c r="D300" i="4"/>
  <c r="F300" i="4"/>
  <c r="H299" i="4"/>
  <c r="E300" i="4"/>
  <c r="B300" i="4" l="1"/>
  <c r="C300" i="4" s="1"/>
  <c r="G300" i="4"/>
  <c r="M301" i="3"/>
  <c r="D301" i="4"/>
  <c r="H300" i="4"/>
  <c r="E301" i="4"/>
  <c r="F301" i="4"/>
  <c r="B301" i="4" l="1"/>
  <c r="G301" i="4"/>
  <c r="C301" i="4"/>
  <c r="M302" i="3"/>
  <c r="D302" i="4"/>
  <c r="F302" i="4"/>
  <c r="E302" i="4"/>
  <c r="H301" i="4"/>
  <c r="B302" i="4" l="1"/>
  <c r="C302" i="4" s="1"/>
  <c r="M303" i="3"/>
  <c r="D303" i="4"/>
  <c r="H302" i="4"/>
  <c r="E303" i="4"/>
  <c r="F303" i="4"/>
  <c r="G302" i="4" l="1"/>
  <c r="B303" i="4"/>
  <c r="G303" i="4" s="1"/>
  <c r="M304" i="3"/>
  <c r="D304" i="4"/>
  <c r="F304" i="4"/>
  <c r="E304" i="4"/>
  <c r="H303" i="4"/>
  <c r="C303" i="4" l="1"/>
  <c r="B304" i="4"/>
  <c r="C304" i="4" s="1"/>
  <c r="M305" i="3"/>
  <c r="D305" i="4"/>
  <c r="H304" i="4"/>
  <c r="E305" i="4"/>
  <c r="F305" i="4"/>
  <c r="G304" i="4" l="1"/>
  <c r="B305" i="4"/>
  <c r="G305" i="4" s="1"/>
  <c r="M306" i="3"/>
  <c r="D306" i="4"/>
  <c r="H305" i="4"/>
  <c r="F306" i="4"/>
  <c r="E306" i="4"/>
  <c r="C305" i="4" l="1"/>
  <c r="B306" i="4"/>
  <c r="C306" i="4" s="1"/>
  <c r="M307" i="3"/>
  <c r="D307" i="4"/>
  <c r="F307" i="4"/>
  <c r="E307" i="4"/>
  <c r="H306" i="4"/>
  <c r="G306" i="4" l="1"/>
  <c r="B307" i="4"/>
  <c r="G307" i="4" s="1"/>
  <c r="C307" i="4"/>
  <c r="M308" i="3"/>
  <c r="D308" i="4"/>
  <c r="H307" i="4"/>
  <c r="F308" i="4"/>
  <c r="E308" i="4"/>
  <c r="B308" i="4" l="1"/>
  <c r="G308" i="4" s="1"/>
  <c r="M309" i="3"/>
  <c r="D309" i="4"/>
  <c r="E309" i="4"/>
  <c r="F309" i="4"/>
  <c r="H308" i="4"/>
  <c r="C308" i="4" l="1"/>
  <c r="B309" i="4"/>
  <c r="G309" i="4" s="1"/>
  <c r="M310" i="3"/>
  <c r="D310" i="4"/>
  <c r="H309" i="4"/>
  <c r="E310" i="4"/>
  <c r="F310" i="4"/>
  <c r="C309" i="4" l="1"/>
  <c r="B310" i="4"/>
  <c r="C310" i="4" s="1"/>
  <c r="M311" i="3"/>
  <c r="D311" i="4"/>
  <c r="E311" i="4"/>
  <c r="F311" i="4"/>
  <c r="H310" i="4"/>
  <c r="G310" i="4" l="1"/>
  <c r="B311" i="4"/>
  <c r="G311" i="4" s="1"/>
  <c r="M312" i="3"/>
  <c r="D312" i="4"/>
  <c r="E312" i="4"/>
  <c r="F312" i="4"/>
  <c r="H311" i="4"/>
  <c r="B312" i="4" l="1"/>
  <c r="C312" i="4" s="1"/>
  <c r="C311" i="4"/>
  <c r="M313" i="3"/>
  <c r="F313" i="4"/>
  <c r="D313" i="4"/>
  <c r="E313" i="4"/>
  <c r="H312" i="4"/>
  <c r="G312" i="4" l="1"/>
  <c r="B313" i="4"/>
  <c r="G313" i="4" s="1"/>
  <c r="M314" i="3"/>
  <c r="D314" i="4"/>
  <c r="F314" i="4"/>
  <c r="E314" i="4"/>
  <c r="H313" i="4"/>
  <c r="C313" i="4" l="1"/>
  <c r="B314" i="4"/>
  <c r="C314" i="4" s="1"/>
  <c r="M315" i="3"/>
  <c r="D315" i="4"/>
  <c r="E315" i="4"/>
  <c r="H314" i="4"/>
  <c r="F315" i="4"/>
  <c r="G314" i="4" l="1"/>
  <c r="B315" i="4"/>
  <c r="C315" i="4" s="1"/>
  <c r="M316" i="3"/>
  <c r="D316" i="4"/>
  <c r="F316" i="4"/>
  <c r="E316" i="4"/>
  <c r="H315" i="4"/>
  <c r="G315" i="4" l="1"/>
  <c r="B316" i="4"/>
  <c r="C316" i="4" s="1"/>
  <c r="M317" i="3"/>
  <c r="D317" i="4"/>
  <c r="H316" i="4"/>
  <c r="E317" i="4"/>
  <c r="F317" i="4"/>
  <c r="G316" i="4" l="1"/>
  <c r="B317" i="4"/>
  <c r="C317" i="4" s="1"/>
  <c r="M318" i="3"/>
  <c r="D318" i="4"/>
  <c r="E318" i="4"/>
  <c r="F318" i="4"/>
  <c r="H317" i="4"/>
  <c r="G317" i="4" l="1"/>
  <c r="B318" i="4"/>
  <c r="G318" i="4" s="1"/>
  <c r="M319" i="3"/>
  <c r="D319" i="4"/>
  <c r="E319" i="4"/>
  <c r="F319" i="4"/>
  <c r="H318" i="4"/>
  <c r="C318" i="4" l="1"/>
  <c r="B319" i="4"/>
  <c r="C319" i="4" s="1"/>
  <c r="M320" i="3"/>
  <c r="D320" i="4"/>
  <c r="H319" i="4"/>
  <c r="E320" i="4"/>
  <c r="F320" i="4"/>
  <c r="G319" i="4" l="1"/>
  <c r="B320" i="4"/>
  <c r="G320" i="4" s="1"/>
  <c r="C320" i="4"/>
  <c r="M321" i="3"/>
  <c r="D321" i="4"/>
  <c r="E321" i="4"/>
  <c r="F321" i="4"/>
  <c r="H320" i="4"/>
  <c r="B321" i="4" l="1"/>
  <c r="C321" i="4" s="1"/>
  <c r="M322" i="3"/>
  <c r="D322" i="4"/>
  <c r="H321" i="4"/>
  <c r="E322" i="4"/>
  <c r="F322" i="4"/>
  <c r="G321" i="4" l="1"/>
  <c r="B322" i="4"/>
  <c r="C322" i="4" s="1"/>
  <c r="M323" i="3"/>
  <c r="D323" i="4"/>
  <c r="F323" i="4"/>
  <c r="H322" i="4"/>
  <c r="E323" i="4"/>
  <c r="G322" i="4" l="1"/>
  <c r="B323" i="4"/>
  <c r="G323" i="4" s="1"/>
  <c r="M324" i="3"/>
  <c r="D324" i="4"/>
  <c r="H323" i="4"/>
  <c r="F324" i="4"/>
  <c r="E324" i="4"/>
  <c r="C323" i="4" l="1"/>
  <c r="B324" i="4"/>
  <c r="G324" i="4" s="1"/>
  <c r="M325" i="3"/>
  <c r="D325" i="4"/>
  <c r="E325" i="4"/>
  <c r="F325" i="4"/>
  <c r="H324" i="4"/>
  <c r="C324" i="4" l="1"/>
  <c r="B325" i="4"/>
  <c r="G325" i="4" s="1"/>
  <c r="M326" i="3"/>
  <c r="D326" i="4"/>
  <c r="F326" i="4"/>
  <c r="E326" i="4"/>
  <c r="H325" i="4"/>
  <c r="C325" i="4" l="1"/>
  <c r="B326" i="4"/>
  <c r="C326" i="4" s="1"/>
  <c r="M327" i="3"/>
  <c r="D327" i="4"/>
  <c r="E327" i="4"/>
  <c r="H326" i="4"/>
  <c r="F327" i="4"/>
  <c r="B327" i="4" l="1"/>
  <c r="C327" i="4" s="1"/>
  <c r="G326" i="4"/>
  <c r="M328" i="3"/>
  <c r="H327" i="4"/>
  <c r="E328" i="4"/>
  <c r="D328" i="4"/>
  <c r="F328" i="4"/>
  <c r="B328" i="4" l="1"/>
  <c r="G328" i="4" s="1"/>
  <c r="G327" i="4"/>
  <c r="M329" i="3"/>
  <c r="D329" i="4"/>
  <c r="H328" i="4"/>
  <c r="F329" i="4"/>
  <c r="E329" i="4"/>
  <c r="B329" i="4" l="1"/>
  <c r="G329" i="4" s="1"/>
  <c r="C328" i="4"/>
  <c r="M330" i="3"/>
  <c r="E330" i="4"/>
  <c r="D330" i="4"/>
  <c r="F330" i="4"/>
  <c r="H329" i="4"/>
  <c r="C329" i="4" l="1"/>
  <c r="B330" i="4"/>
  <c r="C330" i="4" s="1"/>
  <c r="G330" i="4"/>
  <c r="M331" i="3"/>
  <c r="D331" i="4"/>
  <c r="E331" i="4"/>
  <c r="F331" i="4"/>
  <c r="H330" i="4"/>
  <c r="B331" i="4" l="1"/>
  <c r="G331" i="4" s="1"/>
  <c r="M332" i="3"/>
  <c r="C331" i="4"/>
  <c r="D332" i="4"/>
  <c r="F332" i="4"/>
  <c r="H331" i="4"/>
  <c r="E332" i="4"/>
  <c r="B332" i="4" l="1"/>
  <c r="G332" i="4" s="1"/>
  <c r="M333" i="3"/>
  <c r="F333" i="4"/>
  <c r="H332" i="4"/>
  <c r="E333" i="4"/>
  <c r="D333" i="4"/>
  <c r="C332" i="4" l="1"/>
  <c r="B333" i="4"/>
  <c r="C333" i="4" s="1"/>
  <c r="M334" i="3"/>
  <c r="D334" i="4"/>
  <c r="E334" i="4"/>
  <c r="F334" i="4"/>
  <c r="H333" i="4"/>
  <c r="G333" i="4" l="1"/>
  <c r="B334" i="4"/>
  <c r="C334" i="4" s="1"/>
  <c r="M335" i="3"/>
  <c r="D335" i="4"/>
  <c r="F335" i="4"/>
  <c r="H334" i="4"/>
  <c r="E335" i="4"/>
  <c r="G334" i="4" l="1"/>
  <c r="B335" i="4"/>
  <c r="G335" i="4" s="1"/>
  <c r="M336" i="3"/>
  <c r="D336" i="4"/>
  <c r="F336" i="4"/>
  <c r="E336" i="4"/>
  <c r="H335" i="4"/>
  <c r="C335" i="4" l="1"/>
  <c r="B336" i="4"/>
  <c r="G336" i="4" s="1"/>
  <c r="M337" i="3"/>
  <c r="E337" i="4"/>
  <c r="H336" i="4"/>
  <c r="F337" i="4"/>
  <c r="D337" i="4"/>
  <c r="C336" i="4" l="1"/>
  <c r="B337" i="4"/>
  <c r="G337" i="4" s="1"/>
  <c r="M338" i="3"/>
  <c r="E338" i="4"/>
  <c r="H337" i="4"/>
  <c r="D338" i="4"/>
  <c r="F338" i="4"/>
  <c r="C337" i="4" l="1"/>
  <c r="B338" i="4"/>
  <c r="C338" i="4" s="1"/>
  <c r="M339" i="3"/>
  <c r="H338" i="4"/>
  <c r="D339" i="4"/>
  <c r="E339" i="4"/>
  <c r="F339" i="4"/>
  <c r="G338" i="4" l="1"/>
  <c r="B339" i="4"/>
  <c r="C339" i="4" s="1"/>
  <c r="M340" i="3"/>
  <c r="D340" i="4"/>
  <c r="F340" i="4"/>
  <c r="E340" i="4"/>
  <c r="H339" i="4"/>
  <c r="G339" i="4" l="1"/>
  <c r="B340" i="4"/>
  <c r="C340" i="4" s="1"/>
  <c r="M341" i="3"/>
  <c r="E341" i="4"/>
  <c r="D341" i="4"/>
  <c r="F341" i="4"/>
  <c r="H340" i="4"/>
  <c r="G340" i="4" l="1"/>
  <c r="B341" i="4"/>
  <c r="C341" i="4" s="1"/>
  <c r="M342" i="3"/>
  <c r="E342" i="4"/>
  <c r="F342" i="4"/>
  <c r="D342" i="4"/>
  <c r="H341" i="4"/>
  <c r="G341" i="4" l="1"/>
  <c r="B342" i="4"/>
  <c r="G342" i="4" s="1"/>
  <c r="C342" i="4"/>
  <c r="M343" i="3"/>
  <c r="D343" i="4"/>
  <c r="F343" i="4"/>
  <c r="H342" i="4"/>
  <c r="E343" i="4"/>
  <c r="B343" i="4" l="1"/>
  <c r="C343" i="4" s="1"/>
  <c r="M344" i="3"/>
  <c r="H343" i="4"/>
  <c r="D344" i="4"/>
  <c r="E344" i="4"/>
  <c r="F344" i="4"/>
  <c r="G343" i="4" l="1"/>
  <c r="B344" i="4"/>
  <c r="C344" i="4" s="1"/>
  <c r="M345" i="3"/>
  <c r="D345" i="4"/>
  <c r="E345" i="4"/>
  <c r="F345" i="4"/>
  <c r="H344" i="4"/>
  <c r="G344" i="4" l="1"/>
  <c r="B345" i="4"/>
  <c r="C345" i="4" s="1"/>
  <c r="M346" i="3"/>
  <c r="D346" i="4"/>
  <c r="E346" i="4"/>
  <c r="F346" i="4"/>
  <c r="H345" i="4"/>
  <c r="G345" i="4" l="1"/>
  <c r="B346" i="4"/>
  <c r="G346" i="4" s="1"/>
  <c r="M347" i="3"/>
  <c r="D347" i="4"/>
  <c r="H346" i="4"/>
  <c r="F347" i="4"/>
  <c r="E347" i="4"/>
  <c r="C346" i="4" l="1"/>
  <c r="B347" i="4"/>
  <c r="G347" i="4" s="1"/>
  <c r="C347" i="4"/>
  <c r="M348" i="3"/>
  <c r="D348" i="4"/>
  <c r="F348" i="4"/>
  <c r="E348" i="4"/>
  <c r="H347" i="4"/>
  <c r="B348" i="4" l="1"/>
  <c r="G348" i="4" s="1"/>
  <c r="M349" i="3"/>
  <c r="D349" i="4"/>
  <c r="H348" i="4"/>
  <c r="F349" i="4"/>
  <c r="E349" i="4"/>
  <c r="C348" i="4" l="1"/>
  <c r="B349" i="4"/>
  <c r="C349" i="4" s="1"/>
  <c r="M350" i="3"/>
  <c r="D350" i="4"/>
  <c r="E350" i="4"/>
  <c r="F350" i="4"/>
  <c r="H349" i="4"/>
  <c r="G349" i="4" l="1"/>
  <c r="B350" i="4"/>
  <c r="G350" i="4" s="1"/>
  <c r="M351" i="3"/>
  <c r="H350" i="4"/>
  <c r="E351" i="4"/>
  <c r="F351" i="4"/>
  <c r="D351" i="4"/>
  <c r="C350" i="4" l="1"/>
  <c r="B351" i="4"/>
  <c r="G351" i="4" s="1"/>
  <c r="M352" i="3"/>
  <c r="D352" i="4"/>
  <c r="F352" i="4"/>
  <c r="H351" i="4"/>
  <c r="E352" i="4"/>
  <c r="C351" i="4" l="1"/>
  <c r="B352" i="4"/>
  <c r="G352" i="4" s="1"/>
  <c r="M353" i="3"/>
  <c r="D353" i="4"/>
  <c r="F353" i="4"/>
  <c r="E353" i="4"/>
  <c r="H352" i="4"/>
  <c r="C352" i="4" l="1"/>
  <c r="B353" i="4"/>
  <c r="C353" i="4" s="1"/>
  <c r="M354" i="3"/>
  <c r="D354" i="4"/>
  <c r="E354" i="4"/>
  <c r="H353" i="4"/>
  <c r="F354" i="4"/>
  <c r="G353" i="4" l="1"/>
  <c r="B354" i="4"/>
  <c r="C354" i="4" s="1"/>
  <c r="M355" i="3"/>
  <c r="D355" i="4"/>
  <c r="E355" i="4"/>
  <c r="H354" i="4"/>
  <c r="F355" i="4"/>
  <c r="G354" i="4" l="1"/>
  <c r="B355" i="4"/>
  <c r="G355" i="4" s="1"/>
  <c r="C355" i="4"/>
  <c r="M356" i="3"/>
  <c r="D356" i="4"/>
  <c r="F356" i="4"/>
  <c r="H355" i="4"/>
  <c r="E356" i="4"/>
  <c r="B356" i="4" l="1"/>
  <c r="C356" i="4" s="1"/>
  <c r="M357" i="3"/>
  <c r="D357" i="4"/>
  <c r="E357" i="4"/>
  <c r="F357" i="4"/>
  <c r="H356" i="4"/>
  <c r="G356" i="4" l="1"/>
  <c r="B357" i="4"/>
  <c r="C357" i="4" s="1"/>
  <c r="M358" i="3"/>
  <c r="D358" i="4"/>
  <c r="H357" i="4"/>
  <c r="E358" i="4"/>
  <c r="F358" i="4"/>
  <c r="G357" i="4" l="1"/>
  <c r="B358" i="4"/>
  <c r="C358" i="4" s="1"/>
  <c r="M359" i="3"/>
  <c r="D359" i="4"/>
  <c r="H358" i="4"/>
  <c r="E359" i="4"/>
  <c r="F359" i="4"/>
  <c r="G358" i="4" l="1"/>
  <c r="B359" i="4"/>
  <c r="C359" i="4" s="1"/>
  <c r="M360" i="3"/>
  <c r="D360" i="4"/>
  <c r="H359" i="4"/>
  <c r="F360" i="4"/>
  <c r="E360" i="4"/>
  <c r="B360" i="4" l="1"/>
  <c r="G360" i="4" s="1"/>
  <c r="G359" i="4"/>
  <c r="M361" i="3"/>
  <c r="F361" i="4"/>
  <c r="D361" i="4"/>
  <c r="H360" i="4"/>
  <c r="E361" i="4"/>
  <c r="C360" i="4" l="1"/>
  <c r="B361" i="4"/>
  <c r="C361" i="4" s="1"/>
  <c r="M362" i="3"/>
  <c r="D362" i="4"/>
  <c r="H361" i="4"/>
  <c r="F362" i="4"/>
  <c r="E362" i="4"/>
  <c r="G361" i="4" l="1"/>
  <c r="B362" i="4"/>
  <c r="C362" i="4" s="1"/>
  <c r="G362" i="4"/>
  <c r="M363" i="3"/>
  <c r="H362" i="4"/>
</calcChain>
</file>

<file path=xl/sharedStrings.xml><?xml version="1.0" encoding="utf-8"?>
<sst xmlns="http://schemas.openxmlformats.org/spreadsheetml/2006/main" count="104" uniqueCount="45">
  <si>
    <t>Loan Calculation</t>
  </si>
  <si>
    <t>Original Loan</t>
  </si>
  <si>
    <t>Term</t>
  </si>
  <si>
    <t>WAC</t>
  </si>
  <si>
    <t>WAC (Gross cupon)</t>
  </si>
  <si>
    <t>Age of Loan in Months</t>
  </si>
  <si>
    <t>Original Loan term in months（Term)</t>
  </si>
  <si>
    <t>Monthly Payment</t>
  </si>
  <si>
    <t>Remaining balance (end of month)</t>
  </si>
  <si>
    <t>Principal portion of payment</t>
  </si>
  <si>
    <t>Interest portion of payment</t>
  </si>
  <si>
    <t>Verify interest portion=TOTAL PMT-Principal</t>
  </si>
  <si>
    <t>Original loan</t>
  </si>
  <si>
    <t>Interest</t>
  </si>
  <si>
    <t>Principal portion</t>
  </si>
  <si>
    <t>Interest Portion</t>
  </si>
  <si>
    <t>Remaining Balance</t>
  </si>
  <si>
    <t>Age of loan in months</t>
  </si>
  <si>
    <t>CPR</t>
  </si>
  <si>
    <t>Month</t>
  </si>
  <si>
    <t>Bench Mark 
CPR</t>
  </si>
  <si>
    <t>PSA
50</t>
  </si>
  <si>
    <t>PSA
100</t>
  </si>
  <si>
    <t>PSA
150</t>
  </si>
  <si>
    <t>SMM</t>
  </si>
  <si>
    <t>Qn=(1-SMM1)(1-SMM2)…(1-SMMn)</t>
  </si>
  <si>
    <t>Qn</t>
  </si>
  <si>
    <t>1-SMM</t>
  </si>
  <si>
    <t>PSA 
50</t>
  </si>
  <si>
    <t>Scheduled Monthly Payment</t>
  </si>
  <si>
    <t>Scheduled Interest payment</t>
  </si>
  <si>
    <t>Scheduled Principal payment</t>
  </si>
  <si>
    <t>Principal prepaid</t>
  </si>
  <si>
    <t>Q</t>
  </si>
  <si>
    <t>Sigmoid</t>
  </si>
  <si>
    <t>Exponetial</t>
  </si>
  <si>
    <t>Multi-linear</t>
  </si>
  <si>
    <t>PSA 50</t>
  </si>
  <si>
    <t>PSA 100</t>
  </si>
  <si>
    <t>PSA 200</t>
  </si>
  <si>
    <t>PSA</t>
  </si>
  <si>
    <t>CPR 5</t>
  </si>
  <si>
    <t>CPR 20</t>
  </si>
  <si>
    <t xml:space="preserve">CPR 10 </t>
  </si>
  <si>
    <t>Convert to SMM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</si>
</sst>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43" formatCode="_(* #,##0.00_);_(* \(#,##0.00\);_(* &quot;-&quot;??_);_(@_)"/>
  </numFmts>
  <fonts count="1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color theme="5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color theme="9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theme="4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48">
    <xf numFmtId="0" fontId="0" fillId="0" borderId="0" xfId="0"/>
    <xf numFmtId="43" fontId="0" fillId="0" borderId="0" xfId="1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10" fontId="0" fillId="0" borderId="0" xfId="3" applyNumberFormat="1" applyFont="1"/>
    <xf numFmtId="0" fontId="0" fillId="0" borderId="0" xfId="0" applyBorder="1" applyAlignment="1">
      <alignment horizontal="center"/>
    </xf>
    <xf numFmtId="0" fontId="0" fillId="0" borderId="0" xfId="0" applyBorder="1" applyAlignment="1">
      <alignment wrapText="1"/>
    </xf>
    <xf numFmtId="10" fontId="0" fillId="0" borderId="0" xfId="3" applyNumberFormat="1" applyFont="1" applyBorder="1"/>
    <xf numFmtId="0" fontId="2" fillId="0" borderId="0" xfId="0" applyFont="1" applyBorder="1" applyAlignment="1">
      <alignment wrapText="1"/>
    </xf>
    <xf numFmtId="10" fontId="2" fillId="0" borderId="0" xfId="3" applyNumberFormat="1" applyFont="1" applyBorder="1"/>
    <xf numFmtId="0" fontId="6" fillId="0" borderId="0" xfId="0" applyFont="1" applyBorder="1" applyAlignment="1">
      <alignment wrapText="1"/>
    </xf>
    <xf numFmtId="0" fontId="8" fillId="0" borderId="0" xfId="0" applyFont="1" applyBorder="1" applyAlignment="1">
      <alignment wrapText="1"/>
    </xf>
    <xf numFmtId="10" fontId="7" fillId="0" borderId="0" xfId="3" applyNumberFormat="1" applyFont="1" applyBorder="1"/>
    <xf numFmtId="10" fontId="9" fillId="0" borderId="0" xfId="3" applyNumberFormat="1" applyFont="1" applyBorder="1"/>
    <xf numFmtId="0" fontId="0" fillId="0" borderId="0" xfId="0" applyBorder="1"/>
    <xf numFmtId="0" fontId="7" fillId="0" borderId="0" xfId="0" applyFont="1" applyBorder="1"/>
    <xf numFmtId="0" fontId="9" fillId="0" borderId="0" xfId="0" applyFont="1" applyBorder="1"/>
    <xf numFmtId="10" fontId="0" fillId="0" borderId="0" xfId="0" applyNumberFormat="1"/>
    <xf numFmtId="2" fontId="0" fillId="0" borderId="0" xfId="0" applyNumberFormat="1"/>
    <xf numFmtId="1" fontId="0" fillId="0" borderId="0" xfId="2" applyNumberFormat="1" applyFont="1" applyAlignment="1">
      <alignment wrapText="1"/>
    </xf>
    <xf numFmtId="1" fontId="0" fillId="0" borderId="0" xfId="1" applyNumberFormat="1" applyFont="1"/>
    <xf numFmtId="1" fontId="0" fillId="0" borderId="0" xfId="0" applyNumberFormat="1"/>
    <xf numFmtId="0" fontId="4" fillId="0" borderId="0" xfId="0" applyFont="1" applyBorder="1" applyAlignment="1">
      <alignment wrapText="1"/>
    </xf>
    <xf numFmtId="0" fontId="0" fillId="0" borderId="0" xfId="0" applyFont="1" applyBorder="1" applyAlignment="1">
      <alignment wrapText="1"/>
    </xf>
    <xf numFmtId="10" fontId="5" fillId="0" borderId="0" xfId="3" applyNumberFormat="1" applyFont="1" applyBorder="1"/>
    <xf numFmtId="0" fontId="5" fillId="0" borderId="0" xfId="0" applyFont="1" applyBorder="1"/>
    <xf numFmtId="0" fontId="10" fillId="0" borderId="0" xfId="0" applyFont="1"/>
    <xf numFmtId="0" fontId="2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10" fontId="2" fillId="0" borderId="0" xfId="3" applyNumberFormat="1" applyFont="1" applyBorder="1" applyAlignment="1"/>
    <xf numFmtId="0" fontId="2" fillId="0" borderId="0" xfId="0" applyFont="1" applyBorder="1" applyAlignment="1"/>
    <xf numFmtId="0" fontId="2" fillId="0" borderId="0" xfId="0" applyFont="1" applyAlignment="1">
      <alignment wrapText="1"/>
    </xf>
    <xf numFmtId="0" fontId="0" fillId="0" borderId="0" xfId="0" applyFont="1" applyBorder="1" applyAlignment="1"/>
    <xf numFmtId="9" fontId="2" fillId="0" borderId="0" xfId="3" applyFont="1" applyBorder="1" applyAlignment="1"/>
    <xf numFmtId="9" fontId="0" fillId="0" borderId="0" xfId="3" applyFont="1"/>
    <xf numFmtId="9" fontId="0" fillId="0" borderId="0" xfId="3" applyFont="1" applyBorder="1" applyAlignment="1"/>
    <xf numFmtId="9" fontId="2" fillId="0" borderId="0" xfId="3" applyNumberFormat="1" applyFont="1" applyBorder="1" applyAlignment="1"/>
    <xf numFmtId="10" fontId="2" fillId="0" borderId="0" xfId="0" applyNumberFormat="1" applyFont="1" applyBorder="1" applyAlignment="1"/>
    <xf numFmtId="0" fontId="0" fillId="0" borderId="0" xfId="0" applyFill="1" applyBorder="1" applyAlignment="1">
      <alignment horizontal="center"/>
    </xf>
    <xf numFmtId="0" fontId="0" fillId="0" borderId="0" xfId="0" applyFont="1" applyBorder="1" applyAlignment="1">
      <alignment horizontal="center"/>
    </xf>
    <xf numFmtId="2" fontId="0" fillId="0" borderId="0" xfId="0" applyNumberFormat="1" applyBorder="1"/>
    <xf numFmtId="0" fontId="2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0" fontId="2" fillId="0" borderId="0" xfId="0" applyFont="1" applyAlignment="1">
      <alignment horizontal="center" wrapText="1"/>
    </xf>
  </cellXfs>
  <cellStyles count="4">
    <cellStyle name="Comma" xfId="1" builtinId="3"/>
    <cellStyle name="Currency" xfId="2" builtinId="4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WAC 5% Cash Flows with No Prepayments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percentStacked"/>
        <c:varyColors val="0"/>
        <c:ser>
          <c:idx val="1"/>
          <c:order val="0"/>
          <c:tx>
            <c:strRef>
              <c:f>'Cash flows with no prepayments'!$F$2</c:f>
              <c:strCache>
                <c:ptCount val="1"/>
                <c:pt idx="0">
                  <c:v>Interest Portion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110000"/>
                    <a:satMod val="105000"/>
                    <a:tint val="67000"/>
                  </a:schemeClr>
                </a:gs>
                <a:gs pos="50000">
                  <a:schemeClr val="accent3">
                    <a:lumMod val="105000"/>
                    <a:satMod val="103000"/>
                    <a:tint val="73000"/>
                  </a:schemeClr>
                </a:gs>
                <a:gs pos="100000">
                  <a:schemeClr val="accent3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3">
                  <a:shade val="95000"/>
                </a:schemeClr>
              </a:solidFill>
              <a:round/>
            </a:ln>
            <a:effectLst/>
          </c:spPr>
          <c:invertIfNegative val="0"/>
          <c:cat>
            <c:numRef>
              <c:f>'Cash flows with no prepayments'!$A$3:$A$362</c:f>
              <c:numCache>
                <c:formatCode>General</c:formatCode>
                <c:ptCount val="3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</c:numCache>
            </c:numRef>
          </c:cat>
          <c:val>
            <c:numRef>
              <c:f>'Cash flows with no prepayments'!$F$3:$F$362</c:f>
              <c:numCache>
                <c:formatCode>General</c:formatCode>
                <c:ptCount val="360"/>
                <c:pt idx="0">
                  <c:v>416.66666666666669</c:v>
                </c:pt>
                <c:pt idx="1">
                  <c:v>416.16602101522716</c:v>
                </c:pt>
                <c:pt idx="2">
                  <c:v>415.66328934024011</c:v>
                </c:pt>
                <c:pt idx="3">
                  <c:v>415.15846294994049</c:v>
                </c:pt>
                <c:pt idx="4">
                  <c:v>414.65153311634805</c:v>
                </c:pt>
                <c:pt idx="5">
                  <c:v>414.14249107511552</c:v>
                </c:pt>
                <c:pt idx="6">
                  <c:v>413.63132802537791</c:v>
                </c:pt>
                <c:pt idx="7">
                  <c:v>413.11803512959983</c:v>
                </c:pt>
                <c:pt idx="8">
                  <c:v>412.60260351342248</c:v>
                </c:pt>
                <c:pt idx="9">
                  <c:v>412.08502426551121</c:v>
                </c:pt>
                <c:pt idx="10">
                  <c:v>411.56528843740028</c:v>
                </c:pt>
                <c:pt idx="11">
                  <c:v>411.0433870433389</c:v>
                </c:pt>
                <c:pt idx="12">
                  <c:v>410.51931106013552</c:v>
                </c:pt>
                <c:pt idx="13">
                  <c:v>409.99305142700211</c:v>
                </c:pt>
                <c:pt idx="14">
                  <c:v>409.46459904539739</c:v>
                </c:pt>
                <c:pt idx="15">
                  <c:v>408.93394477886932</c:v>
                </c:pt>
                <c:pt idx="16">
                  <c:v>408.40107945289736</c:v>
                </c:pt>
                <c:pt idx="17">
                  <c:v>407.86599385473392</c:v>
                </c:pt>
                <c:pt idx="18">
                  <c:v>407.32867873324466</c:v>
                </c:pt>
                <c:pt idx="19">
                  <c:v>406.7891247987493</c:v>
                </c:pt>
                <c:pt idx="20">
                  <c:v>406.24732272286019</c:v>
                </c:pt>
                <c:pt idx="21">
                  <c:v>405.7032631383214</c:v>
                </c:pt>
                <c:pt idx="22">
                  <c:v>405.1569366388473</c:v>
                </c:pt>
                <c:pt idx="23">
                  <c:v>404.60833377895852</c:v>
                </c:pt>
                <c:pt idx="24">
                  <c:v>404.05744507382025</c:v>
                </c:pt>
                <c:pt idx="25">
                  <c:v>403.5042609990773</c:v>
                </c:pt>
                <c:pt idx="26">
                  <c:v>402.94877199068952</c:v>
                </c:pt>
                <c:pt idx="27">
                  <c:v>402.39096844476677</c:v>
                </c:pt>
                <c:pt idx="28">
                  <c:v>401.83084071740274</c:v>
                </c:pt>
                <c:pt idx="29">
                  <c:v>401.26837912450804</c:v>
                </c:pt>
                <c:pt idx="30">
                  <c:v>400.7035739416429</c:v>
                </c:pt>
                <c:pt idx="31">
                  <c:v>400.13641540384913</c:v>
                </c:pt>
                <c:pt idx="32">
                  <c:v>399.56689370548128</c:v>
                </c:pt>
                <c:pt idx="33">
                  <c:v>398.99499900003684</c:v>
                </c:pt>
                <c:pt idx="34">
                  <c:v>398.42072139998641</c:v>
                </c:pt>
                <c:pt idx="35">
                  <c:v>397.84405097660243</c:v>
                </c:pt>
                <c:pt idx="36">
                  <c:v>397.26497775978777</c:v>
                </c:pt>
                <c:pt idx="37">
                  <c:v>396.68349173790295</c:v>
                </c:pt>
                <c:pt idx="38">
                  <c:v>396.09958285759365</c:v>
                </c:pt>
                <c:pt idx="39">
                  <c:v>395.51324102361627</c:v>
                </c:pt>
                <c:pt idx="40">
                  <c:v>394.92445609866417</c:v>
                </c:pt>
                <c:pt idx="41">
                  <c:v>394.33321790319133</c:v>
                </c:pt>
                <c:pt idx="42">
                  <c:v>393.73951621523736</c:v>
                </c:pt>
                <c:pt idx="43">
                  <c:v>393.14334077025035</c:v>
                </c:pt>
                <c:pt idx="44">
                  <c:v>392.5446812609091</c:v>
                </c:pt>
                <c:pt idx="45">
                  <c:v>391.94352733694564</c:v>
                </c:pt>
                <c:pt idx="46">
                  <c:v>391.33986860496566</c:v>
                </c:pt>
                <c:pt idx="47">
                  <c:v>390.73369462826912</c:v>
                </c:pt>
                <c:pt idx="48">
                  <c:v>390.12499492666961</c:v>
                </c:pt>
                <c:pt idx="49">
                  <c:v>389.51375897631351</c:v>
                </c:pt>
                <c:pt idx="50">
                  <c:v>388.89997620949765</c:v>
                </c:pt>
                <c:pt idx="51">
                  <c:v>388.28363601448655</c:v>
                </c:pt>
                <c:pt idx="52">
                  <c:v>387.66472773532968</c:v>
                </c:pt>
                <c:pt idx="53">
                  <c:v>387.04324067167636</c:v>
                </c:pt>
                <c:pt idx="54">
                  <c:v>386.41916407859111</c:v>
                </c:pt>
                <c:pt idx="55">
                  <c:v>385.79248716636795</c:v>
                </c:pt>
                <c:pt idx="56">
                  <c:v>385.16319910034389</c:v>
                </c:pt>
                <c:pt idx="57">
                  <c:v>384.53128900071141</c:v>
                </c:pt>
                <c:pt idx="58">
                  <c:v>383.89674594233048</c:v>
                </c:pt>
                <c:pt idx="59">
                  <c:v>383.25955895453961</c:v>
                </c:pt>
                <c:pt idx="60">
                  <c:v>382.61971702096628</c:v>
                </c:pt>
                <c:pt idx="61">
                  <c:v>381.97720907933638</c:v>
                </c:pt>
                <c:pt idx="62">
                  <c:v>381.33202402128308</c:v>
                </c:pt>
                <c:pt idx="63">
                  <c:v>380.68415069215445</c:v>
                </c:pt>
                <c:pt idx="64">
                  <c:v>380.03357789082122</c:v>
                </c:pt>
                <c:pt idx="65">
                  <c:v>379.38029436948233</c:v>
                </c:pt>
                <c:pt idx="66">
                  <c:v>378.72428883347123</c:v>
                </c:pt>
                <c:pt idx="67">
                  <c:v>378.06554994106017</c:v>
                </c:pt>
                <c:pt idx="68">
                  <c:v>377.40406630326396</c:v>
                </c:pt>
                <c:pt idx="69">
                  <c:v>376.73982648364364</c:v>
                </c:pt>
                <c:pt idx="70">
                  <c:v>376.07281899810829</c:v>
                </c:pt>
                <c:pt idx="71">
                  <c:v>375.40303231471654</c:v>
                </c:pt>
                <c:pt idx="72">
                  <c:v>374.73045485347728</c:v>
                </c:pt>
                <c:pt idx="73">
                  <c:v>374.05507498614952</c:v>
                </c:pt>
                <c:pt idx="74">
                  <c:v>373.3768810360412</c:v>
                </c:pt>
                <c:pt idx="75">
                  <c:v>372.69586127780747</c:v>
                </c:pt>
                <c:pt idx="76">
                  <c:v>372.01200393724775</c:v>
                </c:pt>
                <c:pt idx="77">
                  <c:v>371.32529719110232</c:v>
                </c:pt>
                <c:pt idx="78">
                  <c:v>370.63572916684808</c:v>
                </c:pt>
                <c:pt idx="79">
                  <c:v>369.9432879424927</c:v>
                </c:pt>
                <c:pt idx="80">
                  <c:v>369.24796154636914</c:v>
                </c:pt>
                <c:pt idx="81">
                  <c:v>368.54973795692842</c:v>
                </c:pt>
                <c:pt idx="82">
                  <c:v>367.84860510253168</c:v>
                </c:pt>
                <c:pt idx="83">
                  <c:v>367.14455086124167</c:v>
                </c:pt>
                <c:pt idx="84">
                  <c:v>366.437563060613</c:v>
                </c:pt>
                <c:pt idx="85">
                  <c:v>365.72762947748151</c:v>
                </c:pt>
                <c:pt idx="86">
                  <c:v>365.0147378377539</c:v>
                </c:pt>
                <c:pt idx="87">
                  <c:v>364.29887581619386</c:v>
                </c:pt>
                <c:pt idx="88">
                  <c:v>363.58003103621076</c:v>
                </c:pt>
                <c:pt idx="89">
                  <c:v>362.85819106964448</c:v>
                </c:pt>
                <c:pt idx="90">
                  <c:v>362.13334343655072</c:v>
                </c:pt>
                <c:pt idx="91">
                  <c:v>361.40547560498572</c:v>
                </c:pt>
                <c:pt idx="92">
                  <c:v>360.67457499078927</c:v>
                </c:pt>
                <c:pt idx="93">
                  <c:v>359.94062895736704</c:v>
                </c:pt>
                <c:pt idx="94">
                  <c:v>359.20362481547215</c:v>
                </c:pt>
                <c:pt idx="95">
                  <c:v>358.46354982298595</c:v>
                </c:pt>
                <c:pt idx="96">
                  <c:v>357.7203911846978</c:v>
                </c:pt>
                <c:pt idx="97">
                  <c:v>356.97413605208351</c:v>
                </c:pt>
                <c:pt idx="98">
                  <c:v>356.22477152308323</c:v>
                </c:pt>
                <c:pt idx="99">
                  <c:v>355.47228464187884</c:v>
                </c:pt>
                <c:pt idx="100">
                  <c:v>354.71666239866948</c:v>
                </c:pt>
                <c:pt idx="101">
                  <c:v>353.95789172944671</c:v>
                </c:pt>
                <c:pt idx="102">
                  <c:v>353.19595951576872</c:v>
                </c:pt>
                <c:pt idx="103">
                  <c:v>352.43085258453391</c:v>
                </c:pt>
                <c:pt idx="104">
                  <c:v>351.66255770775217</c:v>
                </c:pt>
                <c:pt idx="105">
                  <c:v>350.89106160231728</c:v>
                </c:pt>
                <c:pt idx="106">
                  <c:v>350.11635092977639</c:v>
                </c:pt>
                <c:pt idx="107">
                  <c:v>349.33841229609988</c:v>
                </c:pt>
                <c:pt idx="108">
                  <c:v>348.55723225144965</c:v>
                </c:pt>
                <c:pt idx="109">
                  <c:v>347.77279728994677</c:v>
                </c:pt>
                <c:pt idx="110">
                  <c:v>346.9850938494377</c:v>
                </c:pt>
                <c:pt idx="111">
                  <c:v>346.19410831125975</c:v>
                </c:pt>
                <c:pt idx="112">
                  <c:v>345.3998270000061</c:v>
                </c:pt>
                <c:pt idx="113">
                  <c:v>344.60223618328888</c:v>
                </c:pt>
                <c:pt idx="114">
                  <c:v>343.801322071502</c:v>
                </c:pt>
                <c:pt idx="115">
                  <c:v>342.99707081758265</c:v>
                </c:pt>
                <c:pt idx="116">
                  <c:v>342.18946851677202</c:v>
                </c:pt>
                <c:pt idx="117">
                  <c:v>341.37850120637466</c:v>
                </c:pt>
                <c:pt idx="118">
                  <c:v>340.56415486551737</c:v>
                </c:pt>
                <c:pt idx="119">
                  <c:v>339.74641541490638</c:v>
                </c:pt>
                <c:pt idx="120">
                  <c:v>338.92526871658458</c:v>
                </c:pt>
                <c:pt idx="121">
                  <c:v>338.10070057368642</c:v>
                </c:pt>
                <c:pt idx="122">
                  <c:v>337.27269673019288</c:v>
                </c:pt>
                <c:pt idx="123">
                  <c:v>336.44124287068473</c:v>
                </c:pt>
                <c:pt idx="124">
                  <c:v>335.60632462009539</c:v>
                </c:pt>
                <c:pt idx="125">
                  <c:v>334.76792754346189</c:v>
                </c:pt>
                <c:pt idx="126">
                  <c:v>333.92603714567571</c:v>
                </c:pt>
                <c:pt idx="127">
                  <c:v>333.08063887123211</c:v>
                </c:pt>
                <c:pt idx="128">
                  <c:v>332.23171810397832</c:v>
                </c:pt>
                <c:pt idx="129">
                  <c:v>331.379260166861</c:v>
                </c:pt>
                <c:pt idx="130">
                  <c:v>330.52325032167226</c:v>
                </c:pt>
                <c:pt idx="131">
                  <c:v>329.66367376879538</c:v>
                </c:pt>
                <c:pt idx="132">
                  <c:v>328.80051564694816</c:v>
                </c:pt>
                <c:pt idx="133">
                  <c:v>327.9337610329265</c:v>
                </c:pt>
                <c:pt idx="134">
                  <c:v>327.06339494134636</c:v>
                </c:pt>
                <c:pt idx="135">
                  <c:v>326.18940232438479</c:v>
                </c:pt>
                <c:pt idx="136">
                  <c:v>325.31176807151917</c:v>
                </c:pt>
                <c:pt idx="137">
                  <c:v>324.43047700926661</c:v>
                </c:pt>
                <c:pt idx="138">
                  <c:v>323.54551390092126</c:v>
                </c:pt>
                <c:pt idx="139">
                  <c:v>322.65686344629125</c:v>
                </c:pt>
                <c:pt idx="140">
                  <c:v>321.76451028143356</c:v>
                </c:pt>
                <c:pt idx="141">
                  <c:v>320.86843897838884</c:v>
                </c:pt>
                <c:pt idx="142">
                  <c:v>319.96863404491495</c:v>
                </c:pt>
                <c:pt idx="143">
                  <c:v>319.06507992421814</c:v>
                </c:pt>
                <c:pt idx="144">
                  <c:v>318.15776099468513</c:v>
                </c:pt>
                <c:pt idx="145">
                  <c:v>317.24666156961246</c:v>
                </c:pt>
                <c:pt idx="146">
                  <c:v>316.33176589693528</c:v>
                </c:pt>
                <c:pt idx="147">
                  <c:v>315.41305815895521</c:v>
                </c:pt>
                <c:pt idx="148">
                  <c:v>314.49052247206697</c:v>
                </c:pt>
                <c:pt idx="149">
                  <c:v>313.5641428864833</c:v>
                </c:pt>
                <c:pt idx="150">
                  <c:v>312.6339033859598</c:v>
                </c:pt>
                <c:pt idx="151">
                  <c:v>311.69978788751729</c:v>
                </c:pt>
                <c:pt idx="152">
                  <c:v>310.76178024116473</c:v>
                </c:pt>
                <c:pt idx="153">
                  <c:v>309.81986422961899</c:v>
                </c:pt>
                <c:pt idx="154">
                  <c:v>308.87402356802517</c:v>
                </c:pt>
                <c:pt idx="155">
                  <c:v>307.92424190367467</c:v>
                </c:pt>
                <c:pt idx="156">
                  <c:v>306.9705028157228</c:v>
                </c:pt>
                <c:pt idx="157">
                  <c:v>306.01278981490447</c:v>
                </c:pt>
                <c:pt idx="158">
                  <c:v>305.05108634324927</c:v>
                </c:pt>
                <c:pt idx="159">
                  <c:v>304.08537577379559</c:v>
                </c:pt>
                <c:pt idx="160">
                  <c:v>303.11564141030243</c:v>
                </c:pt>
                <c:pt idx="161">
                  <c:v>302.14186648696148</c:v>
                </c:pt>
                <c:pt idx="162">
                  <c:v>301.16403416810653</c:v>
                </c:pt>
                <c:pt idx="163">
                  <c:v>300.18212754792307</c:v>
                </c:pt>
                <c:pt idx="164">
                  <c:v>299.19612965015551</c:v>
                </c:pt>
                <c:pt idx="165">
                  <c:v>298.20602342781393</c:v>
                </c:pt>
                <c:pt idx="166">
                  <c:v>297.21179176287922</c:v>
                </c:pt>
                <c:pt idx="167">
                  <c:v>296.21341746600723</c:v>
                </c:pt>
                <c:pt idx="168">
                  <c:v>295.21088327623181</c:v>
                </c:pt>
                <c:pt idx="169">
                  <c:v>294.20417186066544</c:v>
                </c:pt>
                <c:pt idx="170">
                  <c:v>293.19326581420103</c:v>
                </c:pt>
                <c:pt idx="171">
                  <c:v>292.17814765920963</c:v>
                </c:pt>
                <c:pt idx="172">
                  <c:v>291.15879984523906</c:v>
                </c:pt>
                <c:pt idx="173">
                  <c:v>290.13520474871035</c:v>
                </c:pt>
                <c:pt idx="174">
                  <c:v>289.10734467261267</c:v>
                </c:pt>
                <c:pt idx="175">
                  <c:v>288.07520184619801</c:v>
                </c:pt>
                <c:pt idx="176">
                  <c:v>287.03875842467323</c:v>
                </c:pt>
                <c:pt idx="177">
                  <c:v>285.99799648889217</c:v>
                </c:pt>
                <c:pt idx="178">
                  <c:v>284.95289804504529</c:v>
                </c:pt>
                <c:pt idx="179">
                  <c:v>283.90344502434897</c:v>
                </c:pt>
                <c:pt idx="180">
                  <c:v>282.84961928273327</c:v>
                </c:pt>
                <c:pt idx="181">
                  <c:v>281.79140260052736</c:v>
                </c:pt>
                <c:pt idx="182">
                  <c:v>280.72877668214568</c:v>
                </c:pt>
                <c:pt idx="183">
                  <c:v>279.66172315577069</c:v>
                </c:pt>
                <c:pt idx="184">
                  <c:v>278.59022357303581</c:v>
                </c:pt>
                <c:pt idx="185">
                  <c:v>277.51425940870627</c:v>
                </c:pt>
                <c:pt idx="186">
                  <c:v>276.43381206035855</c:v>
                </c:pt>
                <c:pt idx="187">
                  <c:v>275.34886284805947</c:v>
                </c:pt>
                <c:pt idx="188">
                  <c:v>274.25939301404253</c:v>
                </c:pt>
                <c:pt idx="189">
                  <c:v>273.16538372238375</c:v>
                </c:pt>
                <c:pt idx="190">
                  <c:v>272.06681605867647</c:v>
                </c:pt>
                <c:pt idx="191">
                  <c:v>270.96367102970368</c:v>
                </c:pt>
                <c:pt idx="192">
                  <c:v>269.85592956311024</c:v>
                </c:pt>
                <c:pt idx="193">
                  <c:v>268.74357250707266</c:v>
                </c:pt>
                <c:pt idx="194">
                  <c:v>267.62658062996815</c:v>
                </c:pt>
                <c:pt idx="195">
                  <c:v>266.50493462004249</c:v>
                </c:pt>
                <c:pt idx="196">
                  <c:v>265.37861508507541</c:v>
                </c:pt>
                <c:pt idx="197">
                  <c:v>264.24760255204603</c:v>
                </c:pt>
                <c:pt idx="198">
                  <c:v>263.11187746679559</c:v>
                </c:pt>
                <c:pt idx="199">
                  <c:v>261.97142019368999</c:v>
                </c:pt>
                <c:pt idx="200">
                  <c:v>260.8262110152798</c:v>
                </c:pt>
                <c:pt idx="201">
                  <c:v>259.67623013195953</c:v>
                </c:pt>
                <c:pt idx="202">
                  <c:v>258.52145766162545</c:v>
                </c:pt>
                <c:pt idx="203">
                  <c:v>257.36187363933163</c:v>
                </c:pt>
                <c:pt idx="204">
                  <c:v>256.19745801694495</c:v>
                </c:pt>
                <c:pt idx="205">
                  <c:v>255.02819066279829</c:v>
                </c:pt>
                <c:pt idx="206">
                  <c:v>253.8540513613427</c:v>
                </c:pt>
                <c:pt idx="207">
                  <c:v>252.67501981279776</c:v>
                </c:pt>
                <c:pt idx="208">
                  <c:v>251.49107563280049</c:v>
                </c:pt>
                <c:pt idx="209">
                  <c:v>250.30219835205327</c:v>
                </c:pt>
                <c:pt idx="210">
                  <c:v>249.10836741596952</c:v>
                </c:pt>
                <c:pt idx="211">
                  <c:v>247.90956218431887</c:v>
                </c:pt>
                <c:pt idx="212">
                  <c:v>246.70576193086961</c:v>
                </c:pt>
                <c:pt idx="213">
                  <c:v>245.49694584303097</c:v>
                </c:pt>
                <c:pt idx="214">
                  <c:v>244.28309302149307</c:v>
                </c:pt>
                <c:pt idx="215">
                  <c:v>243.06418247986537</c:v>
                </c:pt>
                <c:pt idx="216">
                  <c:v>241.84019314431418</c:v>
                </c:pt>
                <c:pt idx="217">
                  <c:v>240.6111038531983</c:v>
                </c:pt>
                <c:pt idx="218">
                  <c:v>239.37689335670268</c:v>
                </c:pt>
                <c:pt idx="219">
                  <c:v>238.13754031647167</c:v>
                </c:pt>
                <c:pt idx="220">
                  <c:v>236.89302330523978</c:v>
                </c:pt>
                <c:pt idx="221">
                  <c:v>235.64332080646099</c:v>
                </c:pt>
                <c:pt idx="222">
                  <c:v>234.38841121393739</c:v>
                </c:pt>
                <c:pt idx="223">
                  <c:v>233.12827283144486</c:v>
                </c:pt>
                <c:pt idx="224">
                  <c:v>231.86288387235859</c:v>
                </c:pt>
                <c:pt idx="225">
                  <c:v>230.5922224592762</c:v>
                </c:pt>
                <c:pt idx="226">
                  <c:v>229.31626662363925</c:v>
                </c:pt>
                <c:pt idx="227">
                  <c:v>228.03499430535391</c:v>
                </c:pt>
                <c:pt idx="228">
                  <c:v>226.74838335240895</c:v>
                </c:pt>
                <c:pt idx="229">
                  <c:v>225.45641152049342</c:v>
                </c:pt>
                <c:pt idx="230">
                  <c:v>224.15905647261152</c:v>
                </c:pt>
                <c:pt idx="231">
                  <c:v>222.85629577869682</c:v>
                </c:pt>
                <c:pt idx="232">
                  <c:v>221.54810691522417</c:v>
                </c:pt>
                <c:pt idx="233">
                  <c:v>220.23446726482038</c:v>
                </c:pt>
                <c:pt idx="234">
                  <c:v>218.91535411587321</c:v>
                </c:pt>
                <c:pt idx="235">
                  <c:v>217.59074466213875</c:v>
                </c:pt>
                <c:pt idx="236">
                  <c:v>216.26061600234706</c:v>
                </c:pt>
                <c:pt idx="237">
                  <c:v>214.92494513980628</c:v>
                </c:pt>
                <c:pt idx="238">
                  <c:v>213.58370898200491</c:v>
                </c:pt>
                <c:pt idx="239">
                  <c:v>212.23688434021267</c:v>
                </c:pt>
                <c:pt idx="240">
                  <c:v>210.88444792907961</c:v>
                </c:pt>
                <c:pt idx="241">
                  <c:v>209.52637636623359</c:v>
                </c:pt>
                <c:pt idx="242">
                  <c:v>208.16264617187565</c:v>
                </c:pt>
                <c:pt idx="243">
                  <c:v>206.79323376837453</c:v>
                </c:pt>
                <c:pt idx="244">
                  <c:v>205.41811547985884</c:v>
                </c:pt>
                <c:pt idx="245">
                  <c:v>204.03726753180769</c:v>
                </c:pt>
                <c:pt idx="246">
                  <c:v>202.65066605063964</c:v>
                </c:pt>
                <c:pt idx="247">
                  <c:v>201.25828706330003</c:v>
                </c:pt>
                <c:pt idx="248">
                  <c:v>199.86010649684658</c:v>
                </c:pt>
                <c:pt idx="249">
                  <c:v>198.45610017803287</c:v>
                </c:pt>
                <c:pt idx="250">
                  <c:v>197.04624383289075</c:v>
                </c:pt>
                <c:pt idx="251">
                  <c:v>195.63051308631057</c:v>
                </c:pt>
                <c:pt idx="252">
                  <c:v>194.20888346161959</c:v>
                </c:pt>
                <c:pt idx="253">
                  <c:v>192.78133038015912</c:v>
                </c:pt>
                <c:pt idx="254">
                  <c:v>191.34782916085916</c:v>
                </c:pt>
                <c:pt idx="255">
                  <c:v>189.90835501981221</c:v>
                </c:pt>
                <c:pt idx="256">
                  <c:v>188.46288306984414</c:v>
                </c:pt>
                <c:pt idx="257">
                  <c:v>187.01138832008462</c:v>
                </c:pt>
                <c:pt idx="258">
                  <c:v>185.55384567553438</c:v>
                </c:pt>
                <c:pt idx="259">
                  <c:v>184.09022993663183</c:v>
                </c:pt>
                <c:pt idx="260">
                  <c:v>182.62051579881728</c:v>
                </c:pt>
                <c:pt idx="261">
                  <c:v>181.14467785209507</c:v>
                </c:pt>
                <c:pt idx="262">
                  <c:v>179.66269058059493</c:v>
                </c:pt>
                <c:pt idx="263">
                  <c:v>178.17452836213008</c:v>
                </c:pt>
                <c:pt idx="264">
                  <c:v>176.68016546775507</c:v>
                </c:pt>
                <c:pt idx="265">
                  <c:v>175.17957606132015</c:v>
                </c:pt>
                <c:pt idx="266">
                  <c:v>173.67273419902509</c:v>
                </c:pt>
                <c:pt idx="267">
                  <c:v>172.15961382897049</c:v>
                </c:pt>
                <c:pt idx="268">
                  <c:v>170.64018879070721</c:v>
                </c:pt>
                <c:pt idx="269">
                  <c:v>169.11443281478464</c:v>
                </c:pt>
                <c:pt idx="270">
                  <c:v>167.58231952229565</c:v>
                </c:pt>
                <c:pt idx="271">
                  <c:v>166.04382242442131</c:v>
                </c:pt>
                <c:pt idx="272">
                  <c:v>164.49891492197247</c:v>
                </c:pt>
                <c:pt idx="273">
                  <c:v>162.94757030493014</c:v>
                </c:pt>
                <c:pt idx="274">
                  <c:v>161.3897617519834</c:v>
                </c:pt>
                <c:pt idx="275">
                  <c:v>159.82546233006613</c:v>
                </c:pt>
                <c:pt idx="276">
                  <c:v>158.25464499389079</c:v>
                </c:pt>
                <c:pt idx="277">
                  <c:v>156.67728258548144</c:v>
                </c:pt>
                <c:pt idx="278">
                  <c:v>155.09334783370366</c:v>
                </c:pt>
                <c:pt idx="279">
                  <c:v>153.50281335379356</c:v>
                </c:pt>
                <c:pt idx="280">
                  <c:v>151.90565164688377</c:v>
                </c:pt>
                <c:pt idx="281">
                  <c:v>150.30183509952857</c:v>
                </c:pt>
                <c:pt idx="282">
                  <c:v>148.69133598322605</c:v>
                </c:pt>
                <c:pt idx="283">
                  <c:v>147.0741264539389</c:v>
                </c:pt>
                <c:pt idx="284">
                  <c:v>145.45017855161305</c:v>
                </c:pt>
                <c:pt idx="285">
                  <c:v>143.81946419969418</c:v>
                </c:pt>
                <c:pt idx="286">
                  <c:v>142.18195520464229</c:v>
                </c:pt>
                <c:pt idx="287">
                  <c:v>140.53762325544446</c:v>
                </c:pt>
                <c:pt idx="288">
                  <c:v>138.8864399231249</c:v>
                </c:pt>
                <c:pt idx="289">
                  <c:v>137.22837666025399</c:v>
                </c:pt>
                <c:pt idx="290">
                  <c:v>135.56340480045452</c:v>
                </c:pt>
                <c:pt idx="291">
                  <c:v>133.89149555790578</c:v>
                </c:pt>
                <c:pt idx="292">
                  <c:v>132.21262002684645</c:v>
                </c:pt>
                <c:pt idx="293">
                  <c:v>130.52674918107445</c:v>
                </c:pt>
                <c:pt idx="294">
                  <c:v>128.83385387344501</c:v>
                </c:pt>
                <c:pt idx="295">
                  <c:v>127.13390483536712</c:v>
                </c:pt>
                <c:pt idx="296">
                  <c:v>125.42687267629721</c:v>
                </c:pt>
                <c:pt idx="297">
                  <c:v>123.71272788323122</c:v>
                </c:pt>
                <c:pt idx="298">
                  <c:v>121.99144082019409</c:v>
                </c:pt>
                <c:pt idx="299">
                  <c:v>120.26298172772771</c:v>
                </c:pt>
                <c:pt idx="300">
                  <c:v>118.52732072237598</c:v>
                </c:pt>
                <c:pt idx="301">
                  <c:v>116.78442779616866</c:v>
                </c:pt>
                <c:pt idx="302">
                  <c:v>115.03427281610207</c:v>
                </c:pt>
                <c:pt idx="303">
                  <c:v>113.27682552361858</c:v>
                </c:pt>
                <c:pt idx="304">
                  <c:v>111.5120555340831</c:v>
                </c:pt>
                <c:pt idx="305">
                  <c:v>109.73993233625787</c:v>
                </c:pt>
                <c:pt idx="306">
                  <c:v>107.96042529177502</c:v>
                </c:pt>
                <c:pt idx="307">
                  <c:v>106.17350363460686</c:v>
                </c:pt>
                <c:pt idx="308">
                  <c:v>104.37913647053382</c:v>
                </c:pt>
                <c:pt idx="309">
                  <c:v>102.57729277661045</c:v>
                </c:pt>
                <c:pt idx="310">
                  <c:v>100.76794140062907</c:v>
                </c:pt>
                <c:pt idx="311">
                  <c:v>98.951051060581122</c:v>
                </c:pt>
                <c:pt idx="312">
                  <c:v>97.126590344116309</c:v>
                </c:pt>
                <c:pt idx="313">
                  <c:v>95.294527707999563</c:v>
                </c:pt>
                <c:pt idx="314">
                  <c:v>93.454831477565662</c:v>
                </c:pt>
                <c:pt idx="315">
                  <c:v>91.607469846171597</c:v>
                </c:pt>
                <c:pt idx="316">
                  <c:v>89.752410874646742</c:v>
                </c:pt>
                <c:pt idx="317">
                  <c:v>87.889622490740535</c:v>
                </c:pt>
                <c:pt idx="318">
                  <c:v>86.019072488568042</c:v>
                </c:pt>
                <c:pt idx="319">
                  <c:v>84.140728528053174</c:v>
                </c:pt>
                <c:pt idx="320">
                  <c:v>82.254558134369432</c:v>
                </c:pt>
                <c:pt idx="321">
                  <c:v>80.360528697378797</c:v>
                </c:pt>
                <c:pt idx="322">
                  <c:v>78.458607471067253</c:v>
                </c:pt>
                <c:pt idx="323">
                  <c:v>76.548761572979444</c:v>
                </c:pt>
                <c:pt idx="324">
                  <c:v>74.630957983649637</c:v>
                </c:pt>
                <c:pt idx="325">
                  <c:v>72.705163546030931</c:v>
                </c:pt>
                <c:pt idx="326">
                  <c:v>70.771344964922136</c:v>
                </c:pt>
                <c:pt idx="327">
                  <c:v>68.829468806392072</c:v>
                </c:pt>
                <c:pt idx="328">
                  <c:v>66.879501497201488</c:v>
                </c:pt>
                <c:pt idx="329">
                  <c:v>64.921409324222552</c:v>
                </c:pt>
                <c:pt idx="330">
                  <c:v>62.955158433856255</c:v>
                </c:pt>
                <c:pt idx="331">
                  <c:v>60.980714831446747</c:v>
                </c:pt>
                <c:pt idx="332">
                  <c:v>58.998044380693891</c:v>
                </c:pt>
                <c:pt idx="333">
                  <c:v>57.007112803062846</c:v>
                </c:pt>
                <c:pt idx="334">
                  <c:v>55.007885677191702</c:v>
                </c:pt>
                <c:pt idx="335">
                  <c:v>53.00032843829613</c:v>
                </c:pt>
                <c:pt idx="336">
                  <c:v>50.984406377571773</c:v>
                </c:pt>
                <c:pt idx="337">
                  <c:v>48.960084641594392</c:v>
                </c:pt>
                <c:pt idx="338">
                  <c:v>46.927328231717155</c:v>
                </c:pt>
                <c:pt idx="339">
                  <c:v>44.886102003465354</c:v>
                </c:pt>
                <c:pt idx="340">
                  <c:v>42.836370665929266</c:v>
                </c:pt>
                <c:pt idx="341">
                  <c:v>40.778098781153361</c:v>
                </c:pt>
                <c:pt idx="342">
                  <c:v>38.711250763524255</c:v>
                </c:pt>
                <c:pt idx="343">
                  <c:v>36.635790879155017</c:v>
                </c:pt>
                <c:pt idx="344">
                  <c:v>34.55168324526764</c:v>
                </c:pt>
                <c:pt idx="345">
                  <c:v>32.458891829572352</c:v>
                </c:pt>
                <c:pt idx="346">
                  <c:v>30.357380449644946</c:v>
                </c:pt>
                <c:pt idx="347">
                  <c:v>28.24711277230125</c:v>
                </c:pt>
                <c:pt idx="348">
                  <c:v>26.128052312968602</c:v>
                </c:pt>
                <c:pt idx="349">
                  <c:v>24.00016243505538</c:v>
                </c:pt>
                <c:pt idx="350">
                  <c:v>21.863406349317518</c:v>
                </c:pt>
                <c:pt idx="351">
                  <c:v>19.717747113222487</c:v>
                </c:pt>
                <c:pt idx="352">
                  <c:v>17.563147630310311</c:v>
                </c:pt>
                <c:pt idx="353">
                  <c:v>15.399570649552714</c:v>
                </c:pt>
                <c:pt idx="354">
                  <c:v>13.226978764708605</c:v>
                </c:pt>
                <c:pt idx="355">
                  <c:v>11.045334413677654</c:v>
                </c:pt>
                <c:pt idx="356">
                  <c:v>8.8545998778506902</c:v>
                </c:pt>
                <c:pt idx="357">
                  <c:v>6.6547372814578329</c:v>
                </c:pt>
                <c:pt idx="358">
                  <c:v>4.4457085909133491</c:v>
                </c:pt>
                <c:pt idx="359">
                  <c:v>2.2274756141582488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A4-4B16-9930-92C9FF671AF9}"/>
            </c:ext>
          </c:extLst>
        </c:ser>
        <c:ser>
          <c:idx val="0"/>
          <c:order val="1"/>
          <c:tx>
            <c:strRef>
              <c:f>'Cash flows with no prepayments'!$E$2</c:f>
              <c:strCache>
                <c:ptCount val="1"/>
                <c:pt idx="0">
                  <c:v>Principal portion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110000"/>
                    <a:satMod val="105000"/>
                    <a:tint val="67000"/>
                  </a:schemeClr>
                </a:gs>
                <a:gs pos="50000">
                  <a:schemeClr val="accent1">
                    <a:lumMod val="105000"/>
                    <a:satMod val="103000"/>
                    <a:tint val="73000"/>
                  </a:schemeClr>
                </a:gs>
                <a:gs pos="100000">
                  <a:schemeClr val="accent1">
                    <a:lumMod val="105000"/>
                    <a:satMod val="109000"/>
                    <a:tint val="81000"/>
                  </a:schemeClr>
                </a:gs>
              </a:gsLst>
              <a:lin ang="5400000" scaled="0"/>
            </a:gradFill>
            <a:ln w="9525" cap="flat" cmpd="sng" algn="ctr">
              <a:solidFill>
                <a:schemeClr val="accent1">
                  <a:shade val="95000"/>
                </a:schemeClr>
              </a:solidFill>
              <a:round/>
            </a:ln>
            <a:effectLst/>
          </c:spPr>
          <c:invertIfNegative val="0"/>
          <c:cat>
            <c:numRef>
              <c:f>'Cash flows with no prepayments'!$A$3:$A$362</c:f>
              <c:numCache>
                <c:formatCode>General</c:formatCode>
                <c:ptCount val="36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</c:numCache>
            </c:numRef>
          </c:cat>
          <c:val>
            <c:numRef>
              <c:f>'Cash flows with no prepayments'!$E$3:$E$362</c:f>
              <c:numCache>
                <c:formatCode>General</c:formatCode>
                <c:ptCount val="360"/>
                <c:pt idx="0">
                  <c:v>120.15495634547315</c:v>
                </c:pt>
                <c:pt idx="1">
                  <c:v>120.65560199691261</c:v>
                </c:pt>
                <c:pt idx="2">
                  <c:v>121.15833367189975</c:v>
                </c:pt>
                <c:pt idx="3">
                  <c:v>121.66316006219932</c:v>
                </c:pt>
                <c:pt idx="4">
                  <c:v>122.17008989579182</c:v>
                </c:pt>
                <c:pt idx="5">
                  <c:v>122.67913193702429</c:v>
                </c:pt>
                <c:pt idx="6">
                  <c:v>123.1902949867619</c:v>
                </c:pt>
                <c:pt idx="7">
                  <c:v>123.70358788254008</c:v>
                </c:pt>
                <c:pt idx="8">
                  <c:v>124.21901949871732</c:v>
                </c:pt>
                <c:pt idx="9">
                  <c:v>124.73659874662863</c:v>
                </c:pt>
                <c:pt idx="10">
                  <c:v>125.25633457473957</c:v>
                </c:pt>
                <c:pt idx="11">
                  <c:v>125.77823596880101</c:v>
                </c:pt>
                <c:pt idx="12">
                  <c:v>126.30231195200432</c:v>
                </c:pt>
                <c:pt idx="13">
                  <c:v>126.82857158513769</c:v>
                </c:pt>
                <c:pt idx="14">
                  <c:v>127.35702396674243</c:v>
                </c:pt>
                <c:pt idx="15">
                  <c:v>127.88767823327053</c:v>
                </c:pt>
                <c:pt idx="16">
                  <c:v>128.42054355924247</c:v>
                </c:pt>
                <c:pt idx="17">
                  <c:v>128.95562915740598</c:v>
                </c:pt>
                <c:pt idx="18">
                  <c:v>129.49294427889515</c:v>
                </c:pt>
                <c:pt idx="19">
                  <c:v>130.03249821339057</c:v>
                </c:pt>
                <c:pt idx="20">
                  <c:v>130.57430028927971</c:v>
                </c:pt>
                <c:pt idx="21">
                  <c:v>131.11835987381838</c:v>
                </c:pt>
                <c:pt idx="22">
                  <c:v>131.6646863732926</c:v>
                </c:pt>
                <c:pt idx="23">
                  <c:v>132.21328923318129</c:v>
                </c:pt>
                <c:pt idx="24">
                  <c:v>132.76417793831956</c:v>
                </c:pt>
                <c:pt idx="25">
                  <c:v>133.31736201306256</c:v>
                </c:pt>
                <c:pt idx="26">
                  <c:v>133.87285102145032</c:v>
                </c:pt>
                <c:pt idx="27">
                  <c:v>134.43065456737304</c:v>
                </c:pt>
                <c:pt idx="28">
                  <c:v>134.99078229473707</c:v>
                </c:pt>
                <c:pt idx="29">
                  <c:v>135.55324388763182</c:v>
                </c:pt>
                <c:pt idx="30">
                  <c:v>136.11804907049694</c:v>
                </c:pt>
                <c:pt idx="31">
                  <c:v>136.68520760829068</c:v>
                </c:pt>
                <c:pt idx="32">
                  <c:v>137.25472930665859</c:v>
                </c:pt>
                <c:pt idx="33">
                  <c:v>137.82662401210297</c:v>
                </c:pt>
                <c:pt idx="34">
                  <c:v>138.40090161215338</c:v>
                </c:pt>
                <c:pt idx="35">
                  <c:v>138.97757203553738</c:v>
                </c:pt>
                <c:pt idx="36">
                  <c:v>139.5566452523521</c:v>
                </c:pt>
                <c:pt idx="37">
                  <c:v>140.13813127423691</c:v>
                </c:pt>
                <c:pt idx="38">
                  <c:v>140.72204015454622</c:v>
                </c:pt>
                <c:pt idx="39">
                  <c:v>141.30838198852348</c:v>
                </c:pt>
                <c:pt idx="40">
                  <c:v>141.89716691347564</c:v>
                </c:pt>
                <c:pt idx="41">
                  <c:v>142.48840510894851</c:v>
                </c:pt>
                <c:pt idx="42">
                  <c:v>143.08210679690245</c:v>
                </c:pt>
                <c:pt idx="43">
                  <c:v>143.67828224188952</c:v>
                </c:pt>
                <c:pt idx="44">
                  <c:v>144.27694175123074</c:v>
                </c:pt>
                <c:pt idx="45">
                  <c:v>144.87809567519417</c:v>
                </c:pt>
                <c:pt idx="46">
                  <c:v>145.48175440717418</c:v>
                </c:pt>
                <c:pt idx="47">
                  <c:v>146.08792838387072</c:v>
                </c:pt>
                <c:pt idx="48">
                  <c:v>146.69662808547017</c:v>
                </c:pt>
                <c:pt idx="49">
                  <c:v>147.30786403582627</c:v>
                </c:pt>
                <c:pt idx="50">
                  <c:v>147.92164680264224</c:v>
                </c:pt>
                <c:pt idx="51">
                  <c:v>148.53798699765323</c:v>
                </c:pt>
                <c:pt idx="52">
                  <c:v>149.15689527681013</c:v>
                </c:pt>
                <c:pt idx="53">
                  <c:v>149.77838234046351</c:v>
                </c:pt>
                <c:pt idx="54">
                  <c:v>150.40245893354879</c:v>
                </c:pt>
                <c:pt idx="55">
                  <c:v>151.02913584577189</c:v>
                </c:pt>
                <c:pt idx="56">
                  <c:v>151.65842391179595</c:v>
                </c:pt>
                <c:pt idx="57">
                  <c:v>152.2903340114284</c:v>
                </c:pt>
                <c:pt idx="58">
                  <c:v>152.92487706980936</c:v>
                </c:pt>
                <c:pt idx="59">
                  <c:v>153.56206405760022</c:v>
                </c:pt>
                <c:pt idx="60">
                  <c:v>154.20190599117356</c:v>
                </c:pt>
                <c:pt idx="61">
                  <c:v>154.84441393280346</c:v>
                </c:pt>
                <c:pt idx="62">
                  <c:v>155.48959899085679</c:v>
                </c:pt>
                <c:pt idx="63">
                  <c:v>156.13747231998536</c:v>
                </c:pt>
                <c:pt idx="64">
                  <c:v>156.78804512131865</c:v>
                </c:pt>
                <c:pt idx="65">
                  <c:v>157.44132864265745</c:v>
                </c:pt>
                <c:pt idx="66">
                  <c:v>158.09733417866855</c:v>
                </c:pt>
                <c:pt idx="67">
                  <c:v>158.75607307107967</c:v>
                </c:pt>
                <c:pt idx="68">
                  <c:v>159.41755670887582</c:v>
                </c:pt>
                <c:pt idx="69">
                  <c:v>160.08179652849614</c:v>
                </c:pt>
                <c:pt idx="70">
                  <c:v>160.74880401403155</c:v>
                </c:pt>
                <c:pt idx="71">
                  <c:v>161.4185906974233</c:v>
                </c:pt>
                <c:pt idx="72">
                  <c:v>162.09116815866258</c:v>
                </c:pt>
                <c:pt idx="73">
                  <c:v>162.76654802599035</c:v>
                </c:pt>
                <c:pt idx="74">
                  <c:v>163.44474197609861</c:v>
                </c:pt>
                <c:pt idx="75">
                  <c:v>164.12576173433237</c:v>
                </c:pt>
                <c:pt idx="76">
                  <c:v>164.80961907489208</c:v>
                </c:pt>
                <c:pt idx="77">
                  <c:v>165.49632582103746</c:v>
                </c:pt>
                <c:pt idx="78">
                  <c:v>166.18589384529182</c:v>
                </c:pt>
                <c:pt idx="79">
                  <c:v>166.87833506964716</c:v>
                </c:pt>
                <c:pt idx="80">
                  <c:v>167.5736614657707</c:v>
                </c:pt>
                <c:pt idx="81">
                  <c:v>168.27188505521138</c:v>
                </c:pt>
                <c:pt idx="82">
                  <c:v>168.9730179096081</c:v>
                </c:pt>
                <c:pt idx="83">
                  <c:v>169.67707215089817</c:v>
                </c:pt>
                <c:pt idx="84">
                  <c:v>170.38405995152689</c:v>
                </c:pt>
                <c:pt idx="85">
                  <c:v>171.09399353465827</c:v>
                </c:pt>
                <c:pt idx="86">
                  <c:v>171.80688517438597</c:v>
                </c:pt>
                <c:pt idx="87">
                  <c:v>172.52274719594593</c:v>
                </c:pt>
                <c:pt idx="88">
                  <c:v>173.24159197592903</c:v>
                </c:pt>
                <c:pt idx="89">
                  <c:v>173.96343194249539</c:v>
                </c:pt>
                <c:pt idx="90">
                  <c:v>174.68827957558915</c:v>
                </c:pt>
                <c:pt idx="91">
                  <c:v>175.41614740715409</c:v>
                </c:pt>
                <c:pt idx="92">
                  <c:v>176.14704802135054</c:v>
                </c:pt>
                <c:pt idx="93">
                  <c:v>176.88099405477286</c:v>
                </c:pt>
                <c:pt idx="94">
                  <c:v>177.61799819666771</c:v>
                </c:pt>
                <c:pt idx="95">
                  <c:v>178.35807318915386</c:v>
                </c:pt>
                <c:pt idx="96">
                  <c:v>179.10123182744198</c:v>
                </c:pt>
                <c:pt idx="97">
                  <c:v>179.8474869600563</c:v>
                </c:pt>
                <c:pt idx="98">
                  <c:v>180.59685148905655</c:v>
                </c:pt>
                <c:pt idx="99">
                  <c:v>181.34933837026097</c:v>
                </c:pt>
                <c:pt idx="100">
                  <c:v>182.10496061347035</c:v>
                </c:pt>
                <c:pt idx="101">
                  <c:v>182.86373128269315</c:v>
                </c:pt>
                <c:pt idx="102">
                  <c:v>183.62566349637103</c:v>
                </c:pt>
                <c:pt idx="103">
                  <c:v>184.39077042760593</c:v>
                </c:pt>
                <c:pt idx="104">
                  <c:v>185.15906530438761</c:v>
                </c:pt>
                <c:pt idx="105">
                  <c:v>185.93056140982256</c:v>
                </c:pt>
                <c:pt idx="106">
                  <c:v>186.70527208236345</c:v>
                </c:pt>
                <c:pt idx="107">
                  <c:v>187.48321071604002</c:v>
                </c:pt>
                <c:pt idx="108">
                  <c:v>188.26439076069019</c:v>
                </c:pt>
                <c:pt idx="109">
                  <c:v>189.04882572219302</c:v>
                </c:pt>
                <c:pt idx="110">
                  <c:v>189.83652916270216</c:v>
                </c:pt>
                <c:pt idx="111">
                  <c:v>190.62751470088008</c:v>
                </c:pt>
                <c:pt idx="112">
                  <c:v>191.42179601213374</c:v>
                </c:pt>
                <c:pt idx="113">
                  <c:v>192.21938682885096</c:v>
                </c:pt>
                <c:pt idx="114">
                  <c:v>193.02030094063787</c:v>
                </c:pt>
                <c:pt idx="115">
                  <c:v>193.82455219455719</c:v>
                </c:pt>
                <c:pt idx="116">
                  <c:v>194.63215449536781</c:v>
                </c:pt>
                <c:pt idx="117">
                  <c:v>195.44312180576517</c:v>
                </c:pt>
                <c:pt idx="118">
                  <c:v>196.25746814662253</c:v>
                </c:pt>
                <c:pt idx="119">
                  <c:v>197.07520759723349</c:v>
                </c:pt>
                <c:pt idx="120">
                  <c:v>197.89635429555523</c:v>
                </c:pt>
                <c:pt idx="121">
                  <c:v>198.72092243845341</c:v>
                </c:pt>
                <c:pt idx="122">
                  <c:v>199.54892628194693</c:v>
                </c:pt>
                <c:pt idx="123">
                  <c:v>200.38038014145508</c:v>
                </c:pt>
                <c:pt idx="124">
                  <c:v>201.21529839204445</c:v>
                </c:pt>
                <c:pt idx="125">
                  <c:v>202.05369546867794</c:v>
                </c:pt>
                <c:pt idx="126">
                  <c:v>202.89558586646413</c:v>
                </c:pt>
                <c:pt idx="127">
                  <c:v>203.74098414090773</c:v>
                </c:pt>
                <c:pt idx="128">
                  <c:v>204.58990490816149</c:v>
                </c:pt>
                <c:pt idx="129">
                  <c:v>205.44236284527886</c:v>
                </c:pt>
                <c:pt idx="130">
                  <c:v>206.29837269046749</c:v>
                </c:pt>
                <c:pt idx="131">
                  <c:v>207.15794924334443</c:v>
                </c:pt>
                <c:pt idx="132">
                  <c:v>208.02110736519171</c:v>
                </c:pt>
                <c:pt idx="133">
                  <c:v>208.88786197921337</c:v>
                </c:pt>
                <c:pt idx="134">
                  <c:v>209.75822807079339</c:v>
                </c:pt>
                <c:pt idx="135">
                  <c:v>210.63222068775502</c:v>
                </c:pt>
                <c:pt idx="136">
                  <c:v>211.5098549406207</c:v>
                </c:pt>
                <c:pt idx="137">
                  <c:v>212.39114600287326</c:v>
                </c:pt>
                <c:pt idx="138">
                  <c:v>213.2761091112186</c:v>
                </c:pt>
                <c:pt idx="139">
                  <c:v>214.16475956584864</c:v>
                </c:pt>
                <c:pt idx="140">
                  <c:v>215.05711273070634</c:v>
                </c:pt>
                <c:pt idx="141">
                  <c:v>215.95318403375094</c:v>
                </c:pt>
                <c:pt idx="142">
                  <c:v>216.85298896722489</c:v>
                </c:pt>
                <c:pt idx="143">
                  <c:v>217.75654308792167</c:v>
                </c:pt>
                <c:pt idx="144">
                  <c:v>218.6638620174547</c:v>
                </c:pt>
                <c:pt idx="145">
                  <c:v>219.57496144252735</c:v>
                </c:pt>
                <c:pt idx="146">
                  <c:v>220.48985711520461</c:v>
                </c:pt>
                <c:pt idx="147">
                  <c:v>221.4085648531846</c:v>
                </c:pt>
                <c:pt idx="148">
                  <c:v>222.3311005400729</c:v>
                </c:pt>
                <c:pt idx="149">
                  <c:v>223.25748012565651</c:v>
                </c:pt>
                <c:pt idx="150">
                  <c:v>224.1877196261801</c:v>
                </c:pt>
                <c:pt idx="151">
                  <c:v>225.12183512462249</c:v>
                </c:pt>
                <c:pt idx="152">
                  <c:v>226.05984277097508</c:v>
                </c:pt>
                <c:pt idx="153">
                  <c:v>227.00175878252082</c:v>
                </c:pt>
                <c:pt idx="154">
                  <c:v>227.94759944411462</c:v>
                </c:pt>
                <c:pt idx="155">
                  <c:v>228.89738110846508</c:v>
                </c:pt>
                <c:pt idx="156">
                  <c:v>229.85112019641707</c:v>
                </c:pt>
                <c:pt idx="157">
                  <c:v>230.80883319723543</c:v>
                </c:pt>
                <c:pt idx="158">
                  <c:v>231.7705366688906</c:v>
                </c:pt>
                <c:pt idx="159">
                  <c:v>232.7362472383443</c:v>
                </c:pt>
                <c:pt idx="160">
                  <c:v>233.70598160183738</c:v>
                </c:pt>
                <c:pt idx="161">
                  <c:v>234.67975652517839</c:v>
                </c:pt>
                <c:pt idx="162">
                  <c:v>235.65758884403331</c:v>
                </c:pt>
                <c:pt idx="163">
                  <c:v>236.63949546421679</c:v>
                </c:pt>
                <c:pt idx="164">
                  <c:v>237.62549336198433</c:v>
                </c:pt>
                <c:pt idx="165">
                  <c:v>238.61559958432593</c:v>
                </c:pt>
                <c:pt idx="166">
                  <c:v>239.60983124926062</c:v>
                </c:pt>
                <c:pt idx="167">
                  <c:v>240.60820554613252</c:v>
                </c:pt>
                <c:pt idx="168">
                  <c:v>241.61073973590803</c:v>
                </c:pt>
                <c:pt idx="169">
                  <c:v>242.61745115147434</c:v>
                </c:pt>
                <c:pt idx="170">
                  <c:v>243.62835719793884</c:v>
                </c:pt>
                <c:pt idx="171">
                  <c:v>244.64347535293024</c:v>
                </c:pt>
                <c:pt idx="172">
                  <c:v>245.66282316690081</c:v>
                </c:pt>
                <c:pt idx="173">
                  <c:v>246.68641826342949</c:v>
                </c:pt>
                <c:pt idx="174">
                  <c:v>247.71427833952717</c:v>
                </c:pt>
                <c:pt idx="175">
                  <c:v>248.74642116594183</c:v>
                </c:pt>
                <c:pt idx="176">
                  <c:v>249.78286458746661</c:v>
                </c:pt>
                <c:pt idx="177">
                  <c:v>250.8236265232477</c:v>
                </c:pt>
                <c:pt idx="178">
                  <c:v>251.86872496709458</c:v>
                </c:pt>
                <c:pt idx="179">
                  <c:v>252.91817798779076</c:v>
                </c:pt>
                <c:pt idx="180">
                  <c:v>253.97200372940659</c:v>
                </c:pt>
                <c:pt idx="181">
                  <c:v>255.03022041161242</c:v>
                </c:pt>
                <c:pt idx="182">
                  <c:v>256.09284632999413</c:v>
                </c:pt>
                <c:pt idx="183">
                  <c:v>257.15989985636912</c:v>
                </c:pt>
                <c:pt idx="184">
                  <c:v>258.231399439104</c:v>
                </c:pt>
                <c:pt idx="185">
                  <c:v>259.3073636034336</c:v>
                </c:pt>
                <c:pt idx="186">
                  <c:v>260.3878109517812</c:v>
                </c:pt>
                <c:pt idx="187">
                  <c:v>261.47276016408028</c:v>
                </c:pt>
                <c:pt idx="188">
                  <c:v>262.56222999809728</c:v>
                </c:pt>
                <c:pt idx="189">
                  <c:v>263.65623928975606</c:v>
                </c:pt>
                <c:pt idx="190">
                  <c:v>264.75480695346334</c:v>
                </c:pt>
                <c:pt idx="191">
                  <c:v>265.85795198243613</c:v>
                </c:pt>
                <c:pt idx="192">
                  <c:v>266.96569344902957</c:v>
                </c:pt>
                <c:pt idx="193">
                  <c:v>268.07805050506715</c:v>
                </c:pt>
                <c:pt idx="194">
                  <c:v>269.19504238217166</c:v>
                </c:pt>
                <c:pt idx="195">
                  <c:v>270.31668839209738</c:v>
                </c:pt>
                <c:pt idx="196">
                  <c:v>271.4430079270644</c:v>
                </c:pt>
                <c:pt idx="197">
                  <c:v>272.57402046009383</c:v>
                </c:pt>
                <c:pt idx="198">
                  <c:v>273.70974554534422</c:v>
                </c:pt>
                <c:pt idx="199">
                  <c:v>274.85020281844987</c:v>
                </c:pt>
                <c:pt idx="200">
                  <c:v>275.99541199686001</c:v>
                </c:pt>
                <c:pt idx="201">
                  <c:v>277.14539288018028</c:v>
                </c:pt>
                <c:pt idx="202">
                  <c:v>278.30016535051436</c:v>
                </c:pt>
                <c:pt idx="203">
                  <c:v>279.45974937280818</c:v>
                </c:pt>
                <c:pt idx="204">
                  <c:v>280.62416499519486</c:v>
                </c:pt>
                <c:pt idx="205">
                  <c:v>281.79343234934157</c:v>
                </c:pt>
                <c:pt idx="206">
                  <c:v>282.96757165079708</c:v>
                </c:pt>
                <c:pt idx="207">
                  <c:v>284.14660319934211</c:v>
                </c:pt>
                <c:pt idx="208">
                  <c:v>285.33054737933935</c:v>
                </c:pt>
                <c:pt idx="209">
                  <c:v>286.5194246600866</c:v>
                </c:pt>
                <c:pt idx="210">
                  <c:v>287.71325559617026</c:v>
                </c:pt>
                <c:pt idx="211">
                  <c:v>288.91206082782099</c:v>
                </c:pt>
                <c:pt idx="212">
                  <c:v>290.11586108127022</c:v>
                </c:pt>
                <c:pt idx="213">
                  <c:v>291.32467716910884</c:v>
                </c:pt>
                <c:pt idx="214">
                  <c:v>292.53852999064679</c:v>
                </c:pt>
                <c:pt idx="215">
                  <c:v>293.75744053227447</c:v>
                </c:pt>
                <c:pt idx="216">
                  <c:v>294.98142986782563</c:v>
                </c:pt>
                <c:pt idx="217">
                  <c:v>296.21051915894157</c:v>
                </c:pt>
                <c:pt idx="218">
                  <c:v>297.44472965543719</c:v>
                </c:pt>
                <c:pt idx="219">
                  <c:v>298.68408269566817</c:v>
                </c:pt>
                <c:pt idx="220">
                  <c:v>299.92859970690006</c:v>
                </c:pt>
                <c:pt idx="221">
                  <c:v>301.17830220567885</c:v>
                </c:pt>
                <c:pt idx="222">
                  <c:v>302.43321179820248</c:v>
                </c:pt>
                <c:pt idx="223">
                  <c:v>303.69335018069501</c:v>
                </c:pt>
                <c:pt idx="224">
                  <c:v>304.95873913978124</c:v>
                </c:pt>
                <c:pt idx="225">
                  <c:v>306.22940055286369</c:v>
                </c:pt>
                <c:pt idx="226">
                  <c:v>307.50535638850056</c:v>
                </c:pt>
                <c:pt idx="227">
                  <c:v>308.78662870678596</c:v>
                </c:pt>
                <c:pt idx="228">
                  <c:v>310.07323965973092</c:v>
                </c:pt>
                <c:pt idx="229">
                  <c:v>311.36521149164645</c:v>
                </c:pt>
                <c:pt idx="230">
                  <c:v>312.66256653952826</c:v>
                </c:pt>
                <c:pt idx="231">
                  <c:v>313.96532723344302</c:v>
                </c:pt>
                <c:pt idx="232">
                  <c:v>315.27351609691573</c:v>
                </c:pt>
                <c:pt idx="233">
                  <c:v>316.58715574731946</c:v>
                </c:pt>
                <c:pt idx="234">
                  <c:v>317.90626889626662</c:v>
                </c:pt>
                <c:pt idx="235">
                  <c:v>319.23087835000109</c:v>
                </c:pt>
                <c:pt idx="236">
                  <c:v>320.56100700979277</c:v>
                </c:pt>
                <c:pt idx="237">
                  <c:v>321.89667787233356</c:v>
                </c:pt>
                <c:pt idx="238">
                  <c:v>323.2379140301349</c:v>
                </c:pt>
                <c:pt idx="239">
                  <c:v>324.5847386719272</c:v>
                </c:pt>
                <c:pt idx="240">
                  <c:v>325.9371750830602</c:v>
                </c:pt>
                <c:pt idx="241">
                  <c:v>327.29524664590616</c:v>
                </c:pt>
                <c:pt idx="242">
                  <c:v>328.65897684026419</c:v>
                </c:pt>
                <c:pt idx="243">
                  <c:v>330.02838924376533</c:v>
                </c:pt>
                <c:pt idx="244">
                  <c:v>331.40350753228097</c:v>
                </c:pt>
                <c:pt idx="245">
                  <c:v>332.78435548033212</c:v>
                </c:pt>
                <c:pt idx="246">
                  <c:v>334.17095696150017</c:v>
                </c:pt>
                <c:pt idx="247">
                  <c:v>335.56333594883978</c:v>
                </c:pt>
                <c:pt idx="248">
                  <c:v>336.96151651529317</c:v>
                </c:pt>
                <c:pt idx="249">
                  <c:v>338.36552283410703</c:v>
                </c:pt>
                <c:pt idx="250">
                  <c:v>339.77537917924906</c:v>
                </c:pt>
                <c:pt idx="251">
                  <c:v>341.19110992582927</c:v>
                </c:pt>
                <c:pt idx="252">
                  <c:v>342.61273955052019</c:v>
                </c:pt>
                <c:pt idx="253">
                  <c:v>344.04029263198072</c:v>
                </c:pt>
                <c:pt idx="254">
                  <c:v>345.47379385128062</c:v>
                </c:pt>
                <c:pt idx="255">
                  <c:v>346.91326799232763</c:v>
                </c:pt>
                <c:pt idx="256">
                  <c:v>348.3587399422957</c:v>
                </c:pt>
                <c:pt idx="257">
                  <c:v>349.81023469205519</c:v>
                </c:pt>
                <c:pt idx="258">
                  <c:v>351.26777733660543</c:v>
                </c:pt>
                <c:pt idx="259">
                  <c:v>352.73139307550798</c:v>
                </c:pt>
                <c:pt idx="260">
                  <c:v>354.20110721332253</c:v>
                </c:pt>
                <c:pt idx="261">
                  <c:v>355.67694516004474</c:v>
                </c:pt>
                <c:pt idx="262">
                  <c:v>357.15893243154488</c:v>
                </c:pt>
                <c:pt idx="263">
                  <c:v>358.64709465000971</c:v>
                </c:pt>
                <c:pt idx="264">
                  <c:v>360.14145754438476</c:v>
                </c:pt>
                <c:pt idx="265">
                  <c:v>361.64204695081969</c:v>
                </c:pt>
                <c:pt idx="266">
                  <c:v>363.14888881311475</c:v>
                </c:pt>
                <c:pt idx="267">
                  <c:v>364.66200918316935</c:v>
                </c:pt>
                <c:pt idx="268">
                  <c:v>366.1814342214326</c:v>
                </c:pt>
                <c:pt idx="269">
                  <c:v>367.70719019735526</c:v>
                </c:pt>
                <c:pt idx="270">
                  <c:v>369.23930348984419</c:v>
                </c:pt>
                <c:pt idx="271">
                  <c:v>370.7778005877185</c:v>
                </c:pt>
                <c:pt idx="272">
                  <c:v>372.3227080901674</c:v>
                </c:pt>
                <c:pt idx="273">
                  <c:v>373.87405270720973</c:v>
                </c:pt>
                <c:pt idx="274">
                  <c:v>375.43186126015638</c:v>
                </c:pt>
                <c:pt idx="275">
                  <c:v>376.99616068207376</c:v>
                </c:pt>
                <c:pt idx="276">
                  <c:v>378.56697801824907</c:v>
                </c:pt>
                <c:pt idx="277">
                  <c:v>380.1443404266584</c:v>
                </c:pt>
                <c:pt idx="278">
                  <c:v>381.72827517843615</c:v>
                </c:pt>
                <c:pt idx="279">
                  <c:v>383.31880965834631</c:v>
                </c:pt>
                <c:pt idx="280">
                  <c:v>384.91597136525604</c:v>
                </c:pt>
                <c:pt idx="281">
                  <c:v>386.51978791261126</c:v>
                </c:pt>
                <c:pt idx="282">
                  <c:v>388.13028702891376</c:v>
                </c:pt>
                <c:pt idx="283">
                  <c:v>389.74749655820096</c:v>
                </c:pt>
                <c:pt idx="284">
                  <c:v>391.37144446052679</c:v>
                </c:pt>
                <c:pt idx="285">
                  <c:v>393.00215881244566</c:v>
                </c:pt>
                <c:pt idx="286">
                  <c:v>394.63966780749752</c:v>
                </c:pt>
                <c:pt idx="287">
                  <c:v>396.28399975669538</c:v>
                </c:pt>
                <c:pt idx="288">
                  <c:v>397.93518308901497</c:v>
                </c:pt>
                <c:pt idx="289">
                  <c:v>399.59324635188585</c:v>
                </c:pt>
                <c:pt idx="290">
                  <c:v>401.25821821168535</c:v>
                </c:pt>
                <c:pt idx="291">
                  <c:v>402.93012745423403</c:v>
                </c:pt>
                <c:pt idx="292">
                  <c:v>404.60900298529333</c:v>
                </c:pt>
                <c:pt idx="293">
                  <c:v>406.29487383106544</c:v>
                </c:pt>
                <c:pt idx="294">
                  <c:v>407.98776913869483</c:v>
                </c:pt>
                <c:pt idx="295">
                  <c:v>409.68771817677271</c:v>
                </c:pt>
                <c:pt idx="296">
                  <c:v>411.39475033584256</c:v>
                </c:pt>
                <c:pt idx="297">
                  <c:v>413.10889512890861</c:v>
                </c:pt>
                <c:pt idx="298">
                  <c:v>414.83018219194577</c:v>
                </c:pt>
                <c:pt idx="299">
                  <c:v>416.55864128441215</c:v>
                </c:pt>
                <c:pt idx="300">
                  <c:v>418.29430228976383</c:v>
                </c:pt>
                <c:pt idx="301">
                  <c:v>420.03719521597117</c:v>
                </c:pt>
                <c:pt idx="302">
                  <c:v>421.78735019603772</c:v>
                </c:pt>
                <c:pt idx="303">
                  <c:v>423.54479748852134</c:v>
                </c:pt>
                <c:pt idx="304">
                  <c:v>425.30956747805664</c:v>
                </c:pt>
                <c:pt idx="305">
                  <c:v>427.08169067588199</c:v>
                </c:pt>
                <c:pt idx="306">
                  <c:v>428.86119772036483</c:v>
                </c:pt>
                <c:pt idx="307">
                  <c:v>430.64811937753302</c:v>
                </c:pt>
                <c:pt idx="308">
                  <c:v>432.44248654160606</c:v>
                </c:pt>
                <c:pt idx="309">
                  <c:v>434.24433023552939</c:v>
                </c:pt>
                <c:pt idx="310">
                  <c:v>436.0536816115108</c:v>
                </c:pt>
                <c:pt idx="311">
                  <c:v>437.8705719515587</c:v>
                </c:pt>
                <c:pt idx="312">
                  <c:v>439.69503266802349</c:v>
                </c:pt>
                <c:pt idx="313">
                  <c:v>441.52709530414023</c:v>
                </c:pt>
                <c:pt idx="314">
                  <c:v>443.36679153457413</c:v>
                </c:pt>
                <c:pt idx="315">
                  <c:v>445.21415316596824</c:v>
                </c:pt>
                <c:pt idx="316">
                  <c:v>447.06921213749308</c:v>
                </c:pt>
                <c:pt idx="317">
                  <c:v>448.93200052139929</c:v>
                </c:pt>
                <c:pt idx="318">
                  <c:v>450.80255052357177</c:v>
                </c:pt>
                <c:pt idx="319">
                  <c:v>452.68089448408665</c:v>
                </c:pt>
                <c:pt idx="320">
                  <c:v>454.56706487777041</c:v>
                </c:pt>
                <c:pt idx="321">
                  <c:v>456.46109431476106</c:v>
                </c:pt>
                <c:pt idx="322">
                  <c:v>458.36301554107257</c:v>
                </c:pt>
                <c:pt idx="323">
                  <c:v>460.27286143916041</c:v>
                </c:pt>
                <c:pt idx="324">
                  <c:v>462.19066502849017</c:v>
                </c:pt>
                <c:pt idx="325">
                  <c:v>464.11645946610889</c:v>
                </c:pt>
                <c:pt idx="326">
                  <c:v>466.05027804721766</c:v>
                </c:pt>
                <c:pt idx="327">
                  <c:v>467.99215420574774</c:v>
                </c:pt>
                <c:pt idx="328">
                  <c:v>469.94212151493832</c:v>
                </c:pt>
                <c:pt idx="329">
                  <c:v>471.9002136879173</c:v>
                </c:pt>
                <c:pt idx="330">
                  <c:v>473.86646457828363</c:v>
                </c:pt>
                <c:pt idx="331">
                  <c:v>475.84090818069308</c:v>
                </c:pt>
                <c:pt idx="332">
                  <c:v>477.82357863144591</c:v>
                </c:pt>
                <c:pt idx="333">
                  <c:v>479.81451020907701</c:v>
                </c:pt>
                <c:pt idx="334">
                  <c:v>481.81373733494814</c:v>
                </c:pt>
                <c:pt idx="335">
                  <c:v>483.82129457384372</c:v>
                </c:pt>
                <c:pt idx="336">
                  <c:v>485.83721663456811</c:v>
                </c:pt>
                <c:pt idx="337">
                  <c:v>487.86153837054547</c:v>
                </c:pt>
                <c:pt idx="338">
                  <c:v>489.89429478042274</c:v>
                </c:pt>
                <c:pt idx="339">
                  <c:v>491.93552100867453</c:v>
                </c:pt>
                <c:pt idx="340">
                  <c:v>493.98525234621059</c:v>
                </c:pt>
                <c:pt idx="341">
                  <c:v>496.04352423098646</c:v>
                </c:pt>
                <c:pt idx="342">
                  <c:v>498.11037224861559</c:v>
                </c:pt>
                <c:pt idx="343">
                  <c:v>500.18583213298484</c:v>
                </c:pt>
                <c:pt idx="344">
                  <c:v>502.2699397668722</c:v>
                </c:pt>
                <c:pt idx="345">
                  <c:v>504.36273118256759</c:v>
                </c:pt>
                <c:pt idx="346">
                  <c:v>506.46424256249486</c:v>
                </c:pt>
                <c:pt idx="347">
                  <c:v>508.57451023983856</c:v>
                </c:pt>
                <c:pt idx="348">
                  <c:v>510.69357069917118</c:v>
                </c:pt>
                <c:pt idx="349">
                  <c:v>512.82146057708451</c:v>
                </c:pt>
                <c:pt idx="350">
                  <c:v>514.95821666282234</c:v>
                </c:pt>
                <c:pt idx="351">
                  <c:v>517.10387589891741</c:v>
                </c:pt>
                <c:pt idx="352">
                  <c:v>519.2584753818295</c:v>
                </c:pt>
                <c:pt idx="353">
                  <c:v>521.42205236258712</c:v>
                </c:pt>
                <c:pt idx="354">
                  <c:v>523.59464424743112</c:v>
                </c:pt>
                <c:pt idx="355">
                  <c:v>525.7762885984622</c:v>
                </c:pt>
                <c:pt idx="356">
                  <c:v>527.96702313428921</c:v>
                </c:pt>
                <c:pt idx="357">
                  <c:v>530.16688573068211</c:v>
                </c:pt>
                <c:pt idx="358">
                  <c:v>532.37591442122653</c:v>
                </c:pt>
                <c:pt idx="359">
                  <c:v>534.5941473979816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A4-4B16-9930-92C9FF671A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57513487"/>
        <c:axId val="251096671"/>
      </c:barChart>
      <c:catAx>
        <c:axId val="135751348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Age</a:t>
                </a:r>
                <a:r>
                  <a:rPr lang="en-US" baseline="0"/>
                  <a:t> of loan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1096671"/>
        <c:crosses val="autoZero"/>
        <c:auto val="1"/>
        <c:lblAlgn val="ctr"/>
        <c:lblOffset val="100"/>
        <c:noMultiLvlLbl val="0"/>
      </c:catAx>
      <c:valAx>
        <c:axId val="2510966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</a:t>
                </a:r>
                <a:r>
                  <a:rPr lang="en-US" baseline="0"/>
                  <a:t> vs PRINCIPAL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575134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Interest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'Cash flows with prepayments'!$F$3:$F$362</c:f>
              <c:numCache>
                <c:formatCode>0.00</c:formatCode>
                <c:ptCount val="360"/>
                <c:pt idx="0">
                  <c:v>416.66666666666669</c:v>
                </c:pt>
                <c:pt idx="1">
                  <c:v>416.13132460808322</c:v>
                </c:pt>
                <c:pt idx="2">
                  <c:v>415.55929982740003</c:v>
                </c:pt>
                <c:pt idx="3">
                  <c:v>414.95069313418372</c:v>
                </c:pt>
                <c:pt idx="4">
                  <c:v>414.30561507206875</c:v>
                </c:pt>
                <c:pt idx="5">
                  <c:v>413.62418589185341</c:v>
                </c:pt>
                <c:pt idx="6">
                  <c:v>412.90653552030443</c:v>
                </c:pt>
                <c:pt idx="7">
                  <c:v>412.15280352467289</c:v>
                </c:pt>
                <c:pt idx="8">
                  <c:v>411.36313907293277</c:v>
                </c:pt>
                <c:pt idx="9">
                  <c:v>410.53770088975432</c:v>
                </c:pt>
                <c:pt idx="10">
                  <c:v>409.67665720822174</c:v>
                </c:pt>
                <c:pt idx="11">
                  <c:v>408.78018571731724</c:v>
                </c:pt>
                <c:pt idx="12">
                  <c:v>407.84847350518697</c:v>
                </c:pt>
                <c:pt idx="13">
                  <c:v>406.88171699821277</c:v>
                </c:pt>
                <c:pt idx="14">
                  <c:v>405.88012189591296</c:v>
                </c:pt>
                <c:pt idx="15">
                  <c:v>404.84390310169948</c:v>
                </c:pt>
                <c:pt idx="16">
                  <c:v>403.77328464952257</c:v>
                </c:pt>
                <c:pt idx="17">
                  <c:v>402.66849962643278</c:v>
                </c:pt>
                <c:pt idx="18">
                  <c:v>401.52979009109674</c:v>
                </c:pt>
                <c:pt idx="19">
                  <c:v>400.35740698830472</c:v>
                </c:pt>
                <c:pt idx="20">
                  <c:v>399.15161005950716</c:v>
                </c:pt>
                <c:pt idx="21">
                  <c:v>397.91266774942585</c:v>
                </c:pt>
                <c:pt idx="22">
                  <c:v>396.64085710878282</c:v>
                </c:pt>
                <c:pt idx="23">
                  <c:v>395.33646369319325</c:v>
                </c:pt>
                <c:pt idx="24">
                  <c:v>393.999781458276</c:v>
                </c:pt>
                <c:pt idx="25">
                  <c:v>392.63111265102924</c:v>
                </c:pt>
                <c:pt idx="26">
                  <c:v>391.23076769752902</c:v>
                </c:pt>
                <c:pt idx="27">
                  <c:v>389.79906508700657</c:v>
                </c:pt>
                <c:pt idx="28">
                  <c:v>388.33633125236344</c:v>
                </c:pt>
                <c:pt idx="29">
                  <c:v>386.84290044718563</c:v>
                </c:pt>
                <c:pt idx="30">
                  <c:v>385.31911461932106</c:v>
                </c:pt>
                <c:pt idx="31">
                  <c:v>383.79831123458882</c:v>
                </c:pt>
                <c:pt idx="32">
                  <c:v>382.28048130512803</c:v>
                </c:pt>
                <c:pt idx="33">
                  <c:v>380.76561586354882</c:v>
                </c:pt>
                <c:pt idx="34">
                  <c:v>379.25370596287684</c:v>
                </c:pt>
                <c:pt idx="35">
                  <c:v>377.74474267649748</c:v>
                </c:pt>
                <c:pt idx="36">
                  <c:v>376.23871709810089</c:v>
                </c:pt>
                <c:pt idx="37">
                  <c:v>374.73562034162632</c:v>
                </c:pt>
                <c:pt idx="38">
                  <c:v>373.23544354120719</c:v>
                </c:pt>
                <c:pt idx="39">
                  <c:v>371.73817785111612</c:v>
                </c:pt>
                <c:pt idx="40">
                  <c:v>370.24381444571037</c:v>
                </c:pt>
                <c:pt idx="41">
                  <c:v>368.75234451937644</c:v>
                </c:pt>
                <c:pt idx="42">
                  <c:v>367.26375928647622</c:v>
                </c:pt>
                <c:pt idx="43">
                  <c:v>365.77804998129216</c:v>
                </c:pt>
                <c:pt idx="44">
                  <c:v>364.29520785797274</c:v>
                </c:pt>
                <c:pt idx="45">
                  <c:v>362.81522419047906</c:v>
                </c:pt>
                <c:pt idx="46">
                  <c:v>361.33809027252994</c:v>
                </c:pt>
                <c:pt idx="47">
                  <c:v>359.8637974175486</c:v>
                </c:pt>
                <c:pt idx="48">
                  <c:v>358.3923369586085</c:v>
                </c:pt>
                <c:pt idx="49">
                  <c:v>356.92370024837993</c:v>
                </c:pt>
                <c:pt idx="50">
                  <c:v>355.45787865907647</c:v>
                </c:pt>
                <c:pt idx="51">
                  <c:v>353.99486358240102</c:v>
                </c:pt>
                <c:pt idx="52">
                  <c:v>352.53464642949376</c:v>
                </c:pt>
                <c:pt idx="53">
                  <c:v>351.07721863087772</c:v>
                </c:pt>
                <c:pt idx="54">
                  <c:v>349.62257163640652</c:v>
                </c:pt>
                <c:pt idx="55">
                  <c:v>348.17069691521112</c:v>
                </c:pt>
                <c:pt idx="56">
                  <c:v>346.72158595564741</c:v>
                </c:pt>
                <c:pt idx="57">
                  <c:v>345.27523026524341</c:v>
                </c:pt>
                <c:pt idx="58">
                  <c:v>343.83162137064659</c:v>
                </c:pt>
                <c:pt idx="59">
                  <c:v>342.3907508175717</c:v>
                </c:pt>
                <c:pt idx="60">
                  <c:v>340.95261017074853</c:v>
                </c:pt>
                <c:pt idx="61">
                  <c:v>339.51719101386982</c:v>
                </c:pt>
                <c:pt idx="62">
                  <c:v>338.08448494953899</c:v>
                </c:pt>
                <c:pt idx="63">
                  <c:v>336.65448359921857</c:v>
                </c:pt>
                <c:pt idx="64">
                  <c:v>335.2271786031784</c:v>
                </c:pt>
                <c:pt idx="65">
                  <c:v>333.80256162044378</c:v>
                </c:pt>
                <c:pt idx="66">
                  <c:v>332.38062432874443</c:v>
                </c:pt>
                <c:pt idx="67">
                  <c:v>330.96135842446256</c:v>
                </c:pt>
                <c:pt idx="68">
                  <c:v>329.54475562258193</c:v>
                </c:pt>
                <c:pt idx="69">
                  <c:v>328.13080765663693</c:v>
                </c:pt>
                <c:pt idx="70">
                  <c:v>326.71950627866119</c:v>
                </c:pt>
                <c:pt idx="71">
                  <c:v>325.31084325913673</c:v>
                </c:pt>
                <c:pt idx="72">
                  <c:v>323.90481038694344</c:v>
                </c:pt>
                <c:pt idx="73">
                  <c:v>322.50139946930835</c:v>
                </c:pt>
                <c:pt idx="74">
                  <c:v>321.10060233175506</c:v>
                </c:pt>
                <c:pt idx="75">
                  <c:v>319.70241081805347</c:v>
                </c:pt>
                <c:pt idx="76">
                  <c:v>318.30681679016936</c:v>
                </c:pt>
                <c:pt idx="77">
                  <c:v>316.9138121282142</c:v>
                </c:pt>
                <c:pt idx="78">
                  <c:v>315.52338873039554</c:v>
                </c:pt>
                <c:pt idx="79">
                  <c:v>314.13553851296643</c:v>
                </c:pt>
                <c:pt idx="80">
                  <c:v>312.75025341017624</c:v>
                </c:pt>
                <c:pt idx="81">
                  <c:v>311.36752537422063</c:v>
                </c:pt>
                <c:pt idx="82">
                  <c:v>309.98734637519226</c:v>
                </c:pt>
                <c:pt idx="83">
                  <c:v>308.60970840103113</c:v>
                </c:pt>
                <c:pt idx="84">
                  <c:v>307.23460345747532</c:v>
                </c:pt>
                <c:pt idx="85">
                  <c:v>305.86202356801169</c:v>
                </c:pt>
                <c:pt idx="86">
                  <c:v>304.49196077382754</c:v>
                </c:pt>
                <c:pt idx="87">
                  <c:v>303.12440713376026</c:v>
                </c:pt>
                <c:pt idx="88">
                  <c:v>301.75935472424993</c:v>
                </c:pt>
                <c:pt idx="89">
                  <c:v>300.39679563928973</c:v>
                </c:pt>
                <c:pt idx="90">
                  <c:v>299.03672199037743</c:v>
                </c:pt>
                <c:pt idx="91">
                  <c:v>297.67912590646722</c:v>
                </c:pt>
                <c:pt idx="92">
                  <c:v>296.32399953392127</c:v>
                </c:pt>
                <c:pt idx="93">
                  <c:v>294.97133503646108</c:v>
                </c:pt>
                <c:pt idx="94">
                  <c:v>293.62112459511974</c:v>
                </c:pt>
                <c:pt idx="95">
                  <c:v>292.27336040819375</c:v>
                </c:pt>
                <c:pt idx="96">
                  <c:v>290.92803469119536</c:v>
                </c:pt>
                <c:pt idx="97">
                  <c:v>289.58513967680437</c:v>
                </c:pt>
                <c:pt idx="98">
                  <c:v>288.24466761482051</c:v>
                </c:pt>
                <c:pt idx="99">
                  <c:v>286.90661077211627</c:v>
                </c:pt>
                <c:pt idx="100">
                  <c:v>285.57096143258912</c:v>
                </c:pt>
                <c:pt idx="101">
                  <c:v>284.23771189711402</c:v>
                </c:pt>
                <c:pt idx="102">
                  <c:v>282.90685448349655</c:v>
                </c:pt>
                <c:pt idx="103">
                  <c:v>281.57838152642586</c:v>
                </c:pt>
                <c:pt idx="104">
                  <c:v>280.25228537742697</c:v>
                </c:pt>
                <c:pt idx="105">
                  <c:v>278.92855840481491</c:v>
                </c:pt>
                <c:pt idx="106">
                  <c:v>277.60719299364706</c:v>
                </c:pt>
                <c:pt idx="107">
                  <c:v>276.28818154567676</c:v>
                </c:pt>
                <c:pt idx="108">
                  <c:v>274.97151647930713</c:v>
                </c:pt>
                <c:pt idx="109">
                  <c:v>273.65719022954409</c:v>
                </c:pt>
                <c:pt idx="110">
                  <c:v>272.34519524795047</c:v>
                </c:pt>
                <c:pt idx="111">
                  <c:v>271.03552400259923</c:v>
                </c:pt>
                <c:pt idx="112">
                  <c:v>269.72816897802812</c:v>
                </c:pt>
                <c:pt idx="113">
                  <c:v>268.42312267519293</c:v>
                </c:pt>
                <c:pt idx="114">
                  <c:v>267.12037761142204</c:v>
                </c:pt>
                <c:pt idx="115">
                  <c:v>265.81992632037066</c:v>
                </c:pt>
                <c:pt idx="116">
                  <c:v>264.52176135197487</c:v>
                </c:pt>
                <c:pt idx="117">
                  <c:v>263.22587527240626</c:v>
                </c:pt>
                <c:pt idx="118">
                  <c:v>261.93226066402633</c:v>
                </c:pt>
                <c:pt idx="119">
                  <c:v>260.64091012534135</c:v>
                </c:pt>
                <c:pt idx="120">
                  <c:v>259.3518162709571</c:v>
                </c:pt>
                <c:pt idx="121">
                  <c:v>258.06497173153343</c:v>
                </c:pt>
                <c:pt idx="122">
                  <c:v>256.78036915373957</c:v>
                </c:pt>
                <c:pt idx="123">
                  <c:v>255.49800120020916</c:v>
                </c:pt>
                <c:pt idx="124">
                  <c:v>254.21786054949533</c:v>
                </c:pt>
                <c:pt idx="125">
                  <c:v>252.939939896026</c:v>
                </c:pt>
                <c:pt idx="126">
                  <c:v>251.66423195005936</c:v>
                </c:pt>
                <c:pt idx="127">
                  <c:v>250.39072943763938</c:v>
                </c:pt>
                <c:pt idx="128">
                  <c:v>249.11942510055141</c:v>
                </c:pt>
                <c:pt idx="129">
                  <c:v>247.85031169627783</c:v>
                </c:pt>
                <c:pt idx="130">
                  <c:v>246.58338199795392</c:v>
                </c:pt>
                <c:pt idx="131">
                  <c:v>245.31862879432401</c:v>
                </c:pt>
                <c:pt idx="132">
                  <c:v>244.05604488969701</c:v>
                </c:pt>
                <c:pt idx="133">
                  <c:v>242.79562310390295</c:v>
                </c:pt>
                <c:pt idx="134">
                  <c:v>241.53735627224918</c:v>
                </c:pt>
                <c:pt idx="135">
                  <c:v>240.2812372454768</c:v>
                </c:pt>
                <c:pt idx="136">
                  <c:v>239.02725888971662</c:v>
                </c:pt>
                <c:pt idx="137">
                  <c:v>237.77541408644626</c:v>
                </c:pt>
                <c:pt idx="138">
                  <c:v>236.52569573244662</c:v>
                </c:pt>
                <c:pt idx="139">
                  <c:v>235.27809673975867</c:v>
                </c:pt>
                <c:pt idx="140">
                  <c:v>234.03261003564015</c:v>
                </c:pt>
                <c:pt idx="141">
                  <c:v>232.78922856252262</c:v>
                </c:pt>
                <c:pt idx="142">
                  <c:v>231.54794527796892</c:v>
                </c:pt>
                <c:pt idx="143">
                  <c:v>230.3087531546295</c:v>
                </c:pt>
                <c:pt idx="144">
                  <c:v>229.07164518020051</c:v>
                </c:pt>
                <c:pt idx="145">
                  <c:v>227.83661435738065</c:v>
                </c:pt>
                <c:pt idx="146">
                  <c:v>226.60365370382891</c:v>
                </c:pt>
                <c:pt idx="147">
                  <c:v>225.37275625212195</c:v>
                </c:pt>
                <c:pt idx="148">
                  <c:v>224.14391504971206</c:v>
                </c:pt>
                <c:pt idx="149">
                  <c:v>222.91712315888452</c:v>
                </c:pt>
                <c:pt idx="150">
                  <c:v>221.69237365671594</c:v>
                </c:pt>
                <c:pt idx="151">
                  <c:v>220.46965963503169</c:v>
                </c:pt>
                <c:pt idx="152">
                  <c:v>219.24897420036459</c:v>
                </c:pt>
                <c:pt idx="153">
                  <c:v>218.03031047391252</c:v>
                </c:pt>
                <c:pt idx="154">
                  <c:v>216.81366159149701</c:v>
                </c:pt>
                <c:pt idx="155">
                  <c:v>215.59902070352155</c:v>
                </c:pt>
                <c:pt idx="156">
                  <c:v>214.38638097492998</c:v>
                </c:pt>
                <c:pt idx="157">
                  <c:v>213.17573558516509</c:v>
                </c:pt>
                <c:pt idx="158">
                  <c:v>211.96707772812721</c:v>
                </c:pt>
                <c:pt idx="159">
                  <c:v>210.76040061213325</c:v>
                </c:pt>
                <c:pt idx="160">
                  <c:v>209.55569745987518</c:v>
                </c:pt>
                <c:pt idx="161">
                  <c:v>208.35296150837925</c:v>
                </c:pt>
                <c:pt idx="162">
                  <c:v>207.15218600896483</c:v>
                </c:pt>
                <c:pt idx="163">
                  <c:v>205.95336422720374</c:v>
                </c:pt>
                <c:pt idx="164">
                  <c:v>204.75648944287937</c:v>
                </c:pt>
                <c:pt idx="165">
                  <c:v>203.5615549499461</c:v>
                </c:pt>
                <c:pt idx="166">
                  <c:v>202.36855405648859</c:v>
                </c:pt>
                <c:pt idx="167">
                  <c:v>201.17748008468149</c:v>
                </c:pt>
                <c:pt idx="168">
                  <c:v>199.98832637074912</c:v>
                </c:pt>
                <c:pt idx="169">
                  <c:v>198.80108626492461</c:v>
                </c:pt>
                <c:pt idx="170">
                  <c:v>197.61575313141066</c:v>
                </c:pt>
                <c:pt idx="171">
                  <c:v>196.43232034833849</c:v>
                </c:pt>
                <c:pt idx="172">
                  <c:v>195.25078130772854</c:v>
                </c:pt>
                <c:pt idx="173">
                  <c:v>194.07112941545029</c:v>
                </c:pt>
                <c:pt idx="174">
                  <c:v>192.89335809118228</c:v>
                </c:pt>
                <c:pt idx="175">
                  <c:v>191.71746076837283</c:v>
                </c:pt>
                <c:pt idx="176">
                  <c:v>190.5434308941999</c:v>
                </c:pt>
                <c:pt idx="177">
                  <c:v>189.37126192953198</c:v>
                </c:pt>
                <c:pt idx="178">
                  <c:v>188.20094734888841</c:v>
                </c:pt>
                <c:pt idx="179">
                  <c:v>187.0324806404</c:v>
                </c:pt>
                <c:pt idx="180">
                  <c:v>185.8658553057702</c:v>
                </c:pt>
                <c:pt idx="181">
                  <c:v>184.70106486023514</c:v>
                </c:pt>
                <c:pt idx="182">
                  <c:v>183.5381028325254</c:v>
                </c:pt>
                <c:pt idx="183">
                  <c:v>182.37696276482649</c:v>
                </c:pt>
                <c:pt idx="184">
                  <c:v>181.21763821274013</c:v>
                </c:pt>
                <c:pt idx="185">
                  <c:v>180.06012274524548</c:v>
                </c:pt>
                <c:pt idx="186">
                  <c:v>178.90440994466022</c:v>
                </c:pt>
                <c:pt idx="187">
                  <c:v>177.75049340660237</c:v>
                </c:pt>
                <c:pt idx="188">
                  <c:v>176.59836673995139</c:v>
                </c:pt>
                <c:pt idx="189">
                  <c:v>175.44802356680964</c:v>
                </c:pt>
                <c:pt idx="190">
                  <c:v>174.29945752246451</c:v>
                </c:pt>
                <c:pt idx="191">
                  <c:v>173.1526622553497</c:v>
                </c:pt>
                <c:pt idx="192">
                  <c:v>172.00763142700737</c:v>
                </c:pt>
                <c:pt idx="193">
                  <c:v>170.86435871204978</c:v>
                </c:pt>
                <c:pt idx="194">
                  <c:v>169.72283779812142</c:v>
                </c:pt>
                <c:pt idx="195">
                  <c:v>168.58306238586133</c:v>
                </c:pt>
                <c:pt idx="196">
                  <c:v>167.4450261888648</c:v>
                </c:pt>
                <c:pt idx="197">
                  <c:v>166.3087229336461</c:v>
                </c:pt>
                <c:pt idx="198">
                  <c:v>165.17414635960048</c:v>
                </c:pt>
                <c:pt idx="199">
                  <c:v>164.04129021896705</c:v>
                </c:pt>
                <c:pt idx="200">
                  <c:v>162.91014827679075</c:v>
                </c:pt>
                <c:pt idx="201">
                  <c:v>161.78071431088546</c:v>
                </c:pt>
                <c:pt idx="202">
                  <c:v>160.65298211179646</c:v>
                </c:pt>
                <c:pt idx="203">
                  <c:v>159.5269454827633</c:v>
                </c:pt>
                <c:pt idx="204">
                  <c:v>158.40259823968259</c:v>
                </c:pt>
                <c:pt idx="205">
                  <c:v>157.27993421107112</c:v>
                </c:pt>
                <c:pt idx="206">
                  <c:v>156.15894723802879</c:v>
                </c:pt>
                <c:pt idx="207">
                  <c:v>155.03963117420182</c:v>
                </c:pt>
                <c:pt idx="208">
                  <c:v>153.92197988574586</c:v>
                </c:pt>
                <c:pt idx="209">
                  <c:v>152.80598725128945</c:v>
                </c:pt>
                <c:pt idx="210">
                  <c:v>151.69164716189729</c:v>
                </c:pt>
                <c:pt idx="211">
                  <c:v>150.57895352103387</c:v>
                </c:pt>
                <c:pt idx="212">
                  <c:v>149.46790024452676</c:v>
                </c:pt>
                <c:pt idx="213">
                  <c:v>148.35848126053057</c:v>
                </c:pt>
                <c:pt idx="214">
                  <c:v>147.25069050949054</c:v>
                </c:pt>
                <c:pt idx="215">
                  <c:v>146.1445219441062</c:v>
                </c:pt>
                <c:pt idx="216">
                  <c:v>145.03996952929558</c:v>
                </c:pt>
                <c:pt idx="217">
                  <c:v>143.93702724215902</c:v>
                </c:pt>
                <c:pt idx="218">
                  <c:v>142.83568907194311</c:v>
                </c:pt>
                <c:pt idx="219">
                  <c:v>141.73594902000511</c:v>
                </c:pt>
                <c:pt idx="220">
                  <c:v>140.63780109977702</c:v>
                </c:pt>
                <c:pt idx="221">
                  <c:v>139.54123933672986</c:v>
                </c:pt>
                <c:pt idx="222">
                  <c:v>138.44625776833823</c:v>
                </c:pt>
                <c:pt idx="223">
                  <c:v>137.35285044404449</c:v>
                </c:pt>
                <c:pt idx="224">
                  <c:v>136.2610114252237</c:v>
                </c:pt>
                <c:pt idx="225">
                  <c:v>135.170734785148</c:v>
                </c:pt>
                <c:pt idx="226">
                  <c:v>134.08201460895134</c:v>
                </c:pt>
                <c:pt idx="227">
                  <c:v>132.99484499359446</c:v>
                </c:pt>
                <c:pt idx="228">
                  <c:v>131.90922004782951</c:v>
                </c:pt>
                <c:pt idx="229">
                  <c:v>130.82513389216527</c:v>
                </c:pt>
                <c:pt idx="230">
                  <c:v>129.74258065883203</c:v>
                </c:pt>
                <c:pt idx="231">
                  <c:v>128.66155449174678</c:v>
                </c:pt>
                <c:pt idx="232">
                  <c:v>127.5820495464785</c:v>
                </c:pt>
                <c:pt idx="233">
                  <c:v>126.50405999021316</c:v>
                </c:pt>
                <c:pt idx="234">
                  <c:v>125.42758000171943</c:v>
                </c:pt>
                <c:pt idx="235">
                  <c:v>124.35260377131387</c:v>
                </c:pt>
                <c:pt idx="236">
                  <c:v>123.27912550082662</c:v>
                </c:pt>
                <c:pt idx="237">
                  <c:v>122.20713940356696</c:v>
                </c:pt>
                <c:pt idx="238">
                  <c:v>121.13663970428884</c:v>
                </c:pt>
                <c:pt idx="239">
                  <c:v>120.06762063915687</c:v>
                </c:pt>
                <c:pt idx="240">
                  <c:v>119.00007645571198</c:v>
                </c:pt>
                <c:pt idx="241">
                  <c:v>117.9340014128375</c:v>
                </c:pt>
                <c:pt idx="242">
                  <c:v>116.86938978072496</c:v>
                </c:pt>
                <c:pt idx="243">
                  <c:v>115.8062358408403</c:v>
                </c:pt>
                <c:pt idx="244">
                  <c:v>114.74453388589002</c:v>
                </c:pt>
                <c:pt idx="245">
                  <c:v>113.68427821978734</c:v>
                </c:pt>
                <c:pt idx="246">
                  <c:v>112.6254631576185</c:v>
                </c:pt>
                <c:pt idx="247">
                  <c:v>111.56808302560918</c:v>
                </c:pt>
                <c:pt idx="248">
                  <c:v>110.51213216109102</c:v>
                </c:pt>
                <c:pt idx="249">
                  <c:v>109.45760491246797</c:v>
                </c:pt>
                <c:pt idx="250">
                  <c:v>108.40449563918305</c:v>
                </c:pt>
                <c:pt idx="251">
                  <c:v>107.35279871168507</c:v>
                </c:pt>
                <c:pt idx="252">
                  <c:v>106.30250851139519</c:v>
                </c:pt>
                <c:pt idx="253">
                  <c:v>105.25361943067399</c:v>
                </c:pt>
                <c:pt idx="254">
                  <c:v>104.20612587278821</c:v>
                </c:pt>
                <c:pt idx="255">
                  <c:v>103.16002225187786</c:v>
                </c:pt>
                <c:pt idx="256">
                  <c:v>102.11530299292313</c:v>
                </c:pt>
                <c:pt idx="257">
                  <c:v>101.07196253171179</c:v>
                </c:pt>
                <c:pt idx="258">
                  <c:v>100.02999531480602</c:v>
                </c:pt>
                <c:pt idx="259">
                  <c:v>98.989395799510035</c:v>
                </c:pt>
                <c:pt idx="260">
                  <c:v>97.950158453837417</c:v>
                </c:pt>
                <c:pt idx="261">
                  <c:v>96.91227775647819</c:v>
                </c:pt>
                <c:pt idx="262">
                  <c:v>95.875748196766864</c:v>
                </c:pt>
                <c:pt idx="263">
                  <c:v>94.840564274649509</c:v>
                </c:pt>
                <c:pt idx="264">
                  <c:v>93.806720500651892</c:v>
                </c:pt>
                <c:pt idx="265">
                  <c:v>92.774211395846748</c:v>
                </c:pt>
                <c:pt idx="266">
                  <c:v>91.743031491821881</c:v>
                </c:pt>
                <c:pt idx="267">
                  <c:v>90.713175330647957</c:v>
                </c:pt>
                <c:pt idx="268">
                  <c:v>89.684637464846347</c:v>
                </c:pt>
                <c:pt idx="269">
                  <c:v>88.657412457357452</c:v>
                </c:pt>
                <c:pt idx="270">
                  <c:v>87.631494881508331</c:v>
                </c:pt>
                <c:pt idx="271">
                  <c:v>86.606879320981307</c:v>
                </c:pt>
                <c:pt idx="272">
                  <c:v>85.583560369781893</c:v>
                </c:pt>
                <c:pt idx="273">
                  <c:v>84.561532632207317</c:v>
                </c:pt>
                <c:pt idx="274">
                  <c:v>83.540790722814663</c:v>
                </c:pt>
                <c:pt idx="275">
                  <c:v>82.521329266389628</c:v>
                </c:pt>
                <c:pt idx="276">
                  <c:v>81.503142897914699</c:v>
                </c:pt>
                <c:pt idx="277">
                  <c:v>80.486226262538068</c:v>
                </c:pt>
                <c:pt idx="278">
                  <c:v>79.470574015542013</c:v>
                </c:pt>
                <c:pt idx="279">
                  <c:v>78.456180822311893</c:v>
                </c:pt>
                <c:pt idx="280">
                  <c:v>77.443041358304654</c:v>
                </c:pt>
                <c:pt idx="281">
                  <c:v>76.431150309018022</c:v>
                </c:pt>
                <c:pt idx="282">
                  <c:v>75.420502369959166</c:v>
                </c:pt>
                <c:pt idx="283">
                  <c:v>74.411092246613862</c:v>
                </c:pt>
                <c:pt idx="284">
                  <c:v>73.40291465441554</c:v>
                </c:pt>
                <c:pt idx="285">
                  <c:v>72.395964318714491</c:v>
                </c:pt>
                <c:pt idx="286">
                  <c:v>71.390235974746957</c:v>
                </c:pt>
                <c:pt idx="287">
                  <c:v>70.385724367604581</c:v>
                </c:pt>
                <c:pt idx="288">
                  <c:v>69.382424252203506</c:v>
                </c:pt>
                <c:pt idx="289">
                  <c:v>68.380330393254155</c:v>
                </c:pt>
                <c:pt idx="290">
                  <c:v>67.379437565230461</c:v>
                </c:pt>
                <c:pt idx="291">
                  <c:v>66.37974055233947</c:v>
                </c:pt>
                <c:pt idx="292">
                  <c:v>65.381234148491075</c:v>
                </c:pt>
                <c:pt idx="293">
                  <c:v>64.383913157267685</c:v>
                </c:pt>
                <c:pt idx="294">
                  <c:v>63.387772391893797</c:v>
                </c:pt>
                <c:pt idx="295">
                  <c:v>62.392806675206138</c:v>
                </c:pt>
                <c:pt idx="296">
                  <c:v>61.399010839623323</c:v>
                </c:pt>
                <c:pt idx="297">
                  <c:v>60.406379727115976</c:v>
                </c:pt>
                <c:pt idx="298">
                  <c:v>59.414908189176622</c:v>
                </c:pt>
                <c:pt idx="299">
                  <c:v>58.424591086789967</c:v>
                </c:pt>
                <c:pt idx="300">
                  <c:v>57.435423290402809</c:v>
                </c:pt>
                <c:pt idx="301">
                  <c:v>56.447399679894588</c:v>
                </c:pt>
                <c:pt idx="302">
                  <c:v>55.460515144547365</c:v>
                </c:pt>
                <c:pt idx="303">
                  <c:v>54.474764583016494</c:v>
                </c:pt>
                <c:pt idx="304">
                  <c:v>53.490142903300807</c:v>
                </c:pt>
                <c:pt idx="305">
                  <c:v>52.506645022713208</c:v>
                </c:pt>
                <c:pt idx="306">
                  <c:v>51.524265867851263</c:v>
                </c:pt>
                <c:pt idx="307">
                  <c:v>50.543000374567775</c:v>
                </c:pt>
                <c:pt idx="308">
                  <c:v>49.5628434879415</c:v>
                </c:pt>
                <c:pt idx="309">
                  <c:v>48.58379016224788</c:v>
                </c:pt>
                <c:pt idx="310">
                  <c:v>47.60583536092993</c:v>
                </c:pt>
                <c:pt idx="311">
                  <c:v>46.628974056569042</c:v>
                </c:pt>
                <c:pt idx="312">
                  <c:v>45.65320123085597</c:v>
                </c:pt>
                <c:pt idx="313">
                  <c:v>44.678511874561863</c:v>
                </c:pt>
                <c:pt idx="314">
                  <c:v>43.704900987509298</c:v>
                </c:pt>
                <c:pt idx="315">
                  <c:v>42.732363578543463</c:v>
                </c:pt>
                <c:pt idx="316">
                  <c:v>41.760894665503365</c:v>
                </c:pt>
                <c:pt idx="317">
                  <c:v>40.790489275193053</c:v>
                </c:pt>
                <c:pt idx="318">
                  <c:v>39.82114244335299</c:v>
                </c:pt>
                <c:pt idx="319">
                  <c:v>38.852849214631448</c:v>
                </c:pt>
                <c:pt idx="320">
                  <c:v>37.885604642555904</c:v>
                </c:pt>
                <c:pt idx="321">
                  <c:v>36.919403789504749</c:v>
                </c:pt>
                <c:pt idx="322">
                  <c:v>35.954241726678504</c:v>
                </c:pt>
                <c:pt idx="323">
                  <c:v>34.990113534071909</c:v>
                </c:pt>
                <c:pt idx="324">
                  <c:v>34.027014300445337</c:v>
                </c:pt>
                <c:pt idx="325">
                  <c:v>33.064939123296604</c:v>
                </c:pt>
                <c:pt idx="326">
                  <c:v>32.103883108832889</c:v>
                </c:pt>
                <c:pt idx="327">
                  <c:v>31.143841371942571</c:v>
                </c:pt>
                <c:pt idx="328">
                  <c:v>30.184809036167188</c:v>
                </c:pt>
                <c:pt idx="329">
                  <c:v>29.226781233673414</c:v>
                </c:pt>
                <c:pt idx="330">
                  <c:v>28.269753105225263</c:v>
                </c:pt>
                <c:pt idx="331">
                  <c:v>27.313719800156065</c:v>
                </c:pt>
                <c:pt idx="332">
                  <c:v>26.358676476340786</c:v>
                </c:pt>
                <c:pt idx="333">
                  <c:v>25.404618300168192</c:v>
                </c:pt>
                <c:pt idx="334">
                  <c:v>24.451540446513285</c:v>
                </c:pt>
                <c:pt idx="335">
                  <c:v>23.4994380987096</c:v>
                </c:pt>
                <c:pt idx="336">
                  <c:v>22.5483064485216</c:v>
                </c:pt>
                <c:pt idx="337">
                  <c:v>21.598140696117312</c:v>
                </c:pt>
                <c:pt idx="338">
                  <c:v>20.64893605004082</c:v>
                </c:pt>
                <c:pt idx="339">
                  <c:v>19.700687727184789</c:v>
                </c:pt>
                <c:pt idx="340">
                  <c:v>18.753390952763372</c:v>
                </c:pt>
                <c:pt idx="341">
                  <c:v>17.80704096028466</c:v>
                </c:pt>
                <c:pt idx="342">
                  <c:v>16.861632991523749</c:v>
                </c:pt>
                <c:pt idx="343">
                  <c:v>15.917162296495418</c:v>
                </c:pt>
                <c:pt idx="344">
                  <c:v>14.973624133427148</c:v>
                </c:pt>
                <c:pt idx="345">
                  <c:v>14.031013768731977</c:v>
                </c:pt>
                <c:pt idx="346">
                  <c:v>13.089326476981647</c:v>
                </c:pt>
                <c:pt idx="347">
                  <c:v>12.148557540879713</c:v>
                </c:pt>
                <c:pt idx="348">
                  <c:v>11.20870225123454</c:v>
                </c:pt>
                <c:pt idx="349">
                  <c:v>10.269755906932637</c:v>
                </c:pt>
                <c:pt idx="350">
                  <c:v>9.3317138149119092</c:v>
                </c:pt>
                <c:pt idx="351">
                  <c:v>8.3945712901349658</c:v>
                </c:pt>
                <c:pt idx="352">
                  <c:v>7.4583236555624062</c:v>
                </c:pt>
                <c:pt idx="353">
                  <c:v>6.5229662421264543</c:v>
                </c:pt>
                <c:pt idx="354">
                  <c:v>5.5884943887042633</c:v>
                </c:pt>
                <c:pt idx="355">
                  <c:v>4.6549034420915847</c:v>
                </c:pt>
                <c:pt idx="356">
                  <c:v>3.7221887569762959</c:v>
                </c:pt>
                <c:pt idx="357">
                  <c:v>2.7903456959121744</c:v>
                </c:pt>
                <c:pt idx="358">
                  <c:v>1.8593696292924864</c:v>
                </c:pt>
                <c:pt idx="359">
                  <c:v>0.92925593532383488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60E-4AE1-8D1D-467C408AA8BA}"/>
            </c:ext>
          </c:extLst>
        </c:ser>
        <c:ser>
          <c:idx val="1"/>
          <c:order val="1"/>
          <c:tx>
            <c:v>Principal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'Cash flows with prepayments'!$E$3:$E$362</c:f>
              <c:numCache>
                <c:formatCode>0.00</c:formatCode>
                <c:ptCount val="360"/>
                <c:pt idx="0">
                  <c:v>120.15495634547315</c:v>
                </c:pt>
                <c:pt idx="1">
                  <c:v>120.64554275209279</c:v>
                </c:pt>
                <c:pt idx="2">
                  <c:v>121.12802260903189</c:v>
                </c:pt>
                <c:pt idx="3">
                  <c:v>121.602272630998</c:v>
                </c:pt>
                <c:pt idx="4">
                  <c:v>122.06817097064383</c:v>
                </c:pt>
                <c:pt idx="5">
                  <c:v>122.52559726880905</c:v>
                </c:pt>
                <c:pt idx="6">
                  <c:v>122.97443270444775</c:v>
                </c:pt>
                <c:pt idx="7">
                  <c:v>123.41456004421384</c:v>
                </c:pt>
                <c:pt idx="8">
                  <c:v>123.84586369167658</c:v>
                </c:pt>
                <c:pt idx="9">
                  <c:v>124.26822973613844</c:v>
                </c:pt>
                <c:pt idx="10">
                  <c:v>124.6815460010276</c:v>
                </c:pt>
                <c:pt idx="11">
                  <c:v>125.0857020918377</c:v>
                </c:pt>
                <c:pt idx="12">
                  <c:v>125.48058944358662</c:v>
                </c:pt>
                <c:pt idx="13">
                  <c:v>125.866101367768</c:v>
                </c:pt>
                <c:pt idx="14">
                  <c:v>126.24213309876652</c:v>
                </c:pt>
                <c:pt idx="15">
                  <c:v>126.60858183971141</c:v>
                </c:pt>
                <c:pt idx="16">
                  <c:v>126.96534680773983</c:v>
                </c:pt>
                <c:pt idx="17">
                  <c:v>127.31232927864414</c:v>
                </c:pt>
                <c:pt idx="18">
                  <c:v>127.64943263087552</c:v>
                </c:pt>
                <c:pt idx="19">
                  <c:v>127.97656238887848</c:v>
                </c:pt>
                <c:pt idx="20">
                  <c:v>128.29362626572888</c:v>
                </c:pt>
                <c:pt idx="21">
                  <c:v>128.60053420505059</c:v>
                </c:pt>
                <c:pt idx="22">
                  <c:v>128.89719842218432</c:v>
                </c:pt>
                <c:pt idx="23">
                  <c:v>129.18353344458336</c:v>
                </c:pt>
                <c:pt idx="24">
                  <c:v>129.45945615141144</c:v>
                </c:pt>
                <c:pt idx="25">
                  <c:v>129.72488581231738</c:v>
                </c:pt>
                <c:pt idx="26">
                  <c:v>129.97974412536269</c:v>
                </c:pt>
                <c:pt idx="27">
                  <c:v>130.22395525407779</c:v>
                </c:pt>
                <c:pt idx="28">
                  <c:v>130.45744586362304</c:v>
                </c:pt>
                <c:pt idx="29">
                  <c:v>130.68014515603159</c:v>
                </c:pt>
                <c:pt idx="30">
                  <c:v>130.89198490451113</c:v>
                </c:pt>
                <c:pt idx="31">
                  <c:v>131.10416805694837</c:v>
                </c:pt>
                <c:pt idx="32">
                  <c:v>131.3166951700201</c:v>
                </c:pt>
                <c:pt idx="33">
                  <c:v>131.52956680130552</c:v>
                </c:pt>
                <c:pt idx="34">
                  <c:v>131.74278350928776</c:v>
                </c:pt>
                <c:pt idx="35">
                  <c:v>131.95634585335529</c:v>
                </c:pt>
                <c:pt idx="36">
                  <c:v>132.17025439380322</c:v>
                </c:pt>
                <c:pt idx="37">
                  <c:v>132.38450969183518</c:v>
                </c:pt>
                <c:pt idx="38">
                  <c:v>132.59911230956428</c:v>
                </c:pt>
                <c:pt idx="39">
                  <c:v>132.81406281001506</c:v>
                </c:pt>
                <c:pt idx="40">
                  <c:v>133.0293617571246</c:v>
                </c:pt>
                <c:pt idx="41">
                  <c:v>133.24500971574435</c:v>
                </c:pt>
                <c:pt idx="42">
                  <c:v>133.46100725164112</c:v>
                </c:pt>
                <c:pt idx="43">
                  <c:v>133.67735493149911</c:v>
                </c:pt>
                <c:pt idx="44">
                  <c:v>133.89405332292111</c:v>
                </c:pt>
                <c:pt idx="45">
                  <c:v>134.11110299442984</c:v>
                </c:pt>
                <c:pt idx="46">
                  <c:v>134.32850451546992</c:v>
                </c:pt>
                <c:pt idx="47">
                  <c:v>134.54625845640879</c:v>
                </c:pt>
                <c:pt idx="48">
                  <c:v>134.76436538853866</c:v>
                </c:pt>
                <c:pt idx="49">
                  <c:v>134.98282588407778</c:v>
                </c:pt>
                <c:pt idx="50">
                  <c:v>135.20164051617206</c:v>
                </c:pt>
                <c:pt idx="51">
                  <c:v>135.42080985889638</c:v>
                </c:pt>
                <c:pt idx="52">
                  <c:v>135.64033448725635</c:v>
                </c:pt>
                <c:pt idx="53">
                  <c:v>135.86021497718966</c:v>
                </c:pt>
                <c:pt idx="54">
                  <c:v>136.0804519055676</c:v>
                </c:pt>
                <c:pt idx="55">
                  <c:v>136.30104585019657</c:v>
                </c:pt>
                <c:pt idx="56">
                  <c:v>136.52199738981975</c:v>
                </c:pt>
                <c:pt idx="57">
                  <c:v>136.74330710411837</c:v>
                </c:pt>
                <c:pt idx="58">
                  <c:v>136.96497557371342</c:v>
                </c:pt>
                <c:pt idx="59">
                  <c:v>137.18700338016711</c:v>
                </c:pt>
                <c:pt idx="60">
                  <c:v>137.40939110598435</c:v>
                </c:pt>
                <c:pt idx="61">
                  <c:v>137.63213933461438</c:v>
                </c:pt>
                <c:pt idx="62">
                  <c:v>137.85524865045218</c:v>
                </c:pt>
                <c:pt idx="63">
                  <c:v>138.07871963884011</c:v>
                </c:pt>
                <c:pt idx="64">
                  <c:v>138.30255288606941</c:v>
                </c:pt>
                <c:pt idx="65">
                  <c:v>138.52674897938169</c:v>
                </c:pt>
                <c:pt idx="66">
                  <c:v>138.75130850697056</c:v>
                </c:pt>
                <c:pt idx="67">
                  <c:v>138.97623205798308</c:v>
                </c:pt>
                <c:pt idx="68">
                  <c:v>139.20152022252134</c:v>
                </c:pt>
                <c:pt idx="69">
                  <c:v>139.42717359164411</c:v>
                </c:pt>
                <c:pt idx="70">
                  <c:v>139.6531927573682</c:v>
                </c:pt>
                <c:pt idx="71">
                  <c:v>139.87957831267011</c:v>
                </c:pt>
                <c:pt idx="72">
                  <c:v>140.10633085148771</c:v>
                </c:pt>
                <c:pt idx="73">
                  <c:v>140.33345096872154</c:v>
                </c:pt>
                <c:pt idx="74">
                  <c:v>140.56093926023652</c:v>
                </c:pt>
                <c:pt idx="75">
                  <c:v>140.78879632286367</c:v>
                </c:pt>
                <c:pt idx="76">
                  <c:v>141.01702275440124</c:v>
                </c:pt>
                <c:pt idx="77">
                  <c:v>141.24561915361673</c:v>
                </c:pt>
                <c:pt idx="78">
                  <c:v>141.47458612024826</c:v>
                </c:pt>
                <c:pt idx="79">
                  <c:v>141.703924255006</c:v>
                </c:pt>
                <c:pt idx="80">
                  <c:v>141.93363415957418</c:v>
                </c:pt>
                <c:pt idx="81">
                  <c:v>142.16371643661211</c:v>
                </c:pt>
                <c:pt idx="82">
                  <c:v>142.39417168975629</c:v>
                </c:pt>
                <c:pt idx="83">
                  <c:v>142.62500052362157</c:v>
                </c:pt>
                <c:pt idx="84">
                  <c:v>142.85620354380296</c:v>
                </c:pt>
                <c:pt idx="85">
                  <c:v>143.08778135687726</c:v>
                </c:pt>
                <c:pt idx="86">
                  <c:v>143.31973457040436</c:v>
                </c:pt>
                <c:pt idx="87">
                  <c:v>143.55206379292935</c:v>
                </c:pt>
                <c:pt idx="88">
                  <c:v>143.7847696339835</c:v>
                </c:pt>
                <c:pt idx="89">
                  <c:v>144.01785270408635</c:v>
                </c:pt>
                <c:pt idx="90">
                  <c:v>144.25131361474706</c:v>
                </c:pt>
                <c:pt idx="91">
                  <c:v>144.48515297846603</c:v>
                </c:pt>
                <c:pt idx="92">
                  <c:v>144.71937140873669</c:v>
                </c:pt>
                <c:pt idx="93">
                  <c:v>144.95396952004688</c:v>
                </c:pt>
                <c:pt idx="94">
                  <c:v>145.18894792788055</c:v>
                </c:pt>
                <c:pt idx="95">
                  <c:v>145.42430724871946</c:v>
                </c:pt>
                <c:pt idx="96">
                  <c:v>145.66004810004463</c:v>
                </c:pt>
                <c:pt idx="97">
                  <c:v>145.89617110033811</c:v>
                </c:pt>
                <c:pt idx="98">
                  <c:v>146.13267686908458</c:v>
                </c:pt>
                <c:pt idx="99">
                  <c:v>146.36956602677284</c:v>
                </c:pt>
                <c:pt idx="100">
                  <c:v>146.60683919489756</c:v>
                </c:pt>
                <c:pt idx="101">
                  <c:v>146.84449699596095</c:v>
                </c:pt>
                <c:pt idx="102">
                  <c:v>147.0825400534743</c:v>
                </c:pt>
                <c:pt idx="103">
                  <c:v>147.32096899195966</c:v>
                </c:pt>
                <c:pt idx="104">
                  <c:v>147.55978443695136</c:v>
                </c:pt>
                <c:pt idx="105">
                  <c:v>147.79898701499789</c:v>
                </c:pt>
                <c:pt idx="106">
                  <c:v>148.03857735366336</c:v>
                </c:pt>
                <c:pt idx="107">
                  <c:v>148.27855608152927</c:v>
                </c:pt>
                <c:pt idx="108">
                  <c:v>148.51892382819588</c:v>
                </c:pt>
                <c:pt idx="109">
                  <c:v>148.75968122428424</c:v>
                </c:pt>
                <c:pt idx="110">
                  <c:v>149.00082890143767</c:v>
                </c:pt>
                <c:pt idx="111">
                  <c:v>149.24236749232335</c:v>
                </c:pt>
                <c:pt idx="112">
                  <c:v>149.48429763063407</c:v>
                </c:pt>
                <c:pt idx="113">
                  <c:v>149.72661995108993</c:v>
                </c:pt>
                <c:pt idx="114">
                  <c:v>149.96933508943985</c:v>
                </c:pt>
                <c:pt idx="115">
                  <c:v>150.21244368246337</c:v>
                </c:pt>
                <c:pt idx="116">
                  <c:v>150.45594636797227</c:v>
                </c:pt>
                <c:pt idx="117">
                  <c:v>150.69984378481237</c:v>
                </c:pt>
                <c:pt idx="118">
                  <c:v>150.94413657286495</c:v>
                </c:pt>
                <c:pt idx="119">
                  <c:v>151.18882537304864</c:v>
                </c:pt>
                <c:pt idx="120">
                  <c:v>151.43391082732097</c:v>
                </c:pt>
                <c:pt idx="121">
                  <c:v>151.6793935786803</c:v>
                </c:pt>
                <c:pt idx="122">
                  <c:v>151.92527427116704</c:v>
                </c:pt>
                <c:pt idx="123">
                  <c:v>152.17155354986596</c:v>
                </c:pt>
                <c:pt idx="124">
                  <c:v>152.4182320609072</c:v>
                </c:pt>
                <c:pt idx="125">
                  <c:v>152.66531045146854</c:v>
                </c:pt>
                <c:pt idx="126">
                  <c:v>152.9127893697769</c:v>
                </c:pt>
                <c:pt idx="127">
                  <c:v>153.16066946510986</c:v>
                </c:pt>
                <c:pt idx="128">
                  <c:v>153.40895138779754</c:v>
                </c:pt>
                <c:pt idx="129">
                  <c:v>153.65763578922443</c:v>
                </c:pt>
                <c:pt idx="130">
                  <c:v>153.90672332183073</c:v>
                </c:pt>
                <c:pt idx="131">
                  <c:v>154.15621463911447</c:v>
                </c:pt>
                <c:pt idx="132">
                  <c:v>154.40611039563294</c:v>
                </c:pt>
                <c:pt idx="133">
                  <c:v>154.65641124700454</c:v>
                </c:pt>
                <c:pt idx="134">
                  <c:v>154.90711784991038</c:v>
                </c:pt>
                <c:pt idx="135">
                  <c:v>155.15823086209625</c:v>
                </c:pt>
                <c:pt idx="136">
                  <c:v>155.40975094237407</c:v>
                </c:pt>
                <c:pt idx="137">
                  <c:v>155.66167875062365</c:v>
                </c:pt>
                <c:pt idx="138">
                  <c:v>155.91401494779475</c:v>
                </c:pt>
                <c:pt idx="139">
                  <c:v>156.1667601959083</c:v>
                </c:pt>
                <c:pt idx="140">
                  <c:v>156.41991515805856</c:v>
                </c:pt>
                <c:pt idx="141">
                  <c:v>156.67348049841465</c:v>
                </c:pt>
                <c:pt idx="142">
                  <c:v>156.92745688222237</c:v>
                </c:pt>
                <c:pt idx="143">
                  <c:v>157.18184497580597</c:v>
                </c:pt>
                <c:pt idx="144">
                  <c:v>157.43664544656968</c:v>
                </c:pt>
                <c:pt idx="145">
                  <c:v>157.69185896299973</c:v>
                </c:pt>
                <c:pt idx="146">
                  <c:v>157.94748619466614</c:v>
                </c:pt>
                <c:pt idx="147">
                  <c:v>158.20352781222402</c:v>
                </c:pt>
                <c:pt idx="148">
                  <c:v>158.45998448741602</c:v>
                </c:pt>
                <c:pt idx="149">
                  <c:v>158.71685689307338</c:v>
                </c:pt>
                <c:pt idx="150">
                  <c:v>158.97414570311832</c:v>
                </c:pt>
                <c:pt idx="151">
                  <c:v>159.23185159256531</c:v>
                </c:pt>
                <c:pt idx="152">
                  <c:v>159.4899752375232</c:v>
                </c:pt>
                <c:pt idx="153">
                  <c:v>159.74851731519681</c:v>
                </c:pt>
                <c:pt idx="154">
                  <c:v>160.00747850388865</c:v>
                </c:pt>
                <c:pt idx="155">
                  <c:v>160.26685948300096</c:v>
                </c:pt>
                <c:pt idx="156">
                  <c:v>160.52666093303725</c:v>
                </c:pt>
                <c:pt idx="157">
                  <c:v>160.78688353560406</c:v>
                </c:pt>
                <c:pt idx="158">
                  <c:v>161.04752797341311</c:v>
                </c:pt>
                <c:pt idx="159">
                  <c:v>161.30859493028251</c:v>
                </c:pt>
                <c:pt idx="160">
                  <c:v>161.57008509113916</c:v>
                </c:pt>
                <c:pt idx="161">
                  <c:v>161.83199914202012</c:v>
                </c:pt>
                <c:pt idx="162">
                  <c:v>162.09433777007459</c:v>
                </c:pt>
                <c:pt idx="163">
                  <c:v>162.35710166356563</c:v>
                </c:pt>
                <c:pt idx="164">
                  <c:v>162.62029151187201</c:v>
                </c:pt>
                <c:pt idx="165">
                  <c:v>162.88390800549018</c:v>
                </c:pt>
                <c:pt idx="166">
                  <c:v>163.14795183603576</c:v>
                </c:pt>
                <c:pt idx="167">
                  <c:v>163.41242369624553</c:v>
                </c:pt>
                <c:pt idx="168">
                  <c:v>163.67732427997925</c:v>
                </c:pt>
                <c:pt idx="169">
                  <c:v>163.94265428222161</c:v>
                </c:pt>
                <c:pt idx="170">
                  <c:v>164.20841439908367</c:v>
                </c:pt>
                <c:pt idx="171">
                  <c:v>164.47460532780502</c:v>
                </c:pt>
                <c:pt idx="172">
                  <c:v>164.7412277667556</c:v>
                </c:pt>
                <c:pt idx="173">
                  <c:v>165.00828241543729</c:v>
                </c:pt>
                <c:pt idx="174">
                  <c:v>165.27576997448614</c:v>
                </c:pt>
                <c:pt idx="175">
                  <c:v>165.54369114567362</c:v>
                </c:pt>
                <c:pt idx="176">
                  <c:v>165.8120466319092</c:v>
                </c:pt>
                <c:pt idx="177">
                  <c:v>166.08083713724145</c:v>
                </c:pt>
                <c:pt idx="178">
                  <c:v>166.3500633668605</c:v>
                </c:pt>
                <c:pt idx="179">
                  <c:v>166.61972602709946</c:v>
                </c:pt>
                <c:pt idx="180">
                  <c:v>166.88982582543662</c:v>
                </c:pt>
                <c:pt idx="181">
                  <c:v>167.16036347049692</c:v>
                </c:pt>
                <c:pt idx="182">
                  <c:v>167.43133967205424</c:v>
                </c:pt>
                <c:pt idx="183">
                  <c:v>167.7027551410329</c:v>
                </c:pt>
                <c:pt idx="184">
                  <c:v>167.97461058950969</c:v>
                </c:pt>
                <c:pt idx="185">
                  <c:v>168.24690673071572</c:v>
                </c:pt>
                <c:pt idx="186">
                  <c:v>168.51964427903829</c:v>
                </c:pt>
                <c:pt idx="187">
                  <c:v>168.79282395002281</c:v>
                </c:pt>
                <c:pt idx="188">
                  <c:v>169.06644646037458</c:v>
                </c:pt>
                <c:pt idx="189">
                  <c:v>169.3405125279607</c:v>
                </c:pt>
                <c:pt idx="190">
                  <c:v>169.61502287181199</c:v>
                </c:pt>
                <c:pt idx="191">
                  <c:v>169.88997821212493</c:v>
                </c:pt>
                <c:pt idx="192">
                  <c:v>170.16537927026332</c:v>
                </c:pt>
                <c:pt idx="193">
                  <c:v>170.44122676876049</c:v>
                </c:pt>
                <c:pt idx="194">
                  <c:v>170.71752143132099</c:v>
                </c:pt>
                <c:pt idx="195">
                  <c:v>170.99426398282247</c:v>
                </c:pt>
                <c:pt idx="196">
                  <c:v>171.27145514931766</c:v>
                </c:pt>
                <c:pt idx="197">
                  <c:v>171.54909565803641</c:v>
                </c:pt>
                <c:pt idx="198">
                  <c:v>171.82718623738722</c:v>
                </c:pt>
                <c:pt idx="199">
                  <c:v>172.10572761695963</c:v>
                </c:pt>
                <c:pt idx="200">
                  <c:v>172.38472052752556</c:v>
                </c:pt>
                <c:pt idx="201">
                  <c:v>172.66416570104192</c:v>
                </c:pt>
                <c:pt idx="202">
                  <c:v>172.94406387065192</c:v>
                </c:pt>
                <c:pt idx="203">
                  <c:v>173.22441577068727</c:v>
                </c:pt>
                <c:pt idx="204">
                  <c:v>173.50522213667014</c:v>
                </c:pt>
                <c:pt idx="205">
                  <c:v>173.78648370531499</c:v>
                </c:pt>
                <c:pt idx="206">
                  <c:v>174.06820121453046</c:v>
                </c:pt>
                <c:pt idx="207">
                  <c:v>174.35037540342157</c:v>
                </c:pt>
                <c:pt idx="208">
                  <c:v>174.63300701229127</c:v>
                </c:pt>
                <c:pt idx="209">
                  <c:v>174.91609678264271</c:v>
                </c:pt>
                <c:pt idx="210">
                  <c:v>175.19964545718096</c:v>
                </c:pt>
                <c:pt idx="211">
                  <c:v>175.48365377981514</c:v>
                </c:pt>
                <c:pt idx="212">
                  <c:v>175.76812249566024</c:v>
                </c:pt>
                <c:pt idx="213">
                  <c:v>176.05305235103916</c:v>
                </c:pt>
                <c:pt idx="214">
                  <c:v>176.33844409348458</c:v>
                </c:pt>
                <c:pt idx="215">
                  <c:v>176.62429847174101</c:v>
                </c:pt>
                <c:pt idx="216">
                  <c:v>176.91061623576672</c:v>
                </c:pt>
                <c:pt idx="217">
                  <c:v>177.19739813673567</c:v>
                </c:pt>
                <c:pt idx="218">
                  <c:v>177.4846449270396</c:v>
                </c:pt>
                <c:pt idx="219">
                  <c:v>177.77235736028976</c:v>
                </c:pt>
                <c:pt idx="220">
                  <c:v>178.06053619131913</c:v>
                </c:pt>
                <c:pt idx="221">
                  <c:v>178.34918217618446</c:v>
                </c:pt>
                <c:pt idx="222">
                  <c:v>178.63829607216783</c:v>
                </c:pt>
                <c:pt idx="223">
                  <c:v>178.92787863777917</c:v>
                </c:pt>
                <c:pt idx="224">
                  <c:v>179.2179306327578</c:v>
                </c:pt>
                <c:pt idx="225">
                  <c:v>179.5084528180748</c:v>
                </c:pt>
                <c:pt idx="226">
                  <c:v>179.7994459559346</c:v>
                </c:pt>
                <c:pt idx="227">
                  <c:v>180.09091080977748</c:v>
                </c:pt>
                <c:pt idx="228">
                  <c:v>180.3828481442811</c:v>
                </c:pt>
                <c:pt idx="229">
                  <c:v>180.67525872536274</c:v>
                </c:pt>
                <c:pt idx="230">
                  <c:v>180.9681433201813</c:v>
                </c:pt>
                <c:pt idx="231">
                  <c:v>181.26150269713938</c:v>
                </c:pt>
                <c:pt idx="232">
                  <c:v>181.55533762588499</c:v>
                </c:pt>
                <c:pt idx="233">
                  <c:v>181.84964887731385</c:v>
                </c:pt>
                <c:pt idx="234">
                  <c:v>182.14443722357157</c:v>
                </c:pt>
                <c:pt idx="235">
                  <c:v>182.4397034380552</c:v>
                </c:pt>
                <c:pt idx="236">
                  <c:v>182.73544829541555</c:v>
                </c:pt>
                <c:pt idx="237">
                  <c:v>183.03167257155923</c:v>
                </c:pt>
                <c:pt idx="238">
                  <c:v>183.32837704365062</c:v>
                </c:pt>
                <c:pt idx="239">
                  <c:v>183.62556249011402</c:v>
                </c:pt>
                <c:pt idx="240">
                  <c:v>183.92322969063537</c:v>
                </c:pt>
                <c:pt idx="241">
                  <c:v>184.22137942616467</c:v>
                </c:pt>
                <c:pt idx="242">
                  <c:v>184.52001247891803</c:v>
                </c:pt>
                <c:pt idx="243">
                  <c:v>184.81912963237932</c:v>
                </c:pt>
                <c:pt idx="244">
                  <c:v>185.11873167130253</c:v>
                </c:pt>
                <c:pt idx="245">
                  <c:v>185.41881938171392</c:v>
                </c:pt>
                <c:pt idx="246">
                  <c:v>185.71939355091382</c:v>
                </c:pt>
                <c:pt idx="247">
                  <c:v>186.02045496747888</c:v>
                </c:pt>
                <c:pt idx="248">
                  <c:v>186.32200442126396</c:v>
                </c:pt>
                <c:pt idx="249">
                  <c:v>186.6240427034046</c:v>
                </c:pt>
                <c:pt idx="250">
                  <c:v>186.92657060631836</c:v>
                </c:pt>
                <c:pt idx="251">
                  <c:v>187.22958892370778</c:v>
                </c:pt>
                <c:pt idx="252">
                  <c:v>187.53309845056182</c:v>
                </c:pt>
                <c:pt idx="253">
                  <c:v>187.83709998315825</c:v>
                </c:pt>
                <c:pt idx="254">
                  <c:v>188.14159431906558</c:v>
                </c:pt>
                <c:pt idx="255">
                  <c:v>188.44658225714525</c:v>
                </c:pt>
                <c:pt idx="256">
                  <c:v>188.75206459755375</c:v>
                </c:pt>
                <c:pt idx="257">
                  <c:v>189.05804214174452</c:v>
                </c:pt>
                <c:pt idx="258">
                  <c:v>189.36451569247041</c:v>
                </c:pt>
                <c:pt idx="259">
                  <c:v>189.6714860537854</c:v>
                </c:pt>
                <c:pt idx="260">
                  <c:v>189.97895403104698</c:v>
                </c:pt>
                <c:pt idx="261">
                  <c:v>190.28692043091817</c:v>
                </c:pt>
                <c:pt idx="262">
                  <c:v>190.59538606136954</c:v>
                </c:pt>
                <c:pt idx="263">
                  <c:v>190.90435173168157</c:v>
                </c:pt>
                <c:pt idx="264">
                  <c:v>191.21381825244649</c:v>
                </c:pt>
                <c:pt idx="265">
                  <c:v>191.52378643557063</c:v>
                </c:pt>
                <c:pt idx="266">
                  <c:v>191.83425709427641</c:v>
                </c:pt>
                <c:pt idx="267">
                  <c:v>192.14523104310456</c:v>
                </c:pt>
                <c:pt idx="268">
                  <c:v>192.45670909791633</c:v>
                </c:pt>
                <c:pt idx="269">
                  <c:v>192.76869207589536</c:v>
                </c:pt>
                <c:pt idx="270">
                  <c:v>193.08118079554995</c:v>
                </c:pt>
                <c:pt idx="271">
                  <c:v>193.39417607671547</c:v>
                </c:pt>
                <c:pt idx="272">
                  <c:v>193.70767874055616</c:v>
                </c:pt>
                <c:pt idx="273">
                  <c:v>194.02168960956737</c:v>
                </c:pt>
                <c:pt idx="274">
                  <c:v>194.33620950757779</c:v>
                </c:pt>
                <c:pt idx="275">
                  <c:v>194.65123925975175</c:v>
                </c:pt>
                <c:pt idx="276">
                  <c:v>194.9667796925909</c:v>
                </c:pt>
                <c:pt idx="277">
                  <c:v>195.28283163393689</c:v>
                </c:pt>
                <c:pt idx="278">
                  <c:v>195.59939591297342</c:v>
                </c:pt>
                <c:pt idx="279">
                  <c:v>195.91647336022817</c:v>
                </c:pt>
                <c:pt idx="280">
                  <c:v>196.23406480757524</c:v>
                </c:pt>
                <c:pt idx="281">
                  <c:v>196.55217108823723</c:v>
                </c:pt>
                <c:pt idx="282">
                  <c:v>196.87079303678743</c:v>
                </c:pt>
                <c:pt idx="283">
                  <c:v>197.18993148915212</c:v>
                </c:pt>
                <c:pt idx="284">
                  <c:v>197.50958728261244</c:v>
                </c:pt>
                <c:pt idx="285">
                  <c:v>197.829761255807</c:v>
                </c:pt>
                <c:pt idx="286">
                  <c:v>198.15045424873384</c:v>
                </c:pt>
                <c:pt idx="287">
                  <c:v>198.47166710275263</c:v>
                </c:pt>
                <c:pt idx="288">
                  <c:v>198.79340066058703</c:v>
                </c:pt>
                <c:pt idx="289">
                  <c:v>199.11565576632668</c:v>
                </c:pt>
                <c:pt idx="290">
                  <c:v>199.43843326542967</c:v>
                </c:pt>
                <c:pt idx="291">
                  <c:v>199.7617340047245</c:v>
                </c:pt>
                <c:pt idx="292">
                  <c:v>200.08555883241252</c:v>
                </c:pt>
                <c:pt idx="293">
                  <c:v>200.40990859807005</c:v>
                </c:pt>
                <c:pt idx="294">
                  <c:v>200.73478415265052</c:v>
                </c:pt>
                <c:pt idx="295">
                  <c:v>201.06018634848692</c:v>
                </c:pt>
                <c:pt idx="296">
                  <c:v>201.38611603929385</c:v>
                </c:pt>
                <c:pt idx="297">
                  <c:v>201.71257408016996</c:v>
                </c:pt>
                <c:pt idx="298">
                  <c:v>202.03956132759984</c:v>
                </c:pt>
                <c:pt idx="299">
                  <c:v>202.36707863945659</c:v>
                </c:pt>
                <c:pt idx="300">
                  <c:v>202.69512687500406</c:v>
                </c:pt>
                <c:pt idx="301">
                  <c:v>203.02370689489891</c:v>
                </c:pt>
                <c:pt idx="302">
                  <c:v>203.352819561193</c:v>
                </c:pt>
                <c:pt idx="303">
                  <c:v>203.68246573733569</c:v>
                </c:pt>
                <c:pt idx="304">
                  <c:v>204.01264628817574</c:v>
                </c:pt>
                <c:pt idx="305">
                  <c:v>204.34336207996446</c:v>
                </c:pt>
                <c:pt idx="306">
                  <c:v>204.67461398035681</c:v>
                </c:pt>
                <c:pt idx="307">
                  <c:v>205.00640285841459</c:v>
                </c:pt>
                <c:pt idx="308">
                  <c:v>205.3387295846083</c:v>
                </c:pt>
                <c:pt idx="309">
                  <c:v>205.67159503081953</c:v>
                </c:pt>
                <c:pt idx="310">
                  <c:v>206.0050000703433</c:v>
                </c:pt>
                <c:pt idx="311">
                  <c:v>206.33894557789017</c:v>
                </c:pt>
                <c:pt idx="312">
                  <c:v>206.67343242958873</c:v>
                </c:pt>
                <c:pt idx="313">
                  <c:v>207.00846150298784</c:v>
                </c:pt>
                <c:pt idx="314">
                  <c:v>207.34403367705889</c:v>
                </c:pt>
                <c:pt idx="315">
                  <c:v>207.68014983219817</c:v>
                </c:pt>
                <c:pt idx="316">
                  <c:v>208.01681085022898</c:v>
                </c:pt>
                <c:pt idx="317">
                  <c:v>208.35401761440431</c:v>
                </c:pt>
                <c:pt idx="318">
                  <c:v>208.69177100940888</c:v>
                </c:pt>
                <c:pt idx="319">
                  <c:v>209.0300719213615</c:v>
                </c:pt>
                <c:pt idx="320">
                  <c:v>209.36892123781746</c:v>
                </c:pt>
                <c:pt idx="321">
                  <c:v>209.70831984777075</c:v>
                </c:pt>
                <c:pt idx="322">
                  <c:v>210.04826864165659</c:v>
                </c:pt>
                <c:pt idx="323">
                  <c:v>210.38876851135362</c:v>
                </c:pt>
                <c:pt idx="324">
                  <c:v>210.72982035018612</c:v>
                </c:pt>
                <c:pt idx="325">
                  <c:v>211.07142505292671</c:v>
                </c:pt>
                <c:pt idx="326">
                  <c:v>211.41358351579836</c:v>
                </c:pt>
                <c:pt idx="327">
                  <c:v>211.75629663647692</c:v>
                </c:pt>
                <c:pt idx="328">
                  <c:v>212.09956531409333</c:v>
                </c:pt>
                <c:pt idx="329">
                  <c:v>212.4433904492362</c:v>
                </c:pt>
                <c:pt idx="330">
                  <c:v>212.78777294395394</c:v>
                </c:pt>
                <c:pt idx="331">
                  <c:v>213.13271370175724</c:v>
                </c:pt>
                <c:pt idx="332">
                  <c:v>213.4782136276215</c:v>
                </c:pt>
                <c:pt idx="333">
                  <c:v>213.82427362798919</c:v>
                </c:pt>
                <c:pt idx="334">
                  <c:v>214.17089461077191</c:v>
                </c:pt>
                <c:pt idx="335">
                  <c:v>214.5180774853533</c:v>
                </c:pt>
                <c:pt idx="336">
                  <c:v>214.86582316259108</c:v>
                </c:pt>
                <c:pt idx="337">
                  <c:v>215.21413255481946</c:v>
                </c:pt>
                <c:pt idx="338">
                  <c:v>215.56300657585169</c:v>
                </c:pt>
                <c:pt idx="339">
                  <c:v>215.91244614098224</c:v>
                </c:pt>
                <c:pt idx="340">
                  <c:v>216.26245216698945</c:v>
                </c:pt>
                <c:pt idx="341">
                  <c:v>216.61302557213776</c:v>
                </c:pt>
                <c:pt idx="342">
                  <c:v>216.96416727618015</c:v>
                </c:pt>
                <c:pt idx="343">
                  <c:v>217.31587820036057</c:v>
                </c:pt>
                <c:pt idx="344">
                  <c:v>217.66815926741634</c:v>
                </c:pt>
                <c:pt idx="345">
                  <c:v>218.02101140158078</c:v>
                </c:pt>
                <c:pt idx="346">
                  <c:v>218.37443552858505</c:v>
                </c:pt>
                <c:pt idx="347">
                  <c:v>218.72843257566137</c:v>
                </c:pt>
                <c:pt idx="348">
                  <c:v>219.08300347154483</c:v>
                </c:pt>
                <c:pt idx="349">
                  <c:v>219.43814914647615</c:v>
                </c:pt>
                <c:pt idx="350">
                  <c:v>219.7938705322039</c:v>
                </c:pt>
                <c:pt idx="351">
                  <c:v>220.15016856198719</c:v>
                </c:pt>
                <c:pt idx="352">
                  <c:v>220.50704417059794</c:v>
                </c:pt>
                <c:pt idx="353">
                  <c:v>220.8644982943234</c:v>
                </c:pt>
                <c:pt idx="354">
                  <c:v>221.22253187096857</c:v>
                </c:pt>
                <c:pt idx="355">
                  <c:v>221.58114583985886</c:v>
                </c:pt>
                <c:pt idx="356">
                  <c:v>221.94034114184205</c:v>
                </c:pt>
                <c:pt idx="357">
                  <c:v>222.30011871929133</c:v>
                </c:pt>
                <c:pt idx="358">
                  <c:v>222.66047951610739</c:v>
                </c:pt>
                <c:pt idx="359">
                  <c:v>223.02142447772115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60E-4AE1-8D1D-467C408AA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79640128"/>
        <c:axId val="648627600"/>
      </c:barChart>
      <c:catAx>
        <c:axId val="97964012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8627600"/>
        <c:crosses val="autoZero"/>
        <c:auto val="1"/>
        <c:lblAlgn val="ctr"/>
        <c:lblOffset val="100"/>
        <c:noMultiLvlLbl val="0"/>
      </c:catAx>
      <c:valAx>
        <c:axId val="64862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9640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Interest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'Cash flows with prepayments (s)'!$F$3:$F$362</c:f>
              <c:numCache>
                <c:formatCode>0.00</c:formatCode>
                <c:ptCount val="360"/>
                <c:pt idx="0">
                  <c:v>416.66666666666669</c:v>
                </c:pt>
                <c:pt idx="1">
                  <c:v>373.02513210272855</c:v>
                </c:pt>
                <c:pt idx="2">
                  <c:v>312.05924481638721</c:v>
                </c:pt>
                <c:pt idx="3">
                  <c:v>269.71540267026069</c:v>
                </c:pt>
                <c:pt idx="4">
                  <c:v>230.10683819790444</c:v>
                </c:pt>
                <c:pt idx="5">
                  <c:v>195.22212045900287</c:v>
                </c:pt>
                <c:pt idx="6">
                  <c:v>165.26371635236615</c:v>
                </c:pt>
                <c:pt idx="7">
                  <c:v>139.78670924576235</c:v>
                </c:pt>
                <c:pt idx="8">
                  <c:v>118.20034273254501</c:v>
                </c:pt>
                <c:pt idx="9">
                  <c:v>99.935481915185093</c:v>
                </c:pt>
                <c:pt idx="10">
                  <c:v>84.488908641747372</c:v>
                </c:pt>
                <c:pt idx="11">
                  <c:v>71.428260650745685</c:v>
                </c:pt>
                <c:pt idx="12">
                  <c:v>60.385825490072747</c:v>
                </c:pt>
                <c:pt idx="13">
                  <c:v>51.050032340019776</c:v>
                </c:pt>
                <c:pt idx="14">
                  <c:v>43.157240105781433</c:v>
                </c:pt>
                <c:pt idx="15">
                  <c:v>36.484476814328978</c:v>
                </c:pt>
                <c:pt idx="16">
                  <c:v>30.843201745252316</c:v>
                </c:pt>
                <c:pt idx="17">
                  <c:v>26.074000318365524</c:v>
                </c:pt>
                <c:pt idx="18">
                  <c:v>22.042088796576579</c:v>
                </c:pt>
                <c:pt idx="19">
                  <c:v>18.633510430743225</c:v>
                </c:pt>
                <c:pt idx="20">
                  <c:v>15.751918169432559</c:v>
                </c:pt>
                <c:pt idx="21">
                  <c:v>13.315854041934605</c:v>
                </c:pt>
                <c:pt idx="22">
                  <c:v>11.256448702232381</c:v>
                </c:pt>
                <c:pt idx="23">
                  <c:v>9.5154761717101586</c:v>
                </c:pt>
                <c:pt idx="24">
                  <c:v>8.043710033294424</c:v>
                </c:pt>
                <c:pt idx="25">
                  <c:v>6.7995340599244347</c:v>
                </c:pt>
                <c:pt idx="26">
                  <c:v>5.7477514702414947</c:v>
                </c:pt>
                <c:pt idx="27">
                  <c:v>4.8586467091632013</c:v>
                </c:pt>
                <c:pt idx="28">
                  <c:v>4.1070384413348586</c:v>
                </c:pt>
                <c:pt idx="29">
                  <c:v>3.4717643884282881</c:v>
                </c:pt>
                <c:pt idx="30">
                  <c:v>2.9343966151558161</c:v>
                </c:pt>
                <c:pt idx="31">
                  <c:v>2.480271736080097</c:v>
                </c:pt>
                <c:pt idx="32">
                  <c:v>2.09658953854631</c:v>
                </c:pt>
                <c:pt idx="33">
                  <c:v>1.7723466514044395</c:v>
                </c:pt>
                <c:pt idx="34">
                  <c:v>1.5026496292661684</c:v>
                </c:pt>
                <c:pt idx="35">
                  <c:v>1.2758624114915385</c:v>
                </c:pt>
                <c:pt idx="36">
                  <c:v>1.0713065384148635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86-4F25-B2B8-29A5E7DE4C98}"/>
            </c:ext>
          </c:extLst>
        </c:ser>
        <c:ser>
          <c:idx val="1"/>
          <c:order val="1"/>
          <c:tx>
            <c:v>Principal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'Cash flows with prepayments (s)'!$E$3:$E$362</c:f>
              <c:numCache>
                <c:formatCode>0.00</c:formatCode>
                <c:ptCount val="360"/>
                <c:pt idx="0">
                  <c:v>120.15495634547315</c:v>
                </c:pt>
                <c:pt idx="1">
                  <c:v>108.14811782095438</c:v>
                </c:pt>
                <c:pt idx="2">
                  <c:v>90.959627848964985</c:v>
                </c:pt>
                <c:pt idx="3">
                  <c:v>79.040730551768149</c:v>
                </c:pt>
                <c:pt idx="4">
                  <c:v>67.797103985110184</c:v>
                </c:pt>
                <c:pt idx="5">
                  <c:v>57.829565400647972</c:v>
                </c:pt>
                <c:pt idx="6">
                  <c:v>49.219883961031684</c:v>
                </c:pt>
                <c:pt idx="7">
                  <c:v>41.857570964118054</c:v>
                </c:pt>
                <c:pt idx="8">
                  <c:v>35.585647190836085</c:v>
                </c:pt>
                <c:pt idx="9">
                  <c:v>30.250097368677164</c:v>
                </c:pt>
                <c:pt idx="10">
                  <c:v>25.713468326896983</c:v>
                </c:pt>
                <c:pt idx="11">
                  <c:v>21.856866954103953</c:v>
                </c:pt>
                <c:pt idx="12">
                  <c:v>18.578588541500377</c:v>
                </c:pt>
                <c:pt idx="13">
                  <c:v>15.791981494624364</c:v>
                </c:pt>
                <c:pt idx="14">
                  <c:v>13.423328110181949</c:v>
                </c:pt>
                <c:pt idx="15">
                  <c:v>11.409947965711707</c:v>
                </c:pt>
                <c:pt idx="16">
                  <c:v>9.6985559845698361</c:v>
                </c:pt>
                <c:pt idx="17">
                  <c:v>8.2438574589839</c:v>
                </c:pt>
                <c:pt idx="18">
                  <c:v>7.0073508823443253</c:v>
                </c:pt>
                <c:pt idx="19">
                  <c:v>5.9563094588468273</c:v>
                </c:pt>
                <c:pt idx="20">
                  <c:v>5.0629150720355227</c:v>
                </c:pt>
                <c:pt idx="21">
                  <c:v>4.3035220589348606</c:v>
                </c:pt>
                <c:pt idx="22">
                  <c:v>3.6580313800170501</c:v>
                </c:pt>
                <c:pt idx="23">
                  <c:v>3.1093586025073248</c:v>
                </c:pt>
                <c:pt idx="24">
                  <c:v>2.6429819897253517</c:v>
                </c:pt>
                <c:pt idx="25">
                  <c:v>2.2465585407762716</c:v>
                </c:pt>
                <c:pt idx="26">
                  <c:v>1.9095923099171048</c:v>
                </c:pt>
                <c:pt idx="27">
                  <c:v>1.6231752416035534</c:v>
                </c:pt>
                <c:pt idx="28">
                  <c:v>1.3797157309293095</c:v>
                </c:pt>
                <c:pt idx="29">
                  <c:v>1.172803413744673</c:v>
                </c:pt>
                <c:pt idx="30">
                  <c:v>0.99680753661620769</c:v>
                </c:pt>
                <c:pt idx="31">
                  <c:v>0.84725219730106682</c:v>
                </c:pt>
                <c:pt idx="32">
                  <c:v>0.72019687845424329</c:v>
                </c:pt>
                <c:pt idx="33">
                  <c:v>0.61222961729955627</c:v>
                </c:pt>
                <c:pt idx="34">
                  <c:v>0.52198104246897448</c:v>
                </c:pt>
                <c:pt idx="35">
                  <c:v>0.44569287831559867</c:v>
                </c:pt>
                <c:pt idx="36">
                  <c:v>0.37634313344502934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86-4F25-B2B8-29A5E7DE4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5488960"/>
        <c:axId val="990037264"/>
      </c:barChart>
      <c:catAx>
        <c:axId val="9454889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037264"/>
        <c:crosses val="autoZero"/>
        <c:auto val="1"/>
        <c:lblAlgn val="ctr"/>
        <c:lblOffset val="100"/>
        <c:noMultiLvlLbl val="0"/>
      </c:catAx>
      <c:valAx>
        <c:axId val="99003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5488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Interest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'Cash flows with prepayments (E)'!$F$3:$F$362</c:f>
              <c:numCache>
                <c:formatCode>0.00</c:formatCode>
                <c:ptCount val="360"/>
                <c:pt idx="0">
                  <c:v>416.66666666666669</c:v>
                </c:pt>
                <c:pt idx="1">
                  <c:v>416.03694344460558</c:v>
                </c:pt>
                <c:pt idx="2">
                  <c:v>415.31225504832713</c:v>
                </c:pt>
                <c:pt idx="3">
                  <c:v>414.20102023630659</c:v>
                </c:pt>
                <c:pt idx="4">
                  <c:v>412.01876254556817</c:v>
                </c:pt>
                <c:pt idx="5">
                  <c:v>406.72753432968688</c:v>
                </c:pt>
                <c:pt idx="6">
                  <c:v>390.93482547144561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888-41BD-BDF1-B07138FD190F}"/>
            </c:ext>
          </c:extLst>
        </c:ser>
        <c:ser>
          <c:idx val="1"/>
          <c:order val="1"/>
          <c:tx>
            <c:v>Principal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'Cash flows with prepayments (E)'!$E$3:$E$362</c:f>
              <c:numCache>
                <c:formatCode>0.00</c:formatCode>
                <c:ptCount val="360"/>
                <c:pt idx="0">
                  <c:v>120.15495634547315</c:v>
                </c:pt>
                <c:pt idx="1">
                  <c:v>120.61817959527191</c:v>
                </c:pt>
                <c:pt idx="2">
                  <c:v>121.05601352248897</c:v>
                </c:pt>
                <c:pt idx="3">
                  <c:v>121.3825792321916</c:v>
                </c:pt>
                <c:pt idx="4">
                  <c:v>121.39438839315943</c:v>
                </c:pt>
                <c:pt idx="5">
                  <c:v>120.48264044802426</c:v>
                </c:pt>
                <c:pt idx="6">
                  <c:v>116.4306792242557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888-41BD-BDF1-B07138FD19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5488960"/>
        <c:axId val="990037264"/>
      </c:barChart>
      <c:catAx>
        <c:axId val="9454889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037264"/>
        <c:crosses val="autoZero"/>
        <c:auto val="1"/>
        <c:lblAlgn val="ctr"/>
        <c:lblOffset val="100"/>
        <c:noMultiLvlLbl val="0"/>
      </c:catAx>
      <c:valAx>
        <c:axId val="99003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5488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Interest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'Cash flows with prepayments (m)'!$F$3:$F$362</c:f>
              <c:numCache>
                <c:formatCode>0.00</c:formatCode>
                <c:ptCount val="360"/>
                <c:pt idx="0">
                  <c:v>416.66666666666669</c:v>
                </c:pt>
                <c:pt idx="1">
                  <c:v>416.03694344460558</c:v>
                </c:pt>
                <c:pt idx="2">
                  <c:v>415.31225504832713</c:v>
                </c:pt>
                <c:pt idx="3">
                  <c:v>414.20102023630659</c:v>
                </c:pt>
                <c:pt idx="4">
                  <c:v>412.01876254556817</c:v>
                </c:pt>
                <c:pt idx="5">
                  <c:v>406.72753432968688</c:v>
                </c:pt>
                <c:pt idx="6">
                  <c:v>390.93482547144561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5C-478F-8A76-DD9502856E60}"/>
            </c:ext>
          </c:extLst>
        </c:ser>
        <c:ser>
          <c:idx val="1"/>
          <c:order val="1"/>
          <c:tx>
            <c:v>Principal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'Cash flows with prepayments (m)'!$E$3:$E$362</c:f>
              <c:numCache>
                <c:formatCode>0.00</c:formatCode>
                <c:ptCount val="360"/>
                <c:pt idx="0">
                  <c:v>120.15495634547315</c:v>
                </c:pt>
                <c:pt idx="1">
                  <c:v>120.61817959527191</c:v>
                </c:pt>
                <c:pt idx="2">
                  <c:v>121.05601352248897</c:v>
                </c:pt>
                <c:pt idx="3">
                  <c:v>121.3825792321916</c:v>
                </c:pt>
                <c:pt idx="4">
                  <c:v>121.39438839315943</c:v>
                </c:pt>
                <c:pt idx="5">
                  <c:v>120.48264044802426</c:v>
                </c:pt>
                <c:pt idx="6">
                  <c:v>116.4306792242557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5C-478F-8A76-DD9502856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5488960"/>
        <c:axId val="990037264"/>
      </c:barChart>
      <c:catAx>
        <c:axId val="94548896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90037264"/>
        <c:crosses val="autoZero"/>
        <c:auto val="1"/>
        <c:lblAlgn val="ctr"/>
        <c:lblOffset val="100"/>
        <c:noMultiLvlLbl val="0"/>
      </c:catAx>
      <c:valAx>
        <c:axId val="990037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54889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1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4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447948</xdr:colOff>
      <xdr:row>1</xdr:row>
      <xdr:rowOff>53339</xdr:rowOff>
    </xdr:from>
    <xdr:to>
      <xdr:col>17</xdr:col>
      <xdr:colOff>469718</xdr:colOff>
      <xdr:row>24</xdr:row>
      <xdr:rowOff>49530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AA267F4-DFC7-4A44-B24B-57008435CF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293370</xdr:colOff>
      <xdr:row>6</xdr:row>
      <xdr:rowOff>123825</xdr:rowOff>
    </xdr:from>
    <xdr:to>
      <xdr:col>5</xdr:col>
      <xdr:colOff>1021080</xdr:colOff>
      <xdr:row>21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FFE365-63F9-4B94-BB75-F4A5AFCE4C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1092200</xdr:colOff>
      <xdr:row>8</xdr:row>
      <xdr:rowOff>63499</xdr:rowOff>
    </xdr:from>
    <xdr:to>
      <xdr:col>9</xdr:col>
      <xdr:colOff>63500</xdr:colOff>
      <xdr:row>26</xdr:row>
      <xdr:rowOff>42332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33E0036-66C0-4953-9141-083209CEF8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812801</xdr:colOff>
      <xdr:row>14</xdr:row>
      <xdr:rowOff>50799</xdr:rowOff>
    </xdr:from>
    <xdr:to>
      <xdr:col>6</xdr:col>
      <xdr:colOff>1456267</xdr:colOff>
      <xdr:row>32</xdr:row>
      <xdr:rowOff>29632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6C7339C-E861-42EA-A74B-E1EC735AB1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812801</xdr:colOff>
      <xdr:row>14</xdr:row>
      <xdr:rowOff>50799</xdr:rowOff>
    </xdr:from>
    <xdr:to>
      <xdr:col>6</xdr:col>
      <xdr:colOff>1456267</xdr:colOff>
      <xdr:row>32</xdr:row>
      <xdr:rowOff>29632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122FC0-9A31-440B-990B-1C00383FAA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BD36F-D1E9-4ED8-B7D0-F894E73673E7}">
  <sheetPr codeName="Sheet1"/>
  <dimension ref="A1:B10"/>
  <sheetViews>
    <sheetView workbookViewId="0">
      <selection activeCell="B14" sqref="B14"/>
    </sheetView>
  </sheetViews>
  <sheetFormatPr baseColWidth="10" defaultColWidth="8.83203125" defaultRowHeight="15"/>
  <cols>
    <col min="1" max="1" width="35.83203125" bestFit="1" customWidth="1"/>
    <col min="2" max="2" width="10.83203125" bestFit="1" customWidth="1"/>
  </cols>
  <sheetData>
    <row r="1" spans="1:2">
      <c r="A1" s="2" t="s">
        <v>0</v>
      </c>
    </row>
    <row r="2" spans="1:2">
      <c r="A2" t="s">
        <v>1</v>
      </c>
      <c r="B2" s="1">
        <v>100000</v>
      </c>
    </row>
    <row r="3" spans="1:2">
      <c r="A3" t="s">
        <v>6</v>
      </c>
      <c r="B3">
        <v>360</v>
      </c>
    </row>
    <row r="4" spans="1:2">
      <c r="A4" t="s">
        <v>5</v>
      </c>
      <c r="B4">
        <v>12</v>
      </c>
    </row>
    <row r="5" spans="1:2">
      <c r="A5" t="s">
        <v>4</v>
      </c>
      <c r="B5">
        <v>5</v>
      </c>
    </row>
    <row r="6" spans="1:2">
      <c r="A6" s="3" t="s">
        <v>7</v>
      </c>
      <c r="B6" s="3">
        <f>Monthly_payment(B5,B3,B2)</f>
        <v>536.82162301213975</v>
      </c>
    </row>
    <row r="7" spans="1:2">
      <c r="A7" s="3" t="s">
        <v>8</v>
      </c>
      <c r="B7" s="3">
        <f>Remaining_balance(B5,B3,B4,B2)</f>
        <v>98524.634654432521</v>
      </c>
    </row>
    <row r="8" spans="1:2">
      <c r="A8" s="3" t="s">
        <v>9</v>
      </c>
      <c r="B8" s="3">
        <f>Principle_portion_of_payment(B5,B3,B4,B2)</f>
        <v>125.77823596880101</v>
      </c>
    </row>
    <row r="9" spans="1:2">
      <c r="A9" s="3" t="s">
        <v>10</v>
      </c>
      <c r="B9" s="3">
        <f>Interest_portion_of_payment(B5,B3,B4,B2)</f>
        <v>411.0433870433389</v>
      </c>
    </row>
    <row r="10" spans="1:2">
      <c r="A10" t="s">
        <v>11</v>
      </c>
      <c r="B10">
        <f>B6-B8</f>
        <v>411.04338704333873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FC8CA-DD81-4AC9-BB5A-8DF4140980BE}">
  <sheetPr codeName="Sheet2"/>
  <dimension ref="A1:G362"/>
  <sheetViews>
    <sheetView zoomScaleNormal="100" workbookViewId="0">
      <selection activeCell="F4" sqref="F4"/>
    </sheetView>
  </sheetViews>
  <sheetFormatPr baseColWidth="10" defaultColWidth="8.83203125" defaultRowHeight="15"/>
  <cols>
    <col min="1" max="1" width="17.83203125" bestFit="1" customWidth="1"/>
    <col min="2" max="2" width="10.83203125" bestFit="1" customWidth="1"/>
    <col min="4" max="4" width="14.83203125" bestFit="1" customWidth="1"/>
    <col min="5" max="5" width="13.6640625" bestFit="1" customWidth="1"/>
    <col min="6" max="6" width="13" bestFit="1" customWidth="1"/>
    <col min="7" max="7" width="15.5" bestFit="1" customWidth="1"/>
  </cols>
  <sheetData>
    <row r="1" spans="1:7">
      <c r="A1" t="s">
        <v>3</v>
      </c>
      <c r="B1">
        <v>5</v>
      </c>
      <c r="C1" t="s">
        <v>2</v>
      </c>
      <c r="D1">
        <v>360</v>
      </c>
    </row>
    <row r="2" spans="1:7">
      <c r="A2" t="s">
        <v>17</v>
      </c>
      <c r="B2" t="s">
        <v>12</v>
      </c>
      <c r="C2" t="s">
        <v>13</v>
      </c>
      <c r="D2" t="s">
        <v>7</v>
      </c>
      <c r="E2" t="s">
        <v>14</v>
      </c>
      <c r="F2" t="s">
        <v>15</v>
      </c>
      <c r="G2" t="s">
        <v>16</v>
      </c>
    </row>
    <row r="3" spans="1:7">
      <c r="A3">
        <v>1</v>
      </c>
      <c r="B3" s="1">
        <v>100000</v>
      </c>
      <c r="C3">
        <f>B3*($B$1/1200)</f>
        <v>416.66666666666669</v>
      </c>
      <c r="D3">
        <f>Monthly_payment($B$1,$D$1,$B$3)</f>
        <v>536.82162301213975</v>
      </c>
      <c r="E3">
        <f>Principle_portion_of_payment($B$1,$D$1,A3,$B$3)</f>
        <v>120.15495634547315</v>
      </c>
      <c r="F3">
        <f>Interest_portion_of_payment($B$1,$D$1,A3,$B$3)</f>
        <v>416.66666666666669</v>
      </c>
      <c r="G3">
        <f>Remaining_balance($B$1,$D$1,A3,$B$3)</f>
        <v>99879.845043654539</v>
      </c>
    </row>
    <row r="4" spans="1:7">
      <c r="A4">
        <v>2</v>
      </c>
      <c r="B4">
        <f>G3</f>
        <v>99879.845043654539</v>
      </c>
      <c r="C4">
        <f>B4*($B$1/1200)</f>
        <v>416.16602101522722</v>
      </c>
      <c r="D4">
        <f t="shared" ref="D4:D67" si="0">Monthly_payment($B$1,$D$1,$B$3)</f>
        <v>536.82162301213975</v>
      </c>
      <c r="E4">
        <f>Principle_portion_of_payment($B$1,$D$1,A4,$B$3)</f>
        <v>120.65560199691261</v>
      </c>
      <c r="F4">
        <f t="shared" ref="F4:F67" si="1">Interest_portion_of_payment($B$1,$D$1,A4,$B$3)</f>
        <v>416.16602101522716</v>
      </c>
      <c r="G4">
        <f t="shared" ref="G4:G67" si="2">Remaining_balance($B$1,$D$1,A4,$B$3)</f>
        <v>99759.189441657611</v>
      </c>
    </row>
    <row r="5" spans="1:7">
      <c r="A5">
        <v>3</v>
      </c>
      <c r="B5">
        <f t="shared" ref="B5:B68" si="3">G4</f>
        <v>99759.189441657611</v>
      </c>
      <c r="C5">
        <f t="shared" ref="C5:C67" si="4">B5*($B$1/1200)</f>
        <v>415.66328934024006</v>
      </c>
      <c r="D5">
        <f t="shared" si="0"/>
        <v>536.82162301213975</v>
      </c>
      <c r="E5">
        <f t="shared" ref="E5:E67" si="5">Principle_portion_of_payment($B$1,$D$1,A5,$B$3)</f>
        <v>121.15833367189975</v>
      </c>
      <c r="F5">
        <f t="shared" si="1"/>
        <v>415.66328934024011</v>
      </c>
      <c r="G5">
        <f t="shared" si="2"/>
        <v>99638.03110798572</v>
      </c>
    </row>
    <row r="6" spans="1:7">
      <c r="A6">
        <v>4</v>
      </c>
      <c r="B6">
        <f t="shared" si="3"/>
        <v>99638.03110798572</v>
      </c>
      <c r="C6">
        <f t="shared" si="4"/>
        <v>415.15846294994049</v>
      </c>
      <c r="D6">
        <f t="shared" si="0"/>
        <v>536.82162301213975</v>
      </c>
      <c r="E6">
        <f t="shared" si="5"/>
        <v>121.66316006219932</v>
      </c>
      <c r="F6">
        <f t="shared" si="1"/>
        <v>415.15846294994049</v>
      </c>
      <c r="G6">
        <f t="shared" si="2"/>
        <v>99516.367947923529</v>
      </c>
    </row>
    <row r="7" spans="1:7">
      <c r="A7">
        <v>5</v>
      </c>
      <c r="B7">
        <f t="shared" si="3"/>
        <v>99516.367947923529</v>
      </c>
      <c r="C7">
        <f t="shared" si="4"/>
        <v>414.65153311634805</v>
      </c>
      <c r="D7">
        <f t="shared" si="0"/>
        <v>536.82162301213975</v>
      </c>
      <c r="E7">
        <f t="shared" si="5"/>
        <v>122.17008989579182</v>
      </c>
      <c r="F7">
        <f t="shared" si="1"/>
        <v>414.65153311634805</v>
      </c>
      <c r="G7">
        <f t="shared" si="2"/>
        <v>99394.197858027735</v>
      </c>
    </row>
    <row r="8" spans="1:7">
      <c r="A8">
        <v>6</v>
      </c>
      <c r="B8">
        <f t="shared" si="3"/>
        <v>99394.197858027735</v>
      </c>
      <c r="C8">
        <f t="shared" si="4"/>
        <v>414.14249107511557</v>
      </c>
      <c r="D8">
        <f t="shared" si="0"/>
        <v>536.82162301213975</v>
      </c>
      <c r="E8">
        <f t="shared" si="5"/>
        <v>122.67913193702429</v>
      </c>
      <c r="F8">
        <f t="shared" si="1"/>
        <v>414.14249107511552</v>
      </c>
      <c r="G8">
        <f t="shared" si="2"/>
        <v>99271.518726090697</v>
      </c>
    </row>
    <row r="9" spans="1:7">
      <c r="A9">
        <v>7</v>
      </c>
      <c r="B9">
        <f t="shared" si="3"/>
        <v>99271.518726090697</v>
      </c>
      <c r="C9">
        <f t="shared" si="4"/>
        <v>413.63132802537791</v>
      </c>
      <c r="D9">
        <f t="shared" si="0"/>
        <v>536.82162301213975</v>
      </c>
      <c r="E9">
        <f t="shared" si="5"/>
        <v>123.1902949867619</v>
      </c>
      <c r="F9">
        <f t="shared" si="1"/>
        <v>413.63132802537791</v>
      </c>
      <c r="G9">
        <f t="shared" si="2"/>
        <v>99148.328431103946</v>
      </c>
    </row>
    <row r="10" spans="1:7">
      <c r="A10">
        <v>8</v>
      </c>
      <c r="B10">
        <f t="shared" si="3"/>
        <v>99148.328431103946</v>
      </c>
      <c r="C10">
        <f t="shared" si="4"/>
        <v>413.11803512959978</v>
      </c>
      <c r="D10">
        <f t="shared" si="0"/>
        <v>536.82162301213975</v>
      </c>
      <c r="E10">
        <f t="shared" si="5"/>
        <v>123.70358788254008</v>
      </c>
      <c r="F10">
        <f t="shared" si="1"/>
        <v>413.11803512959983</v>
      </c>
      <c r="G10">
        <f t="shared" si="2"/>
        <v>99024.624843221405</v>
      </c>
    </row>
    <row r="11" spans="1:7">
      <c r="A11">
        <v>9</v>
      </c>
      <c r="B11">
        <f t="shared" si="3"/>
        <v>99024.624843221405</v>
      </c>
      <c r="C11">
        <f t="shared" si="4"/>
        <v>412.60260351342254</v>
      </c>
      <c r="D11">
        <f t="shared" si="0"/>
        <v>536.82162301213975</v>
      </c>
      <c r="E11">
        <f t="shared" si="5"/>
        <v>124.21901949871732</v>
      </c>
      <c r="F11">
        <f t="shared" si="1"/>
        <v>412.60260351342248</v>
      </c>
      <c r="G11">
        <f t="shared" si="2"/>
        <v>98900.405823722685</v>
      </c>
    </row>
    <row r="12" spans="1:7">
      <c r="A12">
        <v>10</v>
      </c>
      <c r="B12">
        <f t="shared" si="3"/>
        <v>98900.405823722685</v>
      </c>
      <c r="C12">
        <f t="shared" si="4"/>
        <v>412.08502426551121</v>
      </c>
      <c r="D12">
        <f t="shared" si="0"/>
        <v>536.82162301213975</v>
      </c>
      <c r="E12">
        <f t="shared" si="5"/>
        <v>124.73659874662863</v>
      </c>
      <c r="F12">
        <f t="shared" si="1"/>
        <v>412.08502426551121</v>
      </c>
      <c r="G12">
        <f t="shared" si="2"/>
        <v>98775.669224976067</v>
      </c>
    </row>
    <row r="13" spans="1:7">
      <c r="A13">
        <v>11</v>
      </c>
      <c r="B13">
        <f t="shared" si="3"/>
        <v>98775.669224976067</v>
      </c>
      <c r="C13">
        <f t="shared" si="4"/>
        <v>411.56528843740028</v>
      </c>
      <c r="D13">
        <f t="shared" si="0"/>
        <v>536.82162301213975</v>
      </c>
      <c r="E13">
        <f t="shared" si="5"/>
        <v>125.25633457473957</v>
      </c>
      <c r="F13">
        <f t="shared" si="1"/>
        <v>411.56528843740028</v>
      </c>
      <c r="G13">
        <f t="shared" si="2"/>
        <v>98650.412890401334</v>
      </c>
    </row>
    <row r="14" spans="1:7">
      <c r="A14">
        <v>12</v>
      </c>
      <c r="B14">
        <f t="shared" si="3"/>
        <v>98650.412890401334</v>
      </c>
      <c r="C14">
        <f t="shared" si="4"/>
        <v>411.0433870433389</v>
      </c>
      <c r="D14">
        <f t="shared" si="0"/>
        <v>536.82162301213975</v>
      </c>
      <c r="E14">
        <f t="shared" si="5"/>
        <v>125.77823596880101</v>
      </c>
      <c r="F14">
        <f t="shared" si="1"/>
        <v>411.0433870433389</v>
      </c>
      <c r="G14">
        <f t="shared" si="2"/>
        <v>98524.634654432521</v>
      </c>
    </row>
    <row r="15" spans="1:7">
      <c r="A15">
        <v>13</v>
      </c>
      <c r="B15">
        <f t="shared" si="3"/>
        <v>98524.634654432521</v>
      </c>
      <c r="C15">
        <f t="shared" si="4"/>
        <v>410.51931106013552</v>
      </c>
      <c r="D15">
        <f t="shared" si="0"/>
        <v>536.82162301213975</v>
      </c>
      <c r="E15">
        <f t="shared" si="5"/>
        <v>126.30231195200432</v>
      </c>
      <c r="F15">
        <f t="shared" si="1"/>
        <v>410.51931106013552</v>
      </c>
      <c r="G15">
        <f t="shared" si="2"/>
        <v>98398.332342480528</v>
      </c>
    </row>
    <row r="16" spans="1:7">
      <c r="A16">
        <v>14</v>
      </c>
      <c r="B16">
        <f t="shared" si="3"/>
        <v>98398.332342480528</v>
      </c>
      <c r="C16">
        <f t="shared" si="4"/>
        <v>409.99305142700217</v>
      </c>
      <c r="D16">
        <f t="shared" si="0"/>
        <v>536.82162301213975</v>
      </c>
      <c r="E16">
        <f t="shared" si="5"/>
        <v>126.82857158513769</v>
      </c>
      <c r="F16">
        <f t="shared" si="1"/>
        <v>409.99305142700211</v>
      </c>
      <c r="G16">
        <f t="shared" si="2"/>
        <v>98271.503770895375</v>
      </c>
    </row>
    <row r="17" spans="1:7">
      <c r="A17">
        <v>15</v>
      </c>
      <c r="B17">
        <f t="shared" si="3"/>
        <v>98271.503770895375</v>
      </c>
      <c r="C17">
        <f t="shared" si="4"/>
        <v>409.46459904539739</v>
      </c>
      <c r="D17">
        <f t="shared" si="0"/>
        <v>536.82162301213975</v>
      </c>
      <c r="E17">
        <f t="shared" si="5"/>
        <v>127.35702396674243</v>
      </c>
      <c r="F17">
        <f t="shared" si="1"/>
        <v>409.46459904539739</v>
      </c>
      <c r="G17">
        <f t="shared" si="2"/>
        <v>98144.146746928629</v>
      </c>
    </row>
    <row r="18" spans="1:7">
      <c r="A18">
        <v>16</v>
      </c>
      <c r="B18">
        <f t="shared" si="3"/>
        <v>98144.146746928629</v>
      </c>
      <c r="C18">
        <f t="shared" si="4"/>
        <v>408.93394477886926</v>
      </c>
      <c r="D18">
        <f t="shared" si="0"/>
        <v>536.82162301213975</v>
      </c>
      <c r="E18">
        <f t="shared" si="5"/>
        <v>127.88767823327053</v>
      </c>
      <c r="F18">
        <f t="shared" si="1"/>
        <v>408.93394477886932</v>
      </c>
      <c r="G18">
        <f t="shared" si="2"/>
        <v>98016.259068695363</v>
      </c>
    </row>
    <row r="19" spans="1:7">
      <c r="A19">
        <v>17</v>
      </c>
      <c r="B19">
        <f t="shared" si="3"/>
        <v>98016.259068695363</v>
      </c>
      <c r="C19">
        <f t="shared" si="4"/>
        <v>408.40107945289736</v>
      </c>
      <c r="D19">
        <f t="shared" si="0"/>
        <v>536.82162301213975</v>
      </c>
      <c r="E19">
        <f t="shared" si="5"/>
        <v>128.42054355924247</v>
      </c>
      <c r="F19">
        <f t="shared" si="1"/>
        <v>408.40107945289736</v>
      </c>
      <c r="G19">
        <f t="shared" si="2"/>
        <v>97887.838525136132</v>
      </c>
    </row>
    <row r="20" spans="1:7">
      <c r="A20">
        <v>18</v>
      </c>
      <c r="B20">
        <f t="shared" si="3"/>
        <v>97887.838525136132</v>
      </c>
      <c r="C20">
        <f t="shared" si="4"/>
        <v>407.86599385473386</v>
      </c>
      <c r="D20">
        <f t="shared" si="0"/>
        <v>536.82162301213975</v>
      </c>
      <c r="E20">
        <f t="shared" si="5"/>
        <v>128.95562915740598</v>
      </c>
      <c r="F20">
        <f t="shared" si="1"/>
        <v>407.86599385473392</v>
      </c>
      <c r="G20">
        <f t="shared" si="2"/>
        <v>97758.882895978721</v>
      </c>
    </row>
    <row r="21" spans="1:7">
      <c r="A21">
        <v>19</v>
      </c>
      <c r="B21">
        <f t="shared" si="3"/>
        <v>97758.882895978721</v>
      </c>
      <c r="C21">
        <f t="shared" si="4"/>
        <v>407.32867873324466</v>
      </c>
      <c r="D21">
        <f t="shared" si="0"/>
        <v>536.82162301213975</v>
      </c>
      <c r="E21">
        <f t="shared" si="5"/>
        <v>129.49294427889515</v>
      </c>
      <c r="F21">
        <f t="shared" si="1"/>
        <v>407.32867873324466</v>
      </c>
      <c r="G21">
        <f t="shared" si="2"/>
        <v>97629.389951699835</v>
      </c>
    </row>
    <row r="22" spans="1:7">
      <c r="A22">
        <v>20</v>
      </c>
      <c r="B22">
        <f t="shared" si="3"/>
        <v>97629.389951699835</v>
      </c>
      <c r="C22">
        <f t="shared" si="4"/>
        <v>406.7891247987493</v>
      </c>
      <c r="D22">
        <f t="shared" si="0"/>
        <v>536.82162301213975</v>
      </c>
      <c r="E22">
        <f t="shared" si="5"/>
        <v>130.03249821339057</v>
      </c>
      <c r="F22">
        <f t="shared" si="1"/>
        <v>406.7891247987493</v>
      </c>
      <c r="G22">
        <f t="shared" si="2"/>
        <v>97499.357453486431</v>
      </c>
    </row>
    <row r="23" spans="1:7">
      <c r="A23">
        <v>21</v>
      </c>
      <c r="B23">
        <f t="shared" si="3"/>
        <v>97499.357453486431</v>
      </c>
      <c r="C23">
        <f t="shared" si="4"/>
        <v>406.24732272286013</v>
      </c>
      <c r="D23">
        <f t="shared" si="0"/>
        <v>536.82162301213975</v>
      </c>
      <c r="E23">
        <f t="shared" si="5"/>
        <v>130.57430028927971</v>
      </c>
      <c r="F23">
        <f t="shared" si="1"/>
        <v>406.24732272286019</v>
      </c>
      <c r="G23">
        <f t="shared" si="2"/>
        <v>97368.783153197146</v>
      </c>
    </row>
    <row r="24" spans="1:7">
      <c r="A24">
        <v>22</v>
      </c>
      <c r="B24">
        <f t="shared" si="3"/>
        <v>97368.783153197146</v>
      </c>
      <c r="C24">
        <f t="shared" si="4"/>
        <v>405.70326313832146</v>
      </c>
      <c r="D24">
        <f t="shared" si="0"/>
        <v>536.82162301213975</v>
      </c>
      <c r="E24">
        <f t="shared" si="5"/>
        <v>131.11835987381838</v>
      </c>
      <c r="F24">
        <f t="shared" si="1"/>
        <v>405.7032631383214</v>
      </c>
      <c r="G24">
        <f t="shared" si="2"/>
        <v>97237.664793323347</v>
      </c>
    </row>
    <row r="25" spans="1:7">
      <c r="A25">
        <v>23</v>
      </c>
      <c r="B25">
        <f t="shared" si="3"/>
        <v>97237.664793323347</v>
      </c>
      <c r="C25">
        <f t="shared" si="4"/>
        <v>405.1569366388473</v>
      </c>
      <c r="D25">
        <f t="shared" si="0"/>
        <v>536.82162301213975</v>
      </c>
      <c r="E25">
        <f t="shared" si="5"/>
        <v>131.6646863732926</v>
      </c>
      <c r="F25">
        <f t="shared" si="1"/>
        <v>405.1569366388473</v>
      </c>
      <c r="G25">
        <f t="shared" si="2"/>
        <v>97106.000106950058</v>
      </c>
    </row>
    <row r="26" spans="1:7">
      <c r="A26">
        <v>24</v>
      </c>
      <c r="B26">
        <f t="shared" si="3"/>
        <v>97106.000106950058</v>
      </c>
      <c r="C26">
        <f t="shared" si="4"/>
        <v>404.60833377895858</v>
      </c>
      <c r="D26">
        <f t="shared" si="0"/>
        <v>536.82162301213975</v>
      </c>
      <c r="E26">
        <f t="shared" si="5"/>
        <v>132.21328923318129</v>
      </c>
      <c r="F26">
        <f t="shared" si="1"/>
        <v>404.60833377895852</v>
      </c>
      <c r="G26">
        <f t="shared" si="2"/>
        <v>96973.786817716871</v>
      </c>
    </row>
    <row r="27" spans="1:7">
      <c r="A27">
        <v>25</v>
      </c>
      <c r="B27">
        <f t="shared" si="3"/>
        <v>96973.786817716871</v>
      </c>
      <c r="C27">
        <f t="shared" si="4"/>
        <v>404.0574450738203</v>
      </c>
      <c r="D27">
        <f t="shared" si="0"/>
        <v>536.82162301213975</v>
      </c>
      <c r="E27">
        <f t="shared" si="5"/>
        <v>132.76417793831956</v>
      </c>
      <c r="F27">
        <f t="shared" si="1"/>
        <v>404.05744507382025</v>
      </c>
      <c r="G27">
        <f t="shared" si="2"/>
        <v>96841.022639778545</v>
      </c>
    </row>
    <row r="28" spans="1:7">
      <c r="A28">
        <v>26</v>
      </c>
      <c r="B28">
        <f t="shared" si="3"/>
        <v>96841.022639778545</v>
      </c>
      <c r="C28">
        <f t="shared" si="4"/>
        <v>403.50426099907725</v>
      </c>
      <c r="D28">
        <f t="shared" si="0"/>
        <v>536.82162301213975</v>
      </c>
      <c r="E28">
        <f t="shared" si="5"/>
        <v>133.31736201306256</v>
      </c>
      <c r="F28">
        <f t="shared" si="1"/>
        <v>403.5042609990773</v>
      </c>
      <c r="G28">
        <f t="shared" si="2"/>
        <v>96707.70527776549</v>
      </c>
    </row>
    <row r="29" spans="1:7">
      <c r="A29">
        <v>27</v>
      </c>
      <c r="B29">
        <f t="shared" si="3"/>
        <v>96707.70527776549</v>
      </c>
      <c r="C29">
        <f t="shared" si="4"/>
        <v>402.94877199068952</v>
      </c>
      <c r="D29">
        <f t="shared" si="0"/>
        <v>536.82162301213975</v>
      </c>
      <c r="E29">
        <f t="shared" si="5"/>
        <v>133.87285102145032</v>
      </c>
      <c r="F29">
        <f t="shared" si="1"/>
        <v>402.94877199068952</v>
      </c>
      <c r="G29">
        <f t="shared" si="2"/>
        <v>96573.832426744033</v>
      </c>
    </row>
    <row r="30" spans="1:7">
      <c r="A30">
        <v>28</v>
      </c>
      <c r="B30">
        <f t="shared" si="3"/>
        <v>96573.832426744033</v>
      </c>
      <c r="C30">
        <f t="shared" si="4"/>
        <v>402.39096844476683</v>
      </c>
      <c r="D30">
        <f t="shared" si="0"/>
        <v>536.82162301213975</v>
      </c>
      <c r="E30">
        <f t="shared" si="5"/>
        <v>134.43065456737304</v>
      </c>
      <c r="F30">
        <f t="shared" si="1"/>
        <v>402.39096844476677</v>
      </c>
      <c r="G30">
        <f t="shared" si="2"/>
        <v>96439.401772176672</v>
      </c>
    </row>
    <row r="31" spans="1:7">
      <c r="A31">
        <v>29</v>
      </c>
      <c r="B31">
        <f t="shared" si="3"/>
        <v>96439.401772176672</v>
      </c>
      <c r="C31">
        <f t="shared" si="4"/>
        <v>401.83084071740279</v>
      </c>
      <c r="D31">
        <f t="shared" si="0"/>
        <v>536.82162301213975</v>
      </c>
      <c r="E31">
        <f t="shared" si="5"/>
        <v>134.99078229473707</v>
      </c>
      <c r="F31">
        <f t="shared" si="1"/>
        <v>401.83084071740274</v>
      </c>
      <c r="G31">
        <f t="shared" si="2"/>
        <v>96304.41098988193</v>
      </c>
    </row>
    <row r="32" spans="1:7">
      <c r="A32">
        <v>30</v>
      </c>
      <c r="B32">
        <f t="shared" si="3"/>
        <v>96304.41098988193</v>
      </c>
      <c r="C32">
        <f t="shared" si="4"/>
        <v>401.26837912450804</v>
      </c>
      <c r="D32">
        <f t="shared" si="0"/>
        <v>536.82162301213975</v>
      </c>
      <c r="E32">
        <f t="shared" si="5"/>
        <v>135.55324388763182</v>
      </c>
      <c r="F32">
        <f t="shared" si="1"/>
        <v>401.26837912450804</v>
      </c>
      <c r="G32">
        <f t="shared" si="2"/>
        <v>96168.85774599429</v>
      </c>
    </row>
    <row r="33" spans="1:7">
      <c r="A33">
        <v>31</v>
      </c>
      <c r="B33">
        <f t="shared" si="3"/>
        <v>96168.85774599429</v>
      </c>
      <c r="C33">
        <f t="shared" si="4"/>
        <v>400.70357394164284</v>
      </c>
      <c r="D33">
        <f t="shared" si="0"/>
        <v>536.82162301213975</v>
      </c>
      <c r="E33">
        <f t="shared" si="5"/>
        <v>136.11804907049694</v>
      </c>
      <c r="F33">
        <f t="shared" si="1"/>
        <v>400.7035739416429</v>
      </c>
      <c r="G33">
        <f t="shared" si="2"/>
        <v>96032.739696923789</v>
      </c>
    </row>
    <row r="34" spans="1:7">
      <c r="A34">
        <v>32</v>
      </c>
      <c r="B34">
        <f t="shared" si="3"/>
        <v>96032.739696923789</v>
      </c>
      <c r="C34">
        <f t="shared" si="4"/>
        <v>400.13641540384913</v>
      </c>
      <c r="D34">
        <f t="shared" si="0"/>
        <v>536.82162301213975</v>
      </c>
      <c r="E34">
        <f t="shared" si="5"/>
        <v>136.68520760829068</v>
      </c>
      <c r="F34">
        <f t="shared" si="1"/>
        <v>400.13641540384913</v>
      </c>
      <c r="G34">
        <f t="shared" si="2"/>
        <v>95896.054489315502</v>
      </c>
    </row>
    <row r="35" spans="1:7">
      <c r="A35">
        <v>33</v>
      </c>
      <c r="B35">
        <f t="shared" si="3"/>
        <v>95896.054489315502</v>
      </c>
      <c r="C35">
        <f t="shared" si="4"/>
        <v>399.56689370548128</v>
      </c>
      <c r="D35">
        <f t="shared" si="0"/>
        <v>536.82162301213975</v>
      </c>
      <c r="E35">
        <f t="shared" si="5"/>
        <v>137.25472930665859</v>
      </c>
      <c r="F35">
        <f t="shared" si="1"/>
        <v>399.56689370548128</v>
      </c>
      <c r="G35">
        <f t="shared" si="2"/>
        <v>95758.799760008857</v>
      </c>
    </row>
    <row r="36" spans="1:7">
      <c r="A36">
        <v>34</v>
      </c>
      <c r="B36">
        <f t="shared" si="3"/>
        <v>95758.799760008857</v>
      </c>
      <c r="C36">
        <f t="shared" si="4"/>
        <v>398.9949990000369</v>
      </c>
      <c r="D36">
        <f t="shared" si="0"/>
        <v>536.82162301213975</v>
      </c>
      <c r="E36">
        <f t="shared" si="5"/>
        <v>137.82662401210297</v>
      </c>
      <c r="F36">
        <f t="shared" si="1"/>
        <v>398.99499900003684</v>
      </c>
      <c r="G36">
        <f t="shared" si="2"/>
        <v>95620.973135996741</v>
      </c>
    </row>
    <row r="37" spans="1:7">
      <c r="A37">
        <v>35</v>
      </c>
      <c r="B37">
        <f t="shared" si="3"/>
        <v>95620.973135996741</v>
      </c>
      <c r="C37">
        <f t="shared" si="4"/>
        <v>398.42072139998641</v>
      </c>
      <c r="D37">
        <f t="shared" si="0"/>
        <v>536.82162301213975</v>
      </c>
      <c r="E37">
        <f t="shared" si="5"/>
        <v>138.40090161215338</v>
      </c>
      <c r="F37">
        <f t="shared" si="1"/>
        <v>398.42072139998641</v>
      </c>
      <c r="G37">
        <f t="shared" si="2"/>
        <v>95482.572234384599</v>
      </c>
    </row>
    <row r="38" spans="1:7">
      <c r="A38">
        <v>36</v>
      </c>
      <c r="B38">
        <f t="shared" si="3"/>
        <v>95482.572234384599</v>
      </c>
      <c r="C38">
        <f t="shared" si="4"/>
        <v>397.84405097660249</v>
      </c>
      <c r="D38">
        <f t="shared" si="0"/>
        <v>536.82162301213975</v>
      </c>
      <c r="E38">
        <f t="shared" si="5"/>
        <v>138.97757203553738</v>
      </c>
      <c r="F38">
        <f t="shared" si="1"/>
        <v>397.84405097660243</v>
      </c>
      <c r="G38">
        <f t="shared" si="2"/>
        <v>95343.59466234906</v>
      </c>
    </row>
    <row r="39" spans="1:7">
      <c r="A39">
        <v>37</v>
      </c>
      <c r="B39">
        <f t="shared" si="3"/>
        <v>95343.59466234906</v>
      </c>
      <c r="C39">
        <f t="shared" si="4"/>
        <v>397.26497775978777</v>
      </c>
      <c r="D39">
        <f t="shared" si="0"/>
        <v>536.82162301213975</v>
      </c>
      <c r="E39">
        <f t="shared" si="5"/>
        <v>139.5566452523521</v>
      </c>
      <c r="F39">
        <f t="shared" si="1"/>
        <v>397.26497775978777</v>
      </c>
      <c r="G39">
        <f t="shared" si="2"/>
        <v>95204.038017096711</v>
      </c>
    </row>
    <row r="40" spans="1:7">
      <c r="A40">
        <v>38</v>
      </c>
      <c r="B40">
        <f t="shared" si="3"/>
        <v>95204.038017096711</v>
      </c>
      <c r="C40">
        <f t="shared" si="4"/>
        <v>396.68349173790295</v>
      </c>
      <c r="D40">
        <f t="shared" si="0"/>
        <v>536.82162301213975</v>
      </c>
      <c r="E40">
        <f t="shared" si="5"/>
        <v>140.13813127423691</v>
      </c>
      <c r="F40">
        <f t="shared" si="1"/>
        <v>396.68349173790295</v>
      </c>
      <c r="G40">
        <f t="shared" si="2"/>
        <v>95063.899885822466</v>
      </c>
    </row>
    <row r="41" spans="1:7">
      <c r="A41">
        <v>39</v>
      </c>
      <c r="B41">
        <f t="shared" si="3"/>
        <v>95063.899885822466</v>
      </c>
      <c r="C41">
        <f t="shared" si="4"/>
        <v>396.09958285759359</v>
      </c>
      <c r="D41">
        <f t="shared" si="0"/>
        <v>536.82162301213975</v>
      </c>
      <c r="E41">
        <f t="shared" si="5"/>
        <v>140.72204015454622</v>
      </c>
      <c r="F41">
        <f t="shared" si="1"/>
        <v>396.09958285759365</v>
      </c>
      <c r="G41">
        <f t="shared" si="2"/>
        <v>94923.177845667917</v>
      </c>
    </row>
    <row r="42" spans="1:7">
      <c r="A42">
        <v>40</v>
      </c>
      <c r="B42">
        <f t="shared" si="3"/>
        <v>94923.177845667917</v>
      </c>
      <c r="C42">
        <f t="shared" si="4"/>
        <v>395.51324102361633</v>
      </c>
      <c r="D42">
        <f t="shared" si="0"/>
        <v>536.82162301213975</v>
      </c>
      <c r="E42">
        <f t="shared" si="5"/>
        <v>141.30838198852348</v>
      </c>
      <c r="F42">
        <f t="shared" si="1"/>
        <v>395.51324102361627</v>
      </c>
      <c r="G42">
        <f t="shared" si="2"/>
        <v>94781.86946367941</v>
      </c>
    </row>
    <row r="43" spans="1:7">
      <c r="A43">
        <v>41</v>
      </c>
      <c r="B43">
        <f t="shared" si="3"/>
        <v>94781.86946367941</v>
      </c>
      <c r="C43">
        <f t="shared" si="4"/>
        <v>394.92445609866422</v>
      </c>
      <c r="D43">
        <f t="shared" si="0"/>
        <v>536.82162301213975</v>
      </c>
      <c r="E43">
        <f t="shared" si="5"/>
        <v>141.89716691347564</v>
      </c>
      <c r="F43">
        <f t="shared" si="1"/>
        <v>394.92445609866417</v>
      </c>
      <c r="G43">
        <f t="shared" si="2"/>
        <v>94639.972296765918</v>
      </c>
    </row>
    <row r="44" spans="1:7">
      <c r="A44">
        <v>42</v>
      </c>
      <c r="B44">
        <f t="shared" si="3"/>
        <v>94639.972296765918</v>
      </c>
      <c r="C44">
        <f t="shared" si="4"/>
        <v>394.33321790319133</v>
      </c>
      <c r="D44">
        <f t="shared" si="0"/>
        <v>536.82162301213975</v>
      </c>
      <c r="E44">
        <f t="shared" si="5"/>
        <v>142.48840510894851</v>
      </c>
      <c r="F44">
        <f t="shared" si="1"/>
        <v>394.33321790319133</v>
      </c>
      <c r="G44">
        <f t="shared" si="2"/>
        <v>94497.483891656957</v>
      </c>
    </row>
    <row r="45" spans="1:7">
      <c r="A45">
        <v>43</v>
      </c>
      <c r="B45">
        <f t="shared" si="3"/>
        <v>94497.483891656957</v>
      </c>
      <c r="C45">
        <f t="shared" si="4"/>
        <v>393.7395162152373</v>
      </c>
      <c r="D45">
        <f t="shared" si="0"/>
        <v>536.82162301213975</v>
      </c>
      <c r="E45">
        <f t="shared" si="5"/>
        <v>143.08210679690245</v>
      </c>
      <c r="F45">
        <f t="shared" si="1"/>
        <v>393.73951621523736</v>
      </c>
      <c r="G45">
        <f t="shared" si="2"/>
        <v>94354.401784860078</v>
      </c>
    </row>
    <row r="46" spans="1:7">
      <c r="A46">
        <v>44</v>
      </c>
      <c r="B46">
        <f t="shared" si="3"/>
        <v>94354.401784860078</v>
      </c>
      <c r="C46">
        <f t="shared" si="4"/>
        <v>393.14334077025035</v>
      </c>
      <c r="D46">
        <f t="shared" si="0"/>
        <v>536.82162301213975</v>
      </c>
      <c r="E46">
        <f t="shared" si="5"/>
        <v>143.67828224188952</v>
      </c>
      <c r="F46">
        <f t="shared" si="1"/>
        <v>393.14334077025035</v>
      </c>
      <c r="G46">
        <f t="shared" si="2"/>
        <v>94210.723502618188</v>
      </c>
    </row>
    <row r="47" spans="1:7">
      <c r="A47">
        <v>45</v>
      </c>
      <c r="B47">
        <f t="shared" si="3"/>
        <v>94210.723502618188</v>
      </c>
      <c r="C47">
        <f t="shared" si="4"/>
        <v>392.5446812609091</v>
      </c>
      <c r="D47">
        <f t="shared" si="0"/>
        <v>536.82162301213975</v>
      </c>
      <c r="E47">
        <f t="shared" si="5"/>
        <v>144.27694175123074</v>
      </c>
      <c r="F47">
        <f t="shared" si="1"/>
        <v>392.5446812609091</v>
      </c>
      <c r="G47">
        <f t="shared" si="2"/>
        <v>94066.446560866956</v>
      </c>
    </row>
    <row r="48" spans="1:7">
      <c r="A48">
        <v>46</v>
      </c>
      <c r="B48">
        <f t="shared" si="3"/>
        <v>94066.446560866956</v>
      </c>
      <c r="C48">
        <f t="shared" si="4"/>
        <v>391.94352733694564</v>
      </c>
      <c r="D48">
        <f t="shared" si="0"/>
        <v>536.82162301213975</v>
      </c>
      <c r="E48">
        <f t="shared" si="5"/>
        <v>144.87809567519417</v>
      </c>
      <c r="F48">
        <f t="shared" si="1"/>
        <v>391.94352733694564</v>
      </c>
      <c r="G48">
        <f t="shared" si="2"/>
        <v>93921.568465191755</v>
      </c>
    </row>
    <row r="49" spans="1:7">
      <c r="A49">
        <v>47</v>
      </c>
      <c r="B49">
        <f t="shared" si="3"/>
        <v>93921.568465191755</v>
      </c>
      <c r="C49">
        <f t="shared" si="4"/>
        <v>391.33986860496566</v>
      </c>
      <c r="D49">
        <f t="shared" si="0"/>
        <v>536.82162301213975</v>
      </c>
      <c r="E49">
        <f t="shared" si="5"/>
        <v>145.48175440717418</v>
      </c>
      <c r="F49">
        <f t="shared" si="1"/>
        <v>391.33986860496566</v>
      </c>
      <c r="G49">
        <f t="shared" si="2"/>
        <v>93776.086710784584</v>
      </c>
    </row>
    <row r="50" spans="1:7">
      <c r="A50">
        <v>48</v>
      </c>
      <c r="B50">
        <f t="shared" si="3"/>
        <v>93776.086710784584</v>
      </c>
      <c r="C50">
        <f t="shared" si="4"/>
        <v>390.73369462826912</v>
      </c>
      <c r="D50">
        <f t="shared" si="0"/>
        <v>536.82162301213975</v>
      </c>
      <c r="E50">
        <f t="shared" si="5"/>
        <v>146.08792838387072</v>
      </c>
      <c r="F50">
        <f t="shared" si="1"/>
        <v>390.73369462826912</v>
      </c>
      <c r="G50">
        <f t="shared" si="2"/>
        <v>93629.998782400726</v>
      </c>
    </row>
    <row r="51" spans="1:7">
      <c r="A51">
        <v>49</v>
      </c>
      <c r="B51">
        <f t="shared" si="3"/>
        <v>93629.998782400726</v>
      </c>
      <c r="C51">
        <f t="shared" si="4"/>
        <v>390.12499492666967</v>
      </c>
      <c r="D51">
        <f t="shared" si="0"/>
        <v>536.82162301213975</v>
      </c>
      <c r="E51">
        <f t="shared" si="5"/>
        <v>146.69662808547017</v>
      </c>
      <c r="F51">
        <f t="shared" si="1"/>
        <v>390.12499492666961</v>
      </c>
      <c r="G51">
        <f t="shared" si="2"/>
        <v>93483.302154315257</v>
      </c>
    </row>
    <row r="52" spans="1:7">
      <c r="A52">
        <v>50</v>
      </c>
      <c r="B52">
        <f t="shared" si="3"/>
        <v>93483.302154315257</v>
      </c>
      <c r="C52">
        <f t="shared" si="4"/>
        <v>389.51375897631357</v>
      </c>
      <c r="D52">
        <f t="shared" si="0"/>
        <v>536.82162301213975</v>
      </c>
      <c r="E52">
        <f t="shared" si="5"/>
        <v>147.30786403582627</v>
      </c>
      <c r="F52">
        <f t="shared" si="1"/>
        <v>389.51375897631351</v>
      </c>
      <c r="G52">
        <f t="shared" si="2"/>
        <v>93335.994290279428</v>
      </c>
    </row>
    <row r="53" spans="1:7">
      <c r="A53">
        <v>51</v>
      </c>
      <c r="B53">
        <f t="shared" si="3"/>
        <v>93335.994290279428</v>
      </c>
      <c r="C53">
        <f t="shared" si="4"/>
        <v>388.89997620949759</v>
      </c>
      <c r="D53">
        <f t="shared" si="0"/>
        <v>536.82162301213975</v>
      </c>
      <c r="E53">
        <f t="shared" si="5"/>
        <v>147.92164680264224</v>
      </c>
      <c r="F53">
        <f t="shared" si="1"/>
        <v>388.89997620949765</v>
      </c>
      <c r="G53">
        <f t="shared" si="2"/>
        <v>93188.072643476771</v>
      </c>
    </row>
    <row r="54" spans="1:7">
      <c r="A54">
        <v>52</v>
      </c>
      <c r="B54">
        <f t="shared" si="3"/>
        <v>93188.072643476771</v>
      </c>
      <c r="C54">
        <f t="shared" si="4"/>
        <v>388.28363601448655</v>
      </c>
      <c r="D54">
        <f t="shared" si="0"/>
        <v>536.82162301213975</v>
      </c>
      <c r="E54">
        <f t="shared" si="5"/>
        <v>148.53798699765323</v>
      </c>
      <c r="F54">
        <f t="shared" si="1"/>
        <v>388.28363601448655</v>
      </c>
      <c r="G54">
        <f t="shared" si="2"/>
        <v>93039.534656479125</v>
      </c>
    </row>
    <row r="55" spans="1:7">
      <c r="A55">
        <v>53</v>
      </c>
      <c r="B55">
        <f t="shared" si="3"/>
        <v>93039.534656479125</v>
      </c>
      <c r="C55">
        <f t="shared" si="4"/>
        <v>387.66472773532968</v>
      </c>
      <c r="D55">
        <f t="shared" si="0"/>
        <v>536.82162301213975</v>
      </c>
      <c r="E55">
        <f t="shared" si="5"/>
        <v>149.15689527681013</v>
      </c>
      <c r="F55">
        <f t="shared" si="1"/>
        <v>387.66472773532968</v>
      </c>
      <c r="G55">
        <f t="shared" si="2"/>
        <v>92890.377761202311</v>
      </c>
    </row>
    <row r="56" spans="1:7">
      <c r="A56">
        <v>54</v>
      </c>
      <c r="B56">
        <f t="shared" si="3"/>
        <v>92890.377761202311</v>
      </c>
      <c r="C56">
        <f t="shared" si="4"/>
        <v>387.0432406716763</v>
      </c>
      <c r="D56">
        <f t="shared" si="0"/>
        <v>536.82162301213975</v>
      </c>
      <c r="E56">
        <f t="shared" si="5"/>
        <v>149.77838234046351</v>
      </c>
      <c r="F56">
        <f t="shared" si="1"/>
        <v>387.04324067167636</v>
      </c>
      <c r="G56">
        <f t="shared" si="2"/>
        <v>92740.599378861865</v>
      </c>
    </row>
    <row r="57" spans="1:7">
      <c r="A57">
        <v>55</v>
      </c>
      <c r="B57">
        <f t="shared" si="3"/>
        <v>92740.599378861865</v>
      </c>
      <c r="C57">
        <f t="shared" si="4"/>
        <v>386.41916407859111</v>
      </c>
      <c r="D57">
        <f t="shared" si="0"/>
        <v>536.82162301213975</v>
      </c>
      <c r="E57">
        <f t="shared" si="5"/>
        <v>150.40245893354879</v>
      </c>
      <c r="F57">
        <f t="shared" si="1"/>
        <v>386.41916407859111</v>
      </c>
      <c r="G57">
        <f t="shared" si="2"/>
        <v>92590.196919928319</v>
      </c>
    </row>
    <row r="58" spans="1:7">
      <c r="A58">
        <v>56</v>
      </c>
      <c r="B58">
        <f t="shared" si="3"/>
        <v>92590.196919928319</v>
      </c>
      <c r="C58">
        <f t="shared" si="4"/>
        <v>385.79248716636801</v>
      </c>
      <c r="D58">
        <f t="shared" si="0"/>
        <v>536.82162301213975</v>
      </c>
      <c r="E58">
        <f t="shared" si="5"/>
        <v>151.02913584577189</v>
      </c>
      <c r="F58">
        <f t="shared" si="1"/>
        <v>385.79248716636795</v>
      </c>
      <c r="G58">
        <f t="shared" si="2"/>
        <v>92439.167784082529</v>
      </c>
    </row>
    <row r="59" spans="1:7">
      <c r="A59">
        <v>57</v>
      </c>
      <c r="B59">
        <f t="shared" si="3"/>
        <v>92439.167784082529</v>
      </c>
      <c r="C59">
        <f t="shared" si="4"/>
        <v>385.16319910034389</v>
      </c>
      <c r="D59">
        <f t="shared" si="0"/>
        <v>536.82162301213975</v>
      </c>
      <c r="E59">
        <f t="shared" si="5"/>
        <v>151.65842391179595</v>
      </c>
      <c r="F59">
        <f t="shared" si="1"/>
        <v>385.16319910034389</v>
      </c>
      <c r="G59">
        <f t="shared" si="2"/>
        <v>92287.509360170734</v>
      </c>
    </row>
    <row r="60" spans="1:7">
      <c r="A60">
        <v>58</v>
      </c>
      <c r="B60">
        <f t="shared" si="3"/>
        <v>92287.509360170734</v>
      </c>
      <c r="C60">
        <f t="shared" si="4"/>
        <v>384.53128900071141</v>
      </c>
      <c r="D60">
        <f t="shared" si="0"/>
        <v>536.82162301213975</v>
      </c>
      <c r="E60">
        <f t="shared" si="5"/>
        <v>152.2903340114284</v>
      </c>
      <c r="F60">
        <f t="shared" si="1"/>
        <v>384.53128900071141</v>
      </c>
      <c r="G60">
        <f t="shared" si="2"/>
        <v>92135.21902615932</v>
      </c>
    </row>
    <row r="61" spans="1:7">
      <c r="A61">
        <v>59</v>
      </c>
      <c r="B61">
        <f t="shared" si="3"/>
        <v>92135.21902615932</v>
      </c>
      <c r="C61">
        <f t="shared" si="4"/>
        <v>383.89674594233048</v>
      </c>
      <c r="D61">
        <f t="shared" si="0"/>
        <v>536.82162301213975</v>
      </c>
      <c r="E61">
        <f t="shared" si="5"/>
        <v>152.92487706980936</v>
      </c>
      <c r="F61">
        <f t="shared" si="1"/>
        <v>383.89674594233048</v>
      </c>
      <c r="G61">
        <f t="shared" si="2"/>
        <v>91982.294149089517</v>
      </c>
    </row>
    <row r="62" spans="1:7">
      <c r="A62">
        <v>60</v>
      </c>
      <c r="B62">
        <f t="shared" si="3"/>
        <v>91982.294149089517</v>
      </c>
      <c r="C62">
        <f t="shared" si="4"/>
        <v>383.25955895453967</v>
      </c>
      <c r="D62">
        <f t="shared" si="0"/>
        <v>536.82162301213975</v>
      </c>
      <c r="E62">
        <f t="shared" si="5"/>
        <v>153.56206405760022</v>
      </c>
      <c r="F62">
        <f t="shared" si="1"/>
        <v>383.25955895453961</v>
      </c>
      <c r="G62">
        <f t="shared" si="2"/>
        <v>91828.732085031908</v>
      </c>
    </row>
    <row r="63" spans="1:7">
      <c r="A63">
        <v>61</v>
      </c>
      <c r="B63">
        <f t="shared" si="3"/>
        <v>91828.732085031908</v>
      </c>
      <c r="C63">
        <f t="shared" si="4"/>
        <v>382.61971702096628</v>
      </c>
      <c r="D63">
        <f t="shared" si="0"/>
        <v>536.82162301213975</v>
      </c>
      <c r="E63">
        <f t="shared" si="5"/>
        <v>154.20190599117356</v>
      </c>
      <c r="F63">
        <f t="shared" si="1"/>
        <v>382.61971702096628</v>
      </c>
      <c r="G63">
        <f t="shared" si="2"/>
        <v>91674.530179040739</v>
      </c>
    </row>
    <row r="64" spans="1:7">
      <c r="A64">
        <v>62</v>
      </c>
      <c r="B64">
        <f t="shared" si="3"/>
        <v>91674.530179040739</v>
      </c>
      <c r="C64">
        <f t="shared" si="4"/>
        <v>381.97720907933643</v>
      </c>
      <c r="D64">
        <f t="shared" si="0"/>
        <v>536.82162301213975</v>
      </c>
      <c r="E64">
        <f t="shared" si="5"/>
        <v>154.84441393280346</v>
      </c>
      <c r="F64">
        <f t="shared" si="1"/>
        <v>381.97720907933638</v>
      </c>
      <c r="G64">
        <f t="shared" si="2"/>
        <v>91519.685765107934</v>
      </c>
    </row>
    <row r="65" spans="1:7">
      <c r="A65">
        <v>63</v>
      </c>
      <c r="B65">
        <f t="shared" si="3"/>
        <v>91519.685765107934</v>
      </c>
      <c r="C65">
        <f t="shared" si="4"/>
        <v>381.33202402128308</v>
      </c>
      <c r="D65">
        <f t="shared" si="0"/>
        <v>536.82162301213975</v>
      </c>
      <c r="E65">
        <f t="shared" si="5"/>
        <v>155.48959899085679</v>
      </c>
      <c r="F65">
        <f t="shared" si="1"/>
        <v>381.33202402128308</v>
      </c>
      <c r="G65">
        <f t="shared" si="2"/>
        <v>91364.196166117079</v>
      </c>
    </row>
    <row r="66" spans="1:7">
      <c r="A66">
        <v>64</v>
      </c>
      <c r="B66">
        <f t="shared" si="3"/>
        <v>91364.196166117079</v>
      </c>
      <c r="C66">
        <f t="shared" si="4"/>
        <v>380.6841506921545</v>
      </c>
      <c r="D66">
        <f t="shared" si="0"/>
        <v>536.82162301213975</v>
      </c>
      <c r="E66">
        <f t="shared" si="5"/>
        <v>156.13747231998536</v>
      </c>
      <c r="F66">
        <f t="shared" si="1"/>
        <v>380.68415069215445</v>
      </c>
      <c r="G66">
        <f t="shared" si="2"/>
        <v>91208.058693797095</v>
      </c>
    </row>
    <row r="67" spans="1:7">
      <c r="A67">
        <v>65</v>
      </c>
      <c r="B67">
        <f t="shared" si="3"/>
        <v>91208.058693797095</v>
      </c>
      <c r="C67">
        <f t="shared" si="4"/>
        <v>380.03357789082122</v>
      </c>
      <c r="D67">
        <f t="shared" si="0"/>
        <v>536.82162301213975</v>
      </c>
      <c r="E67">
        <f t="shared" si="5"/>
        <v>156.78804512131865</v>
      </c>
      <c r="F67">
        <f t="shared" si="1"/>
        <v>380.03357789082122</v>
      </c>
      <c r="G67">
        <f t="shared" si="2"/>
        <v>91051.270648675767</v>
      </c>
    </row>
    <row r="68" spans="1:7">
      <c r="A68">
        <v>66</v>
      </c>
      <c r="B68">
        <f t="shared" si="3"/>
        <v>91051.270648675767</v>
      </c>
      <c r="C68">
        <f t="shared" ref="C68:C131" si="6">B68*($B$1/1200)</f>
        <v>379.38029436948239</v>
      </c>
      <c r="D68">
        <f t="shared" ref="D68:D131" si="7">Monthly_payment($B$1,$D$1,$B$3)</f>
        <v>536.82162301213975</v>
      </c>
      <c r="E68">
        <f t="shared" ref="E68:E131" si="8">Principle_portion_of_payment($B$1,$D$1,A68,$B$3)</f>
        <v>157.44132864265745</v>
      </c>
      <c r="F68">
        <f t="shared" ref="F68:F131" si="9">Interest_portion_of_payment($B$1,$D$1,A68,$B$3)</f>
        <v>379.38029436948233</v>
      </c>
      <c r="G68">
        <f t="shared" ref="G68:G131" si="10">Remaining_balance($B$1,$D$1,A68,$B$3)</f>
        <v>90893.82932003311</v>
      </c>
    </row>
    <row r="69" spans="1:7">
      <c r="A69">
        <v>67</v>
      </c>
      <c r="B69">
        <f t="shared" ref="B69:B132" si="11">G68</f>
        <v>90893.82932003311</v>
      </c>
      <c r="C69">
        <f t="shared" si="6"/>
        <v>378.72428883347129</v>
      </c>
      <c r="D69">
        <f t="shared" si="7"/>
        <v>536.82162301213975</v>
      </c>
      <c r="E69">
        <f t="shared" si="8"/>
        <v>158.09733417866855</v>
      </c>
      <c r="F69">
        <f t="shared" si="9"/>
        <v>378.72428883347123</v>
      </c>
      <c r="G69">
        <f t="shared" si="10"/>
        <v>90735.731985854436</v>
      </c>
    </row>
    <row r="70" spans="1:7">
      <c r="A70">
        <v>68</v>
      </c>
      <c r="B70">
        <f t="shared" si="11"/>
        <v>90735.731985854436</v>
      </c>
      <c r="C70">
        <f t="shared" si="6"/>
        <v>378.06554994106017</v>
      </c>
      <c r="D70">
        <f t="shared" si="7"/>
        <v>536.82162301213975</v>
      </c>
      <c r="E70">
        <f t="shared" si="8"/>
        <v>158.75607307107967</v>
      </c>
      <c r="F70">
        <f t="shared" si="9"/>
        <v>378.06554994106017</v>
      </c>
      <c r="G70">
        <f t="shared" si="10"/>
        <v>90576.975912783353</v>
      </c>
    </row>
    <row r="71" spans="1:7">
      <c r="A71">
        <v>69</v>
      </c>
      <c r="B71">
        <f t="shared" si="11"/>
        <v>90576.975912783353</v>
      </c>
      <c r="C71">
        <f t="shared" si="6"/>
        <v>377.40406630326396</v>
      </c>
      <c r="D71">
        <f t="shared" si="7"/>
        <v>536.82162301213975</v>
      </c>
      <c r="E71">
        <f t="shared" si="8"/>
        <v>159.41755670887582</v>
      </c>
      <c r="F71">
        <f t="shared" si="9"/>
        <v>377.40406630326396</v>
      </c>
      <c r="G71">
        <f t="shared" si="10"/>
        <v>90417.558356074485</v>
      </c>
    </row>
    <row r="72" spans="1:7">
      <c r="A72">
        <v>70</v>
      </c>
      <c r="B72">
        <f t="shared" si="11"/>
        <v>90417.558356074485</v>
      </c>
      <c r="C72">
        <f t="shared" si="6"/>
        <v>376.7398264836437</v>
      </c>
      <c r="D72">
        <f t="shared" si="7"/>
        <v>536.82162301213975</v>
      </c>
      <c r="E72">
        <f t="shared" si="8"/>
        <v>160.08179652849614</v>
      </c>
      <c r="F72">
        <f t="shared" si="9"/>
        <v>376.73982648364364</v>
      </c>
      <c r="G72">
        <f t="shared" si="10"/>
        <v>90257.47655954599</v>
      </c>
    </row>
    <row r="73" spans="1:7">
      <c r="A73">
        <v>71</v>
      </c>
      <c r="B73">
        <f t="shared" si="11"/>
        <v>90257.47655954599</v>
      </c>
      <c r="C73">
        <f t="shared" si="6"/>
        <v>376.07281899810829</v>
      </c>
      <c r="D73">
        <f t="shared" si="7"/>
        <v>536.82162301213975</v>
      </c>
      <c r="E73">
        <f t="shared" si="8"/>
        <v>160.74880401403155</v>
      </c>
      <c r="F73">
        <f t="shared" si="9"/>
        <v>376.07281899810829</v>
      </c>
      <c r="G73">
        <f t="shared" si="10"/>
        <v>90096.727755531974</v>
      </c>
    </row>
    <row r="74" spans="1:7">
      <c r="A74">
        <v>72</v>
      </c>
      <c r="B74">
        <f t="shared" si="11"/>
        <v>90096.727755531974</v>
      </c>
      <c r="C74">
        <f t="shared" si="6"/>
        <v>375.40303231471654</v>
      </c>
      <c r="D74">
        <f t="shared" si="7"/>
        <v>536.82162301213975</v>
      </c>
      <c r="E74">
        <f t="shared" si="8"/>
        <v>161.4185906974233</v>
      </c>
      <c r="F74">
        <f t="shared" si="9"/>
        <v>375.40303231471654</v>
      </c>
      <c r="G74">
        <f t="shared" si="10"/>
        <v>89935.309164834558</v>
      </c>
    </row>
    <row r="75" spans="1:7">
      <c r="A75">
        <v>73</v>
      </c>
      <c r="B75">
        <f t="shared" si="11"/>
        <v>89935.309164834558</v>
      </c>
      <c r="C75">
        <f t="shared" si="6"/>
        <v>374.73045485347734</v>
      </c>
      <c r="D75">
        <f t="shared" si="7"/>
        <v>536.82162301213975</v>
      </c>
      <c r="E75">
        <f t="shared" si="8"/>
        <v>162.09116815866258</v>
      </c>
      <c r="F75">
        <f t="shared" si="9"/>
        <v>374.73045485347728</v>
      </c>
      <c r="G75">
        <f t="shared" si="10"/>
        <v>89773.217996675885</v>
      </c>
    </row>
    <row r="76" spans="1:7">
      <c r="A76">
        <v>74</v>
      </c>
      <c r="B76">
        <f t="shared" si="11"/>
        <v>89773.217996675885</v>
      </c>
      <c r="C76">
        <f t="shared" si="6"/>
        <v>374.05507498614952</v>
      </c>
      <c r="D76">
        <f t="shared" si="7"/>
        <v>536.82162301213975</v>
      </c>
      <c r="E76">
        <f t="shared" si="8"/>
        <v>162.76654802599035</v>
      </c>
      <c r="F76">
        <f t="shared" si="9"/>
        <v>374.05507498614952</v>
      </c>
      <c r="G76">
        <f t="shared" si="10"/>
        <v>89610.451448649896</v>
      </c>
    </row>
    <row r="77" spans="1:7">
      <c r="A77">
        <v>75</v>
      </c>
      <c r="B77">
        <f t="shared" si="11"/>
        <v>89610.451448649896</v>
      </c>
      <c r="C77">
        <f t="shared" si="6"/>
        <v>373.37688103604125</v>
      </c>
      <c r="D77">
        <f t="shared" si="7"/>
        <v>536.82162301213975</v>
      </c>
      <c r="E77">
        <f t="shared" si="8"/>
        <v>163.44474197609861</v>
      </c>
      <c r="F77">
        <f t="shared" si="9"/>
        <v>373.3768810360412</v>
      </c>
      <c r="G77">
        <f t="shared" si="10"/>
        <v>89447.006706673783</v>
      </c>
    </row>
    <row r="78" spans="1:7">
      <c r="A78">
        <v>76</v>
      </c>
      <c r="B78">
        <f t="shared" si="11"/>
        <v>89447.006706673783</v>
      </c>
      <c r="C78">
        <f t="shared" si="6"/>
        <v>372.69586127780741</v>
      </c>
      <c r="D78">
        <f t="shared" si="7"/>
        <v>536.82162301213975</v>
      </c>
      <c r="E78">
        <f t="shared" si="8"/>
        <v>164.12576173433237</v>
      </c>
      <c r="F78">
        <f t="shared" si="9"/>
        <v>372.69586127780747</v>
      </c>
      <c r="G78">
        <f t="shared" si="10"/>
        <v>89282.880944939476</v>
      </c>
    </row>
    <row r="79" spans="1:7">
      <c r="A79">
        <v>77</v>
      </c>
      <c r="B79">
        <f t="shared" si="11"/>
        <v>89282.880944939476</v>
      </c>
      <c r="C79">
        <f t="shared" si="6"/>
        <v>372.01200393724781</v>
      </c>
      <c r="D79">
        <f t="shared" si="7"/>
        <v>536.82162301213975</v>
      </c>
      <c r="E79">
        <f t="shared" si="8"/>
        <v>164.80961907489208</v>
      </c>
      <c r="F79">
        <f t="shared" si="9"/>
        <v>372.01200393724775</v>
      </c>
      <c r="G79">
        <f t="shared" si="10"/>
        <v>89118.071325864556</v>
      </c>
    </row>
    <row r="80" spans="1:7">
      <c r="A80">
        <v>78</v>
      </c>
      <c r="B80">
        <f t="shared" si="11"/>
        <v>89118.071325864556</v>
      </c>
      <c r="C80">
        <f t="shared" si="6"/>
        <v>371.32529719110232</v>
      </c>
      <c r="D80">
        <f t="shared" si="7"/>
        <v>536.82162301213975</v>
      </c>
      <c r="E80">
        <f t="shared" si="8"/>
        <v>165.49632582103746</v>
      </c>
      <c r="F80">
        <f t="shared" si="9"/>
        <v>371.32529719110232</v>
      </c>
      <c r="G80">
        <f t="shared" si="10"/>
        <v>88952.575000043536</v>
      </c>
    </row>
    <row r="81" spans="1:7">
      <c r="A81">
        <v>79</v>
      </c>
      <c r="B81">
        <f t="shared" si="11"/>
        <v>88952.575000043536</v>
      </c>
      <c r="C81">
        <f t="shared" si="6"/>
        <v>370.63572916684808</v>
      </c>
      <c r="D81">
        <f t="shared" si="7"/>
        <v>536.82162301213975</v>
      </c>
      <c r="E81">
        <f t="shared" si="8"/>
        <v>166.18589384529182</v>
      </c>
      <c r="F81">
        <f t="shared" si="9"/>
        <v>370.63572916684808</v>
      </c>
      <c r="G81">
        <f t="shared" si="10"/>
        <v>88786.389106198243</v>
      </c>
    </row>
    <row r="82" spans="1:7">
      <c r="A82">
        <v>80</v>
      </c>
      <c r="B82">
        <f t="shared" si="11"/>
        <v>88786.389106198243</v>
      </c>
      <c r="C82">
        <f t="shared" si="6"/>
        <v>369.9432879424927</v>
      </c>
      <c r="D82">
        <f t="shared" si="7"/>
        <v>536.82162301213975</v>
      </c>
      <c r="E82">
        <f t="shared" si="8"/>
        <v>166.87833506964716</v>
      </c>
      <c r="F82">
        <f t="shared" si="9"/>
        <v>369.9432879424927</v>
      </c>
      <c r="G82">
        <f t="shared" si="10"/>
        <v>88619.510771128596</v>
      </c>
    </row>
    <row r="83" spans="1:7">
      <c r="A83">
        <v>81</v>
      </c>
      <c r="B83">
        <f t="shared" si="11"/>
        <v>88619.510771128596</v>
      </c>
      <c r="C83">
        <f t="shared" si="6"/>
        <v>369.24796154636914</v>
      </c>
      <c r="D83">
        <f t="shared" si="7"/>
        <v>536.82162301213975</v>
      </c>
      <c r="E83">
        <f t="shared" si="8"/>
        <v>167.5736614657707</v>
      </c>
      <c r="F83">
        <f t="shared" si="9"/>
        <v>369.24796154636914</v>
      </c>
      <c r="G83">
        <f t="shared" si="10"/>
        <v>88451.937109662817</v>
      </c>
    </row>
    <row r="84" spans="1:7">
      <c r="A84">
        <v>82</v>
      </c>
      <c r="B84">
        <f t="shared" si="11"/>
        <v>88451.937109662817</v>
      </c>
      <c r="C84">
        <f t="shared" si="6"/>
        <v>368.54973795692842</v>
      </c>
      <c r="D84">
        <f t="shared" si="7"/>
        <v>536.82162301213975</v>
      </c>
      <c r="E84">
        <f t="shared" si="8"/>
        <v>168.27188505521138</v>
      </c>
      <c r="F84">
        <f t="shared" si="9"/>
        <v>368.54973795692842</v>
      </c>
      <c r="G84">
        <f t="shared" si="10"/>
        <v>88283.665224607612</v>
      </c>
    </row>
    <row r="85" spans="1:7">
      <c r="A85">
        <v>83</v>
      </c>
      <c r="B85">
        <f t="shared" si="11"/>
        <v>88283.665224607612</v>
      </c>
      <c r="C85">
        <f t="shared" si="6"/>
        <v>367.84860510253174</v>
      </c>
      <c r="D85">
        <f t="shared" si="7"/>
        <v>536.82162301213975</v>
      </c>
      <c r="E85">
        <f t="shared" si="8"/>
        <v>168.9730179096081</v>
      </c>
      <c r="F85">
        <f t="shared" si="9"/>
        <v>367.84860510253168</v>
      </c>
      <c r="G85">
        <f t="shared" si="10"/>
        <v>88114.692206698004</v>
      </c>
    </row>
    <row r="86" spans="1:7">
      <c r="A86">
        <v>84</v>
      </c>
      <c r="B86">
        <f t="shared" si="11"/>
        <v>88114.692206698004</v>
      </c>
      <c r="C86">
        <f t="shared" si="6"/>
        <v>367.14455086124167</v>
      </c>
      <c r="D86">
        <f t="shared" si="7"/>
        <v>536.82162301213975</v>
      </c>
      <c r="E86">
        <f t="shared" si="8"/>
        <v>169.67707215089817</v>
      </c>
      <c r="F86">
        <f t="shared" si="9"/>
        <v>367.14455086124167</v>
      </c>
      <c r="G86">
        <f t="shared" si="10"/>
        <v>87945.015134547109</v>
      </c>
    </row>
    <row r="87" spans="1:7">
      <c r="A87">
        <v>85</v>
      </c>
      <c r="B87">
        <f t="shared" si="11"/>
        <v>87945.015134547109</v>
      </c>
      <c r="C87">
        <f t="shared" si="6"/>
        <v>366.43756306061294</v>
      </c>
      <c r="D87">
        <f t="shared" si="7"/>
        <v>536.82162301213975</v>
      </c>
      <c r="E87">
        <f t="shared" si="8"/>
        <v>170.38405995152689</v>
      </c>
      <c r="F87">
        <f t="shared" si="9"/>
        <v>366.437563060613</v>
      </c>
      <c r="G87">
        <f t="shared" si="10"/>
        <v>87774.631074595571</v>
      </c>
    </row>
    <row r="88" spans="1:7">
      <c r="A88">
        <v>86</v>
      </c>
      <c r="B88">
        <f t="shared" si="11"/>
        <v>87774.631074595571</v>
      </c>
      <c r="C88">
        <f t="shared" si="6"/>
        <v>365.72762947748151</v>
      </c>
      <c r="D88">
        <f t="shared" si="7"/>
        <v>536.82162301213975</v>
      </c>
      <c r="E88">
        <f t="shared" si="8"/>
        <v>171.09399353465827</v>
      </c>
      <c r="F88">
        <f t="shared" si="9"/>
        <v>365.72762947748151</v>
      </c>
      <c r="G88">
        <f t="shared" si="10"/>
        <v>87603.537081060931</v>
      </c>
    </row>
    <row r="89" spans="1:7">
      <c r="A89">
        <v>87</v>
      </c>
      <c r="B89">
        <f t="shared" si="11"/>
        <v>87603.537081060931</v>
      </c>
      <c r="C89">
        <f t="shared" si="6"/>
        <v>365.0147378377539</v>
      </c>
      <c r="D89">
        <f t="shared" si="7"/>
        <v>536.82162301213975</v>
      </c>
      <c r="E89">
        <f t="shared" si="8"/>
        <v>171.80688517438597</v>
      </c>
      <c r="F89">
        <f t="shared" si="9"/>
        <v>365.0147378377539</v>
      </c>
      <c r="G89">
        <f t="shared" si="10"/>
        <v>87431.730195886543</v>
      </c>
    </row>
    <row r="90" spans="1:7">
      <c r="A90">
        <v>88</v>
      </c>
      <c r="B90">
        <f t="shared" si="11"/>
        <v>87431.730195886543</v>
      </c>
      <c r="C90">
        <f t="shared" si="6"/>
        <v>364.29887581619391</v>
      </c>
      <c r="D90">
        <f t="shared" si="7"/>
        <v>536.82162301213975</v>
      </c>
      <c r="E90">
        <f t="shared" si="8"/>
        <v>172.52274719594593</v>
      </c>
      <c r="F90">
        <f t="shared" si="9"/>
        <v>364.29887581619386</v>
      </c>
      <c r="G90">
        <f t="shared" si="10"/>
        <v>87259.207448690606</v>
      </c>
    </row>
    <row r="91" spans="1:7">
      <c r="A91">
        <v>89</v>
      </c>
      <c r="B91">
        <f t="shared" si="11"/>
        <v>87259.207448690606</v>
      </c>
      <c r="C91">
        <f t="shared" si="6"/>
        <v>363.58003103621087</v>
      </c>
      <c r="D91">
        <f t="shared" si="7"/>
        <v>536.82162301213975</v>
      </c>
      <c r="E91">
        <f t="shared" si="8"/>
        <v>173.24159197592903</v>
      </c>
      <c r="F91">
        <f t="shared" si="9"/>
        <v>363.58003103621076</v>
      </c>
      <c r="G91">
        <f t="shared" si="10"/>
        <v>87085.965856714669</v>
      </c>
    </row>
    <row r="92" spans="1:7">
      <c r="A92">
        <v>90</v>
      </c>
      <c r="B92">
        <f t="shared" si="11"/>
        <v>87085.965856714669</v>
      </c>
      <c r="C92">
        <f t="shared" si="6"/>
        <v>362.85819106964448</v>
      </c>
      <c r="D92">
        <f t="shared" si="7"/>
        <v>536.82162301213975</v>
      </c>
      <c r="E92">
        <f t="shared" si="8"/>
        <v>173.96343194249539</v>
      </c>
      <c r="F92">
        <f t="shared" si="9"/>
        <v>362.85819106964448</v>
      </c>
      <c r="G92">
        <f t="shared" si="10"/>
        <v>86912.002424772174</v>
      </c>
    </row>
    <row r="93" spans="1:7">
      <c r="A93">
        <v>91</v>
      </c>
      <c r="B93">
        <f t="shared" si="11"/>
        <v>86912.002424772174</v>
      </c>
      <c r="C93">
        <f t="shared" si="6"/>
        <v>362.13334343655072</v>
      </c>
      <c r="D93">
        <f t="shared" si="7"/>
        <v>536.82162301213975</v>
      </c>
      <c r="E93">
        <f t="shared" si="8"/>
        <v>174.68827957558915</v>
      </c>
      <c r="F93">
        <f t="shared" si="9"/>
        <v>362.13334343655072</v>
      </c>
      <c r="G93">
        <f t="shared" si="10"/>
        <v>86737.314145196578</v>
      </c>
    </row>
    <row r="94" spans="1:7">
      <c r="A94">
        <v>92</v>
      </c>
      <c r="B94">
        <f t="shared" si="11"/>
        <v>86737.314145196578</v>
      </c>
      <c r="C94">
        <f t="shared" si="6"/>
        <v>361.40547560498572</v>
      </c>
      <c r="D94">
        <f t="shared" si="7"/>
        <v>536.82162301213975</v>
      </c>
      <c r="E94">
        <f t="shared" si="8"/>
        <v>175.41614740715409</v>
      </c>
      <c r="F94">
        <f t="shared" si="9"/>
        <v>361.40547560498572</v>
      </c>
      <c r="G94">
        <f t="shared" si="10"/>
        <v>86561.897997789434</v>
      </c>
    </row>
    <row r="95" spans="1:7">
      <c r="A95">
        <v>93</v>
      </c>
      <c r="B95">
        <f t="shared" si="11"/>
        <v>86561.897997789434</v>
      </c>
      <c r="C95">
        <f t="shared" si="6"/>
        <v>360.67457499078932</v>
      </c>
      <c r="D95">
        <f t="shared" si="7"/>
        <v>536.82162301213975</v>
      </c>
      <c r="E95">
        <f t="shared" si="8"/>
        <v>176.14704802135054</v>
      </c>
      <c r="F95">
        <f t="shared" si="9"/>
        <v>360.67457499078927</v>
      </c>
      <c r="G95">
        <f t="shared" si="10"/>
        <v>86385.750949768088</v>
      </c>
    </row>
    <row r="96" spans="1:7">
      <c r="A96">
        <v>94</v>
      </c>
      <c r="B96">
        <f t="shared" si="11"/>
        <v>86385.750949768088</v>
      </c>
      <c r="C96">
        <f t="shared" si="6"/>
        <v>359.94062895736704</v>
      </c>
      <c r="D96">
        <f t="shared" si="7"/>
        <v>536.82162301213975</v>
      </c>
      <c r="E96">
        <f t="shared" si="8"/>
        <v>176.88099405477286</v>
      </c>
      <c r="F96">
        <f t="shared" si="9"/>
        <v>359.94062895736704</v>
      </c>
      <c r="G96">
        <f t="shared" si="10"/>
        <v>86208.869955713308</v>
      </c>
    </row>
    <row r="97" spans="1:7">
      <c r="A97">
        <v>95</v>
      </c>
      <c r="B97">
        <f t="shared" si="11"/>
        <v>86208.869955713308</v>
      </c>
      <c r="C97">
        <f t="shared" si="6"/>
        <v>359.2036248154721</v>
      </c>
      <c r="D97">
        <f t="shared" si="7"/>
        <v>536.82162301213975</v>
      </c>
      <c r="E97">
        <f t="shared" si="8"/>
        <v>177.61799819666771</v>
      </c>
      <c r="F97">
        <f t="shared" si="9"/>
        <v>359.20362481547215</v>
      </c>
      <c r="G97">
        <f t="shared" si="10"/>
        <v>86031.251957516637</v>
      </c>
    </row>
    <row r="98" spans="1:7">
      <c r="A98">
        <v>96</v>
      </c>
      <c r="B98">
        <f t="shared" si="11"/>
        <v>86031.251957516637</v>
      </c>
      <c r="C98">
        <f t="shared" si="6"/>
        <v>358.46354982298601</v>
      </c>
      <c r="D98">
        <f t="shared" si="7"/>
        <v>536.82162301213975</v>
      </c>
      <c r="E98">
        <f t="shared" si="8"/>
        <v>178.35807318915386</v>
      </c>
      <c r="F98">
        <f t="shared" si="9"/>
        <v>358.46354982298595</v>
      </c>
      <c r="G98">
        <f t="shared" si="10"/>
        <v>85852.893884327481</v>
      </c>
    </row>
    <row r="99" spans="1:7">
      <c r="A99">
        <v>97</v>
      </c>
      <c r="B99">
        <f t="shared" si="11"/>
        <v>85852.893884327481</v>
      </c>
      <c r="C99">
        <f t="shared" si="6"/>
        <v>357.72039118469786</v>
      </c>
      <c r="D99">
        <f t="shared" si="7"/>
        <v>536.82162301213975</v>
      </c>
      <c r="E99">
        <f t="shared" si="8"/>
        <v>179.10123182744198</v>
      </c>
      <c r="F99">
        <f t="shared" si="9"/>
        <v>357.7203911846978</v>
      </c>
      <c r="G99">
        <f t="shared" si="10"/>
        <v>85673.792652500037</v>
      </c>
    </row>
    <row r="100" spans="1:7">
      <c r="A100">
        <v>98</v>
      </c>
      <c r="B100">
        <f t="shared" si="11"/>
        <v>85673.792652500037</v>
      </c>
      <c r="C100">
        <f t="shared" si="6"/>
        <v>356.97413605208351</v>
      </c>
      <c r="D100">
        <f t="shared" si="7"/>
        <v>536.82162301213975</v>
      </c>
      <c r="E100">
        <f t="shared" si="8"/>
        <v>179.8474869600563</v>
      </c>
      <c r="F100">
        <f t="shared" si="9"/>
        <v>356.97413605208351</v>
      </c>
      <c r="G100">
        <f t="shared" si="10"/>
        <v>85493.945165539975</v>
      </c>
    </row>
    <row r="101" spans="1:7">
      <c r="A101">
        <v>99</v>
      </c>
      <c r="B101">
        <f t="shared" si="11"/>
        <v>85493.945165539975</v>
      </c>
      <c r="C101">
        <f t="shared" si="6"/>
        <v>356.22477152308323</v>
      </c>
      <c r="D101">
        <f t="shared" si="7"/>
        <v>536.82162301213975</v>
      </c>
      <c r="E101">
        <f t="shared" si="8"/>
        <v>180.59685148905655</v>
      </c>
      <c r="F101">
        <f t="shared" si="9"/>
        <v>356.22477152308323</v>
      </c>
      <c r="G101">
        <f t="shared" si="10"/>
        <v>85313.34831405092</v>
      </c>
    </row>
    <row r="102" spans="1:7">
      <c r="A102">
        <v>100</v>
      </c>
      <c r="B102">
        <f t="shared" si="11"/>
        <v>85313.34831405092</v>
      </c>
      <c r="C102">
        <f t="shared" si="6"/>
        <v>355.47228464187884</v>
      </c>
      <c r="D102">
        <f t="shared" si="7"/>
        <v>536.82162301213975</v>
      </c>
      <c r="E102">
        <f t="shared" si="8"/>
        <v>181.34933837026097</v>
      </c>
      <c r="F102">
        <f t="shared" si="9"/>
        <v>355.47228464187884</v>
      </c>
      <c r="G102">
        <f t="shared" si="10"/>
        <v>85131.998975680675</v>
      </c>
    </row>
    <row r="103" spans="1:7">
      <c r="A103">
        <v>101</v>
      </c>
      <c r="B103">
        <f t="shared" si="11"/>
        <v>85131.998975680675</v>
      </c>
      <c r="C103">
        <f t="shared" si="6"/>
        <v>354.71666239866948</v>
      </c>
      <c r="D103">
        <f t="shared" si="7"/>
        <v>536.82162301213975</v>
      </c>
      <c r="E103">
        <f t="shared" si="8"/>
        <v>182.10496061347035</v>
      </c>
      <c r="F103">
        <f t="shared" si="9"/>
        <v>354.71666239866948</v>
      </c>
      <c r="G103">
        <f t="shared" si="10"/>
        <v>84949.894015067213</v>
      </c>
    </row>
    <row r="104" spans="1:7">
      <c r="A104">
        <v>102</v>
      </c>
      <c r="B104">
        <f t="shared" si="11"/>
        <v>84949.894015067213</v>
      </c>
      <c r="C104">
        <f t="shared" si="6"/>
        <v>353.95789172944671</v>
      </c>
      <c r="D104">
        <f t="shared" si="7"/>
        <v>536.82162301213975</v>
      </c>
      <c r="E104">
        <f t="shared" si="8"/>
        <v>182.86373128269315</v>
      </c>
      <c r="F104">
        <f t="shared" si="9"/>
        <v>353.95789172944671</v>
      </c>
      <c r="G104">
        <f t="shared" si="10"/>
        <v>84767.030283784494</v>
      </c>
    </row>
    <row r="105" spans="1:7">
      <c r="A105">
        <v>103</v>
      </c>
      <c r="B105">
        <f t="shared" si="11"/>
        <v>84767.030283784494</v>
      </c>
      <c r="C105">
        <f t="shared" si="6"/>
        <v>353.19595951576872</v>
      </c>
      <c r="D105">
        <f t="shared" si="7"/>
        <v>536.82162301213975</v>
      </c>
      <c r="E105">
        <f t="shared" si="8"/>
        <v>183.62566349637103</v>
      </c>
      <c r="F105">
        <f t="shared" si="9"/>
        <v>353.19595951576872</v>
      </c>
      <c r="G105">
        <f t="shared" si="10"/>
        <v>84583.404620288144</v>
      </c>
    </row>
    <row r="106" spans="1:7">
      <c r="A106">
        <v>104</v>
      </c>
      <c r="B106">
        <f t="shared" si="11"/>
        <v>84583.404620288144</v>
      </c>
      <c r="C106">
        <f t="shared" si="6"/>
        <v>352.43085258453391</v>
      </c>
      <c r="D106">
        <f t="shared" si="7"/>
        <v>536.82162301213975</v>
      </c>
      <c r="E106">
        <f t="shared" si="8"/>
        <v>184.39077042760593</v>
      </c>
      <c r="F106">
        <f t="shared" si="9"/>
        <v>352.43085258453391</v>
      </c>
      <c r="G106">
        <f t="shared" si="10"/>
        <v>84399.013849860523</v>
      </c>
    </row>
    <row r="107" spans="1:7">
      <c r="A107">
        <v>105</v>
      </c>
      <c r="B107">
        <f t="shared" si="11"/>
        <v>84399.013849860523</v>
      </c>
      <c r="C107">
        <f t="shared" si="6"/>
        <v>351.66255770775217</v>
      </c>
      <c r="D107">
        <f t="shared" si="7"/>
        <v>536.82162301213975</v>
      </c>
      <c r="E107">
        <f t="shared" si="8"/>
        <v>185.15906530438761</v>
      </c>
      <c r="F107">
        <f t="shared" si="9"/>
        <v>351.66255770775217</v>
      </c>
      <c r="G107">
        <f t="shared" si="10"/>
        <v>84213.854784556141</v>
      </c>
    </row>
    <row r="108" spans="1:7">
      <c r="A108">
        <v>106</v>
      </c>
      <c r="B108">
        <f t="shared" si="11"/>
        <v>84213.854784556141</v>
      </c>
      <c r="C108">
        <f t="shared" si="6"/>
        <v>350.89106160231722</v>
      </c>
      <c r="D108">
        <f t="shared" si="7"/>
        <v>536.82162301213975</v>
      </c>
      <c r="E108">
        <f t="shared" si="8"/>
        <v>185.93056140982256</v>
      </c>
      <c r="F108">
        <f t="shared" si="9"/>
        <v>350.89106160231728</v>
      </c>
      <c r="G108">
        <f t="shared" si="10"/>
        <v>84027.924223146329</v>
      </c>
    </row>
    <row r="109" spans="1:7">
      <c r="A109">
        <v>107</v>
      </c>
      <c r="B109">
        <f t="shared" si="11"/>
        <v>84027.924223146329</v>
      </c>
      <c r="C109">
        <f t="shared" si="6"/>
        <v>350.11635092977639</v>
      </c>
      <c r="D109">
        <f t="shared" si="7"/>
        <v>536.82162301213975</v>
      </c>
      <c r="E109">
        <f t="shared" si="8"/>
        <v>186.70527208236345</v>
      </c>
      <c r="F109">
        <f t="shared" si="9"/>
        <v>350.11635092977639</v>
      </c>
      <c r="G109">
        <f t="shared" si="10"/>
        <v>83841.218951063973</v>
      </c>
    </row>
    <row r="110" spans="1:7">
      <c r="A110">
        <v>108</v>
      </c>
      <c r="B110">
        <f t="shared" si="11"/>
        <v>83841.218951063973</v>
      </c>
      <c r="C110">
        <f t="shared" si="6"/>
        <v>349.33841229609988</v>
      </c>
      <c r="D110">
        <f t="shared" si="7"/>
        <v>536.82162301213975</v>
      </c>
      <c r="E110">
        <f t="shared" si="8"/>
        <v>187.48321071604002</v>
      </c>
      <c r="F110">
        <f t="shared" si="9"/>
        <v>349.33841229609988</v>
      </c>
      <c r="G110">
        <f t="shared" si="10"/>
        <v>83653.735740347925</v>
      </c>
    </row>
    <row r="111" spans="1:7">
      <c r="A111">
        <v>109</v>
      </c>
      <c r="B111">
        <f t="shared" si="11"/>
        <v>83653.735740347925</v>
      </c>
      <c r="C111">
        <f t="shared" si="6"/>
        <v>348.5572322514497</v>
      </c>
      <c r="D111">
        <f t="shared" si="7"/>
        <v>536.82162301213975</v>
      </c>
      <c r="E111">
        <f t="shared" si="8"/>
        <v>188.26439076069019</v>
      </c>
      <c r="F111">
        <f t="shared" si="9"/>
        <v>348.55723225144965</v>
      </c>
      <c r="G111">
        <f t="shared" si="10"/>
        <v>83465.471349587227</v>
      </c>
    </row>
    <row r="112" spans="1:7">
      <c r="A112">
        <v>110</v>
      </c>
      <c r="B112">
        <f t="shared" si="11"/>
        <v>83465.471349587227</v>
      </c>
      <c r="C112">
        <f t="shared" si="6"/>
        <v>347.77279728994677</v>
      </c>
      <c r="D112">
        <f t="shared" si="7"/>
        <v>536.82162301213975</v>
      </c>
      <c r="E112">
        <f t="shared" si="8"/>
        <v>189.04882572219302</v>
      </c>
      <c r="F112">
        <f t="shared" si="9"/>
        <v>347.77279728994677</v>
      </c>
      <c r="G112">
        <f t="shared" si="10"/>
        <v>83276.42252386504</v>
      </c>
    </row>
    <row r="113" spans="1:7">
      <c r="A113">
        <v>111</v>
      </c>
      <c r="B113">
        <f t="shared" si="11"/>
        <v>83276.42252386504</v>
      </c>
      <c r="C113">
        <f t="shared" si="6"/>
        <v>346.98509384943765</v>
      </c>
      <c r="D113">
        <f t="shared" si="7"/>
        <v>536.82162301213975</v>
      </c>
      <c r="E113">
        <f t="shared" si="8"/>
        <v>189.83652916270216</v>
      </c>
      <c r="F113">
        <f t="shared" si="9"/>
        <v>346.9850938494377</v>
      </c>
      <c r="G113">
        <f t="shared" si="10"/>
        <v>83086.585994702342</v>
      </c>
    </row>
    <row r="114" spans="1:7">
      <c r="A114">
        <v>112</v>
      </c>
      <c r="B114">
        <f t="shared" si="11"/>
        <v>83086.585994702342</v>
      </c>
      <c r="C114">
        <f t="shared" si="6"/>
        <v>346.19410831125975</v>
      </c>
      <c r="D114">
        <f t="shared" si="7"/>
        <v>536.82162301213975</v>
      </c>
      <c r="E114">
        <f t="shared" si="8"/>
        <v>190.62751470088008</v>
      </c>
      <c r="F114">
        <f t="shared" si="9"/>
        <v>346.19410831125975</v>
      </c>
      <c r="G114">
        <f t="shared" si="10"/>
        <v>82895.958480001471</v>
      </c>
    </row>
    <row r="115" spans="1:7">
      <c r="A115">
        <v>113</v>
      </c>
      <c r="B115">
        <f t="shared" si="11"/>
        <v>82895.958480001471</v>
      </c>
      <c r="C115">
        <f t="shared" si="6"/>
        <v>345.3998270000061</v>
      </c>
      <c r="D115">
        <f t="shared" si="7"/>
        <v>536.82162301213975</v>
      </c>
      <c r="E115">
        <f t="shared" si="8"/>
        <v>191.42179601213374</v>
      </c>
      <c r="F115">
        <f t="shared" si="9"/>
        <v>345.3998270000061</v>
      </c>
      <c r="G115">
        <f t="shared" si="10"/>
        <v>82704.536683989325</v>
      </c>
    </row>
    <row r="116" spans="1:7">
      <c r="A116">
        <v>114</v>
      </c>
      <c r="B116">
        <f t="shared" si="11"/>
        <v>82704.536683989325</v>
      </c>
      <c r="C116">
        <f t="shared" si="6"/>
        <v>344.60223618328882</v>
      </c>
      <c r="D116">
        <f t="shared" si="7"/>
        <v>536.82162301213975</v>
      </c>
      <c r="E116">
        <f t="shared" si="8"/>
        <v>192.21938682885096</v>
      </c>
      <c r="F116">
        <f t="shared" si="9"/>
        <v>344.60223618328888</v>
      </c>
      <c r="G116">
        <f t="shared" si="10"/>
        <v>82512.31729716048</v>
      </c>
    </row>
    <row r="117" spans="1:7">
      <c r="A117">
        <v>115</v>
      </c>
      <c r="B117">
        <f t="shared" si="11"/>
        <v>82512.31729716048</v>
      </c>
      <c r="C117">
        <f t="shared" si="6"/>
        <v>343.801322071502</v>
      </c>
      <c r="D117">
        <f t="shared" si="7"/>
        <v>536.82162301213975</v>
      </c>
      <c r="E117">
        <f t="shared" si="8"/>
        <v>193.02030094063787</v>
      </c>
      <c r="F117">
        <f t="shared" si="9"/>
        <v>343.801322071502</v>
      </c>
      <c r="G117">
        <f t="shared" si="10"/>
        <v>82319.29699621984</v>
      </c>
    </row>
    <row r="118" spans="1:7">
      <c r="A118">
        <v>116</v>
      </c>
      <c r="B118">
        <f t="shared" si="11"/>
        <v>82319.29699621984</v>
      </c>
      <c r="C118">
        <f t="shared" si="6"/>
        <v>342.99707081758265</v>
      </c>
      <c r="D118">
        <f t="shared" si="7"/>
        <v>536.82162301213975</v>
      </c>
      <c r="E118">
        <f t="shared" si="8"/>
        <v>193.82455219455719</v>
      </c>
      <c r="F118">
        <f t="shared" si="9"/>
        <v>342.99707081758265</v>
      </c>
      <c r="G118">
        <f t="shared" si="10"/>
        <v>82125.47244402529</v>
      </c>
    </row>
    <row r="119" spans="1:7">
      <c r="A119">
        <v>117</v>
      </c>
      <c r="B119">
        <f t="shared" si="11"/>
        <v>82125.47244402529</v>
      </c>
      <c r="C119">
        <f t="shared" si="6"/>
        <v>342.18946851677202</v>
      </c>
      <c r="D119">
        <f t="shared" si="7"/>
        <v>536.82162301213975</v>
      </c>
      <c r="E119">
        <f t="shared" si="8"/>
        <v>194.63215449536781</v>
      </c>
      <c r="F119">
        <f t="shared" si="9"/>
        <v>342.18946851677202</v>
      </c>
      <c r="G119">
        <f t="shared" si="10"/>
        <v>81930.840289529922</v>
      </c>
    </row>
    <row r="120" spans="1:7">
      <c r="A120">
        <v>118</v>
      </c>
      <c r="B120">
        <f t="shared" si="11"/>
        <v>81930.840289529922</v>
      </c>
      <c r="C120">
        <f t="shared" si="6"/>
        <v>341.37850120637466</v>
      </c>
      <c r="D120">
        <f t="shared" si="7"/>
        <v>536.82162301213975</v>
      </c>
      <c r="E120">
        <f t="shared" si="8"/>
        <v>195.44312180576517</v>
      </c>
      <c r="F120">
        <f t="shared" si="9"/>
        <v>341.37850120637466</v>
      </c>
      <c r="G120">
        <f t="shared" si="10"/>
        <v>81735.39716772415</v>
      </c>
    </row>
    <row r="121" spans="1:7">
      <c r="A121">
        <v>119</v>
      </c>
      <c r="B121">
        <f t="shared" si="11"/>
        <v>81735.39716772415</v>
      </c>
      <c r="C121">
        <f t="shared" si="6"/>
        <v>340.56415486551731</v>
      </c>
      <c r="D121">
        <f t="shared" si="7"/>
        <v>536.82162301213975</v>
      </c>
      <c r="E121">
        <f t="shared" si="8"/>
        <v>196.25746814662253</v>
      </c>
      <c r="F121">
        <f t="shared" si="9"/>
        <v>340.56415486551737</v>
      </c>
      <c r="G121">
        <f t="shared" si="10"/>
        <v>81539.139699577529</v>
      </c>
    </row>
    <row r="122" spans="1:7">
      <c r="A122">
        <v>120</v>
      </c>
      <c r="B122">
        <f t="shared" si="11"/>
        <v>81539.139699577529</v>
      </c>
      <c r="C122">
        <f t="shared" si="6"/>
        <v>339.74641541490638</v>
      </c>
      <c r="D122">
        <f t="shared" si="7"/>
        <v>536.82162301213975</v>
      </c>
      <c r="E122">
        <f t="shared" si="8"/>
        <v>197.07520759723349</v>
      </c>
      <c r="F122">
        <f t="shared" si="9"/>
        <v>339.74641541490638</v>
      </c>
      <c r="G122">
        <f t="shared" si="10"/>
        <v>81342.064491980302</v>
      </c>
    </row>
    <row r="123" spans="1:7">
      <c r="A123">
        <v>121</v>
      </c>
      <c r="B123">
        <f t="shared" si="11"/>
        <v>81342.064491980302</v>
      </c>
      <c r="C123">
        <f t="shared" si="6"/>
        <v>338.92526871658458</v>
      </c>
      <c r="D123">
        <f t="shared" si="7"/>
        <v>536.82162301213975</v>
      </c>
      <c r="E123">
        <f t="shared" si="8"/>
        <v>197.89635429555523</v>
      </c>
      <c r="F123">
        <f t="shared" si="9"/>
        <v>338.92526871658458</v>
      </c>
      <c r="G123">
        <f t="shared" si="10"/>
        <v>81144.168137684741</v>
      </c>
    </row>
    <row r="124" spans="1:7">
      <c r="A124">
        <v>122</v>
      </c>
      <c r="B124">
        <f t="shared" si="11"/>
        <v>81144.168137684741</v>
      </c>
      <c r="C124">
        <f t="shared" si="6"/>
        <v>338.10070057368642</v>
      </c>
      <c r="D124">
        <f t="shared" si="7"/>
        <v>536.82162301213975</v>
      </c>
      <c r="E124">
        <f t="shared" si="8"/>
        <v>198.72092243845341</v>
      </c>
      <c r="F124">
        <f t="shared" si="9"/>
        <v>338.10070057368642</v>
      </c>
      <c r="G124">
        <f t="shared" si="10"/>
        <v>80945.447215246284</v>
      </c>
    </row>
    <row r="125" spans="1:7">
      <c r="A125">
        <v>123</v>
      </c>
      <c r="B125">
        <f t="shared" si="11"/>
        <v>80945.447215246284</v>
      </c>
      <c r="C125">
        <f t="shared" si="6"/>
        <v>337.27269673019282</v>
      </c>
      <c r="D125">
        <f t="shared" si="7"/>
        <v>536.82162301213975</v>
      </c>
      <c r="E125">
        <f t="shared" si="8"/>
        <v>199.54892628194693</v>
      </c>
      <c r="F125">
        <f t="shared" si="9"/>
        <v>337.27269673019288</v>
      </c>
      <c r="G125">
        <f t="shared" si="10"/>
        <v>80745.898288964338</v>
      </c>
    </row>
    <row r="126" spans="1:7">
      <c r="A126">
        <v>124</v>
      </c>
      <c r="B126">
        <f t="shared" si="11"/>
        <v>80745.898288964338</v>
      </c>
      <c r="C126">
        <f t="shared" si="6"/>
        <v>336.44124287068473</v>
      </c>
      <c r="D126">
        <f t="shared" si="7"/>
        <v>536.82162301213975</v>
      </c>
      <c r="E126">
        <f t="shared" si="8"/>
        <v>200.38038014145508</v>
      </c>
      <c r="F126">
        <f t="shared" si="9"/>
        <v>336.44124287068473</v>
      </c>
      <c r="G126">
        <f t="shared" si="10"/>
        <v>80545.517908822891</v>
      </c>
    </row>
    <row r="127" spans="1:7">
      <c r="A127">
        <v>125</v>
      </c>
      <c r="B127">
        <f t="shared" si="11"/>
        <v>80545.517908822891</v>
      </c>
      <c r="C127">
        <f t="shared" si="6"/>
        <v>335.60632462009539</v>
      </c>
      <c r="D127">
        <f t="shared" si="7"/>
        <v>536.82162301213975</v>
      </c>
      <c r="E127">
        <f t="shared" si="8"/>
        <v>201.21529839204445</v>
      </c>
      <c r="F127">
        <f t="shared" si="9"/>
        <v>335.60632462009539</v>
      </c>
      <c r="G127">
        <f t="shared" si="10"/>
        <v>80344.302610430852</v>
      </c>
    </row>
    <row r="128" spans="1:7">
      <c r="A128">
        <v>126</v>
      </c>
      <c r="B128">
        <f t="shared" si="11"/>
        <v>80344.302610430852</v>
      </c>
      <c r="C128">
        <f t="shared" si="6"/>
        <v>334.76792754346189</v>
      </c>
      <c r="D128">
        <f t="shared" si="7"/>
        <v>536.82162301213975</v>
      </c>
      <c r="E128">
        <f t="shared" si="8"/>
        <v>202.05369546867794</v>
      </c>
      <c r="F128">
        <f t="shared" si="9"/>
        <v>334.76792754346189</v>
      </c>
      <c r="G128">
        <f t="shared" si="10"/>
        <v>80142.248914962169</v>
      </c>
    </row>
    <row r="129" spans="1:7">
      <c r="A129">
        <v>127</v>
      </c>
      <c r="B129">
        <f t="shared" si="11"/>
        <v>80142.248914962169</v>
      </c>
      <c r="C129">
        <f t="shared" si="6"/>
        <v>333.92603714567571</v>
      </c>
      <c r="D129">
        <f t="shared" si="7"/>
        <v>536.82162301213975</v>
      </c>
      <c r="E129">
        <f t="shared" si="8"/>
        <v>202.89558586646413</v>
      </c>
      <c r="F129">
        <f t="shared" si="9"/>
        <v>333.92603714567571</v>
      </c>
      <c r="G129">
        <f t="shared" si="10"/>
        <v>79939.353329095698</v>
      </c>
    </row>
    <row r="130" spans="1:7">
      <c r="A130">
        <v>128</v>
      </c>
      <c r="B130">
        <f t="shared" si="11"/>
        <v>79939.353329095698</v>
      </c>
      <c r="C130">
        <f t="shared" si="6"/>
        <v>333.08063887123205</v>
      </c>
      <c r="D130">
        <f t="shared" si="7"/>
        <v>536.82162301213975</v>
      </c>
      <c r="E130">
        <f t="shared" si="8"/>
        <v>203.74098414090773</v>
      </c>
      <c r="F130">
        <f t="shared" si="9"/>
        <v>333.08063887123211</v>
      </c>
      <c r="G130">
        <f t="shared" si="10"/>
        <v>79735.612344954803</v>
      </c>
    </row>
    <row r="131" spans="1:7">
      <c r="A131">
        <v>129</v>
      </c>
      <c r="B131">
        <f t="shared" si="11"/>
        <v>79735.612344954803</v>
      </c>
      <c r="C131">
        <f t="shared" si="6"/>
        <v>332.23171810397832</v>
      </c>
      <c r="D131">
        <f t="shared" si="7"/>
        <v>536.82162301213975</v>
      </c>
      <c r="E131">
        <f t="shared" si="8"/>
        <v>204.58990490816149</v>
      </c>
      <c r="F131">
        <f t="shared" si="9"/>
        <v>332.23171810397832</v>
      </c>
      <c r="G131">
        <f t="shared" si="10"/>
        <v>79531.02244004664</v>
      </c>
    </row>
    <row r="132" spans="1:7">
      <c r="A132">
        <v>130</v>
      </c>
      <c r="B132">
        <f t="shared" si="11"/>
        <v>79531.02244004664</v>
      </c>
      <c r="C132">
        <f t="shared" ref="C132:C195" si="12">B132*($B$1/1200)</f>
        <v>331.379260166861</v>
      </c>
      <c r="D132">
        <f t="shared" ref="D132:D195" si="13">Monthly_payment($B$1,$D$1,$B$3)</f>
        <v>536.82162301213975</v>
      </c>
      <c r="E132">
        <f t="shared" ref="E132:E195" si="14">Principle_portion_of_payment($B$1,$D$1,A132,$B$3)</f>
        <v>205.44236284527886</v>
      </c>
      <c r="F132">
        <f t="shared" ref="F132:F195" si="15">Interest_portion_of_payment($B$1,$D$1,A132,$B$3)</f>
        <v>331.379260166861</v>
      </c>
      <c r="G132">
        <f t="shared" ref="G132:G195" si="16">Remaining_balance($B$1,$D$1,A132,$B$3)</f>
        <v>79325.580077201346</v>
      </c>
    </row>
    <row r="133" spans="1:7">
      <c r="A133">
        <v>131</v>
      </c>
      <c r="B133">
        <f t="shared" ref="B133:B196" si="17">G132</f>
        <v>79325.580077201346</v>
      </c>
      <c r="C133">
        <f t="shared" si="12"/>
        <v>330.52325032167226</v>
      </c>
      <c r="D133">
        <f t="shared" si="13"/>
        <v>536.82162301213975</v>
      </c>
      <c r="E133">
        <f t="shared" si="14"/>
        <v>206.29837269046749</v>
      </c>
      <c r="F133">
        <f t="shared" si="15"/>
        <v>330.52325032167226</v>
      </c>
      <c r="G133">
        <f t="shared" si="16"/>
        <v>79119.281704510897</v>
      </c>
    </row>
    <row r="134" spans="1:7">
      <c r="A134">
        <v>132</v>
      </c>
      <c r="B134">
        <f t="shared" si="17"/>
        <v>79119.281704510897</v>
      </c>
      <c r="C134">
        <f t="shared" si="12"/>
        <v>329.66367376879538</v>
      </c>
      <c r="D134">
        <f t="shared" si="13"/>
        <v>536.82162301213975</v>
      </c>
      <c r="E134">
        <f t="shared" si="14"/>
        <v>207.15794924334443</v>
      </c>
      <c r="F134">
        <f t="shared" si="15"/>
        <v>329.66367376879538</v>
      </c>
      <c r="G134">
        <f t="shared" si="16"/>
        <v>78912.123755267545</v>
      </c>
    </row>
    <row r="135" spans="1:7">
      <c r="A135">
        <v>133</v>
      </c>
      <c r="B135">
        <f t="shared" si="17"/>
        <v>78912.123755267545</v>
      </c>
      <c r="C135">
        <f t="shared" si="12"/>
        <v>328.8005156469481</v>
      </c>
      <c r="D135">
        <f t="shared" si="13"/>
        <v>536.82162301213975</v>
      </c>
      <c r="E135">
        <f t="shared" si="14"/>
        <v>208.02110736519171</v>
      </c>
      <c r="F135">
        <f t="shared" si="15"/>
        <v>328.80051564694816</v>
      </c>
      <c r="G135">
        <f t="shared" si="16"/>
        <v>78704.102647902357</v>
      </c>
    </row>
    <row r="136" spans="1:7">
      <c r="A136">
        <v>134</v>
      </c>
      <c r="B136">
        <f t="shared" si="17"/>
        <v>78704.102647902357</v>
      </c>
      <c r="C136">
        <f t="shared" si="12"/>
        <v>327.9337610329265</v>
      </c>
      <c r="D136">
        <f t="shared" si="13"/>
        <v>536.82162301213975</v>
      </c>
      <c r="E136">
        <f t="shared" si="14"/>
        <v>208.88786197921337</v>
      </c>
      <c r="F136">
        <f t="shared" si="15"/>
        <v>327.9337610329265</v>
      </c>
      <c r="G136">
        <f t="shared" si="16"/>
        <v>78495.214785923134</v>
      </c>
    </row>
    <row r="137" spans="1:7">
      <c r="A137">
        <v>135</v>
      </c>
      <c r="B137">
        <f t="shared" si="17"/>
        <v>78495.214785923134</v>
      </c>
      <c r="C137">
        <f t="shared" si="12"/>
        <v>327.06339494134636</v>
      </c>
      <c r="D137">
        <f t="shared" si="13"/>
        <v>536.82162301213975</v>
      </c>
      <c r="E137">
        <f t="shared" si="14"/>
        <v>209.75822807079339</v>
      </c>
      <c r="F137">
        <f t="shared" si="15"/>
        <v>327.06339494134636</v>
      </c>
      <c r="G137">
        <f t="shared" si="16"/>
        <v>78285.456557852347</v>
      </c>
    </row>
    <row r="138" spans="1:7">
      <c r="A138">
        <v>136</v>
      </c>
      <c r="B138">
        <f t="shared" si="17"/>
        <v>78285.456557852347</v>
      </c>
      <c r="C138">
        <f t="shared" si="12"/>
        <v>326.18940232438479</v>
      </c>
      <c r="D138">
        <f t="shared" si="13"/>
        <v>536.82162301213975</v>
      </c>
      <c r="E138">
        <f t="shared" si="14"/>
        <v>210.63222068775502</v>
      </c>
      <c r="F138">
        <f t="shared" si="15"/>
        <v>326.18940232438479</v>
      </c>
      <c r="G138">
        <f t="shared" si="16"/>
        <v>78074.824337164595</v>
      </c>
    </row>
    <row r="139" spans="1:7">
      <c r="A139">
        <v>137</v>
      </c>
      <c r="B139">
        <f t="shared" si="17"/>
        <v>78074.824337164595</v>
      </c>
      <c r="C139">
        <f t="shared" si="12"/>
        <v>325.31176807151917</v>
      </c>
      <c r="D139">
        <f t="shared" si="13"/>
        <v>536.82162301213975</v>
      </c>
      <c r="E139">
        <f t="shared" si="14"/>
        <v>211.5098549406207</v>
      </c>
      <c r="F139">
        <f t="shared" si="15"/>
        <v>325.31176807151917</v>
      </c>
      <c r="G139">
        <f t="shared" si="16"/>
        <v>77863.314482223985</v>
      </c>
    </row>
    <row r="140" spans="1:7">
      <c r="A140">
        <v>138</v>
      </c>
      <c r="B140">
        <f t="shared" si="17"/>
        <v>77863.314482223985</v>
      </c>
      <c r="C140">
        <f t="shared" si="12"/>
        <v>324.43047700926661</v>
      </c>
      <c r="D140">
        <f t="shared" si="13"/>
        <v>536.82162301213975</v>
      </c>
      <c r="E140">
        <f t="shared" si="14"/>
        <v>212.39114600287326</v>
      </c>
      <c r="F140">
        <f t="shared" si="15"/>
        <v>324.43047700926661</v>
      </c>
      <c r="G140">
        <f t="shared" si="16"/>
        <v>77650.923336221094</v>
      </c>
    </row>
    <row r="141" spans="1:7">
      <c r="A141">
        <v>139</v>
      </c>
      <c r="B141">
        <f t="shared" si="17"/>
        <v>77650.923336221094</v>
      </c>
      <c r="C141">
        <f t="shared" si="12"/>
        <v>323.54551390092121</v>
      </c>
      <c r="D141">
        <f t="shared" si="13"/>
        <v>536.82162301213975</v>
      </c>
      <c r="E141">
        <f t="shared" si="14"/>
        <v>213.2761091112186</v>
      </c>
      <c r="F141">
        <f t="shared" si="15"/>
        <v>323.54551390092126</v>
      </c>
      <c r="G141">
        <f t="shared" si="16"/>
        <v>77437.64722710989</v>
      </c>
    </row>
    <row r="142" spans="1:7">
      <c r="A142">
        <v>140</v>
      </c>
      <c r="B142">
        <f t="shared" si="17"/>
        <v>77437.64722710989</v>
      </c>
      <c r="C142">
        <f t="shared" si="12"/>
        <v>322.6568634462912</v>
      </c>
      <c r="D142">
        <f t="shared" si="13"/>
        <v>536.82162301213975</v>
      </c>
      <c r="E142">
        <f t="shared" si="14"/>
        <v>214.16475956584864</v>
      </c>
      <c r="F142">
        <f t="shared" si="15"/>
        <v>322.65686344629125</v>
      </c>
      <c r="G142">
        <f t="shared" si="16"/>
        <v>77223.482467544047</v>
      </c>
    </row>
    <row r="143" spans="1:7">
      <c r="A143">
        <v>141</v>
      </c>
      <c r="B143">
        <f t="shared" si="17"/>
        <v>77223.482467544047</v>
      </c>
      <c r="C143">
        <f t="shared" si="12"/>
        <v>321.7645102814335</v>
      </c>
      <c r="D143">
        <f t="shared" si="13"/>
        <v>536.82162301213975</v>
      </c>
      <c r="E143">
        <f t="shared" si="14"/>
        <v>215.05711273070634</v>
      </c>
      <c r="F143">
        <f t="shared" si="15"/>
        <v>321.76451028143356</v>
      </c>
      <c r="G143">
        <f t="shared" si="16"/>
        <v>77008.425354813342</v>
      </c>
    </row>
    <row r="144" spans="1:7">
      <c r="A144">
        <v>142</v>
      </c>
      <c r="B144">
        <f t="shared" si="17"/>
        <v>77008.425354813342</v>
      </c>
      <c r="C144">
        <f t="shared" si="12"/>
        <v>320.86843897838889</v>
      </c>
      <c r="D144">
        <f t="shared" si="13"/>
        <v>536.82162301213975</v>
      </c>
      <c r="E144">
        <f t="shared" si="14"/>
        <v>215.95318403375094</v>
      </c>
      <c r="F144">
        <f t="shared" si="15"/>
        <v>320.86843897838884</v>
      </c>
      <c r="G144">
        <f t="shared" si="16"/>
        <v>76792.472170779598</v>
      </c>
    </row>
    <row r="145" spans="1:7">
      <c r="A145">
        <v>143</v>
      </c>
      <c r="B145">
        <f t="shared" si="17"/>
        <v>76792.472170779598</v>
      </c>
      <c r="C145">
        <f t="shared" si="12"/>
        <v>319.96863404491501</v>
      </c>
      <c r="D145">
        <f t="shared" si="13"/>
        <v>536.82162301213975</v>
      </c>
      <c r="E145">
        <f t="shared" si="14"/>
        <v>216.85298896722489</v>
      </c>
      <c r="F145">
        <f t="shared" si="15"/>
        <v>319.96863404491495</v>
      </c>
      <c r="G145">
        <f t="shared" si="16"/>
        <v>76575.619181812348</v>
      </c>
    </row>
    <row r="146" spans="1:7">
      <c r="A146">
        <v>144</v>
      </c>
      <c r="B146">
        <f t="shared" si="17"/>
        <v>76575.619181812348</v>
      </c>
      <c r="C146">
        <f t="shared" si="12"/>
        <v>319.06507992421814</v>
      </c>
      <c r="D146">
        <f t="shared" si="13"/>
        <v>536.82162301213975</v>
      </c>
      <c r="E146">
        <f t="shared" si="14"/>
        <v>217.75654308792167</v>
      </c>
      <c r="F146">
        <f t="shared" si="15"/>
        <v>319.06507992421814</v>
      </c>
      <c r="G146">
        <f t="shared" si="16"/>
        <v>76357.862638724444</v>
      </c>
    </row>
    <row r="147" spans="1:7">
      <c r="A147">
        <v>145</v>
      </c>
      <c r="B147">
        <f t="shared" si="17"/>
        <v>76357.862638724444</v>
      </c>
      <c r="C147">
        <f t="shared" si="12"/>
        <v>318.15776099468519</v>
      </c>
      <c r="D147">
        <f t="shared" si="13"/>
        <v>536.82162301213975</v>
      </c>
      <c r="E147">
        <f t="shared" si="14"/>
        <v>218.6638620174547</v>
      </c>
      <c r="F147">
        <f t="shared" si="15"/>
        <v>318.15776099468513</v>
      </c>
      <c r="G147">
        <f t="shared" si="16"/>
        <v>76139.198776706995</v>
      </c>
    </row>
    <row r="148" spans="1:7">
      <c r="A148">
        <v>146</v>
      </c>
      <c r="B148">
        <f t="shared" si="17"/>
        <v>76139.198776706995</v>
      </c>
      <c r="C148">
        <f t="shared" si="12"/>
        <v>317.24666156961246</v>
      </c>
      <c r="D148">
        <f t="shared" si="13"/>
        <v>536.82162301213975</v>
      </c>
      <c r="E148">
        <f t="shared" si="14"/>
        <v>219.57496144252735</v>
      </c>
      <c r="F148">
        <f t="shared" si="15"/>
        <v>317.24666156961246</v>
      </c>
      <c r="G148">
        <f t="shared" si="16"/>
        <v>75919.623815264466</v>
      </c>
    </row>
    <row r="149" spans="1:7">
      <c r="A149">
        <v>147</v>
      </c>
      <c r="B149">
        <f t="shared" si="17"/>
        <v>75919.623815264466</v>
      </c>
      <c r="C149">
        <f t="shared" si="12"/>
        <v>316.33176589693528</v>
      </c>
      <c r="D149">
        <f t="shared" si="13"/>
        <v>536.82162301213975</v>
      </c>
      <c r="E149">
        <f t="shared" si="14"/>
        <v>220.48985711520461</v>
      </c>
      <c r="F149">
        <f t="shared" si="15"/>
        <v>316.33176589693528</v>
      </c>
      <c r="G149">
        <f t="shared" si="16"/>
        <v>75699.13395814925</v>
      </c>
    </row>
    <row r="150" spans="1:7">
      <c r="A150">
        <v>148</v>
      </c>
      <c r="B150">
        <f t="shared" si="17"/>
        <v>75699.13395814925</v>
      </c>
      <c r="C150">
        <f t="shared" si="12"/>
        <v>315.41305815895521</v>
      </c>
      <c r="D150">
        <f t="shared" si="13"/>
        <v>536.82162301213975</v>
      </c>
      <c r="E150">
        <f t="shared" si="14"/>
        <v>221.4085648531846</v>
      </c>
      <c r="F150">
        <f t="shared" si="15"/>
        <v>315.41305815895521</v>
      </c>
      <c r="G150">
        <f t="shared" si="16"/>
        <v>75477.725393296074</v>
      </c>
    </row>
    <row r="151" spans="1:7">
      <c r="A151">
        <v>149</v>
      </c>
      <c r="B151">
        <f t="shared" si="17"/>
        <v>75477.725393296074</v>
      </c>
      <c r="C151">
        <f t="shared" si="12"/>
        <v>314.49052247206697</v>
      </c>
      <c r="D151">
        <f t="shared" si="13"/>
        <v>536.82162301213975</v>
      </c>
      <c r="E151">
        <f t="shared" si="14"/>
        <v>222.3311005400729</v>
      </c>
      <c r="F151">
        <f t="shared" si="15"/>
        <v>314.49052247206697</v>
      </c>
      <c r="G151">
        <f t="shared" si="16"/>
        <v>75255.394292755998</v>
      </c>
    </row>
    <row r="152" spans="1:7">
      <c r="A152">
        <v>150</v>
      </c>
      <c r="B152">
        <f t="shared" si="17"/>
        <v>75255.394292755998</v>
      </c>
      <c r="C152">
        <f t="shared" si="12"/>
        <v>313.5641428864833</v>
      </c>
      <c r="D152">
        <f t="shared" si="13"/>
        <v>536.82162301213975</v>
      </c>
      <c r="E152">
        <f t="shared" si="14"/>
        <v>223.25748012565651</v>
      </c>
      <c r="F152">
        <f t="shared" si="15"/>
        <v>313.5641428864833</v>
      </c>
      <c r="G152">
        <f t="shared" si="16"/>
        <v>75032.136812630342</v>
      </c>
    </row>
    <row r="153" spans="1:7">
      <c r="A153">
        <v>151</v>
      </c>
      <c r="B153">
        <f t="shared" si="17"/>
        <v>75032.136812630342</v>
      </c>
      <c r="C153">
        <f t="shared" si="12"/>
        <v>312.63390338595974</v>
      </c>
      <c r="D153">
        <f t="shared" si="13"/>
        <v>536.82162301213975</v>
      </c>
      <c r="E153">
        <f t="shared" si="14"/>
        <v>224.1877196261801</v>
      </c>
      <c r="F153">
        <f t="shared" si="15"/>
        <v>312.6339033859598</v>
      </c>
      <c r="G153">
        <f t="shared" si="16"/>
        <v>74807.949093004165</v>
      </c>
    </row>
    <row r="154" spans="1:7">
      <c r="A154">
        <v>152</v>
      </c>
      <c r="B154">
        <f t="shared" si="17"/>
        <v>74807.949093004165</v>
      </c>
      <c r="C154">
        <f t="shared" si="12"/>
        <v>311.69978788751735</v>
      </c>
      <c r="D154">
        <f t="shared" si="13"/>
        <v>536.82162301213975</v>
      </c>
      <c r="E154">
        <f t="shared" si="14"/>
        <v>225.12183512462249</v>
      </c>
      <c r="F154">
        <f t="shared" si="15"/>
        <v>311.69978788751729</v>
      </c>
      <c r="G154">
        <f t="shared" si="16"/>
        <v>74582.827257879529</v>
      </c>
    </row>
    <row r="155" spans="1:7">
      <c r="A155">
        <v>153</v>
      </c>
      <c r="B155">
        <f t="shared" si="17"/>
        <v>74582.827257879529</v>
      </c>
      <c r="C155">
        <f t="shared" si="12"/>
        <v>310.76178024116473</v>
      </c>
      <c r="D155">
        <f t="shared" si="13"/>
        <v>536.82162301213975</v>
      </c>
      <c r="E155">
        <f t="shared" si="14"/>
        <v>226.05984277097508</v>
      </c>
      <c r="F155">
        <f t="shared" si="15"/>
        <v>310.76178024116473</v>
      </c>
      <c r="G155">
        <f t="shared" si="16"/>
        <v>74356.767415108567</v>
      </c>
    </row>
    <row r="156" spans="1:7">
      <c r="A156">
        <v>154</v>
      </c>
      <c r="B156">
        <f t="shared" si="17"/>
        <v>74356.767415108567</v>
      </c>
      <c r="C156">
        <f t="shared" si="12"/>
        <v>309.81986422961904</v>
      </c>
      <c r="D156">
        <f t="shared" si="13"/>
        <v>536.82162301213975</v>
      </c>
      <c r="E156">
        <f t="shared" si="14"/>
        <v>227.00175878252082</v>
      </c>
      <c r="F156">
        <f t="shared" si="15"/>
        <v>309.81986422961899</v>
      </c>
      <c r="G156">
        <f t="shared" si="16"/>
        <v>74129.765656326039</v>
      </c>
    </row>
    <row r="157" spans="1:7">
      <c r="A157">
        <v>155</v>
      </c>
      <c r="B157">
        <f t="shared" si="17"/>
        <v>74129.765656326039</v>
      </c>
      <c r="C157">
        <f t="shared" si="12"/>
        <v>308.87402356802517</v>
      </c>
      <c r="D157">
        <f t="shared" si="13"/>
        <v>536.82162301213975</v>
      </c>
      <c r="E157">
        <f t="shared" si="14"/>
        <v>227.94759944411462</v>
      </c>
      <c r="F157">
        <f t="shared" si="15"/>
        <v>308.87402356802517</v>
      </c>
      <c r="G157">
        <f t="shared" si="16"/>
        <v>73901.818056881923</v>
      </c>
    </row>
    <row r="158" spans="1:7">
      <c r="A158">
        <v>156</v>
      </c>
      <c r="B158">
        <f t="shared" si="17"/>
        <v>73901.818056881923</v>
      </c>
      <c r="C158">
        <f t="shared" si="12"/>
        <v>307.92424190367467</v>
      </c>
      <c r="D158">
        <f t="shared" si="13"/>
        <v>536.82162301213975</v>
      </c>
      <c r="E158">
        <f t="shared" si="14"/>
        <v>228.89738110846508</v>
      </c>
      <c r="F158">
        <f t="shared" si="15"/>
        <v>307.92424190367467</v>
      </c>
      <c r="G158">
        <f t="shared" si="16"/>
        <v>73672.920675773465</v>
      </c>
    </row>
    <row r="159" spans="1:7">
      <c r="A159">
        <v>157</v>
      </c>
      <c r="B159">
        <f t="shared" si="17"/>
        <v>73672.920675773465</v>
      </c>
      <c r="C159">
        <f t="shared" si="12"/>
        <v>306.97050281572274</v>
      </c>
      <c r="D159">
        <f t="shared" si="13"/>
        <v>536.82162301213975</v>
      </c>
      <c r="E159">
        <f t="shared" si="14"/>
        <v>229.85112019641707</v>
      </c>
      <c r="F159">
        <f t="shared" si="15"/>
        <v>306.9705028157228</v>
      </c>
      <c r="G159">
        <f t="shared" si="16"/>
        <v>73443.069555577065</v>
      </c>
    </row>
    <row r="160" spans="1:7">
      <c r="A160">
        <v>158</v>
      </c>
      <c r="B160">
        <f t="shared" si="17"/>
        <v>73443.069555577065</v>
      </c>
      <c r="C160">
        <f t="shared" si="12"/>
        <v>306.01278981490441</v>
      </c>
      <c r="D160">
        <f t="shared" si="13"/>
        <v>536.82162301213975</v>
      </c>
      <c r="E160">
        <f t="shared" si="14"/>
        <v>230.80883319723543</v>
      </c>
      <c r="F160">
        <f t="shared" si="15"/>
        <v>306.01278981490447</v>
      </c>
      <c r="G160">
        <f t="shared" si="16"/>
        <v>73212.260722379826</v>
      </c>
    </row>
    <row r="161" spans="1:7">
      <c r="A161">
        <v>159</v>
      </c>
      <c r="B161">
        <f t="shared" si="17"/>
        <v>73212.260722379826</v>
      </c>
      <c r="C161">
        <f t="shared" si="12"/>
        <v>305.05108634324927</v>
      </c>
      <c r="D161">
        <f t="shared" si="13"/>
        <v>536.82162301213975</v>
      </c>
      <c r="E161">
        <f t="shared" si="14"/>
        <v>231.7705366688906</v>
      </c>
      <c r="F161">
        <f t="shared" si="15"/>
        <v>305.05108634324927</v>
      </c>
      <c r="G161">
        <f t="shared" si="16"/>
        <v>72980.490185710936</v>
      </c>
    </row>
    <row r="162" spans="1:7">
      <c r="A162">
        <v>160</v>
      </c>
      <c r="B162">
        <f t="shared" si="17"/>
        <v>72980.490185710936</v>
      </c>
      <c r="C162">
        <f t="shared" si="12"/>
        <v>304.08537577379559</v>
      </c>
      <c r="D162">
        <f t="shared" si="13"/>
        <v>536.82162301213975</v>
      </c>
      <c r="E162">
        <f t="shared" si="14"/>
        <v>232.7362472383443</v>
      </c>
      <c r="F162">
        <f t="shared" si="15"/>
        <v>304.08537577379559</v>
      </c>
      <c r="G162">
        <f t="shared" si="16"/>
        <v>72747.753938472597</v>
      </c>
    </row>
    <row r="163" spans="1:7">
      <c r="A163">
        <v>161</v>
      </c>
      <c r="B163">
        <f t="shared" si="17"/>
        <v>72747.753938472597</v>
      </c>
      <c r="C163">
        <f t="shared" si="12"/>
        <v>303.11564141030249</v>
      </c>
      <c r="D163">
        <f t="shared" si="13"/>
        <v>536.82162301213975</v>
      </c>
      <c r="E163">
        <f t="shared" si="14"/>
        <v>233.70598160183738</v>
      </c>
      <c r="F163">
        <f t="shared" si="15"/>
        <v>303.11564141030243</v>
      </c>
      <c r="G163">
        <f t="shared" si="16"/>
        <v>72514.047956870752</v>
      </c>
    </row>
    <row r="164" spans="1:7">
      <c r="A164">
        <v>162</v>
      </c>
      <c r="B164">
        <f t="shared" si="17"/>
        <v>72514.047956870752</v>
      </c>
      <c r="C164">
        <f t="shared" si="12"/>
        <v>302.14186648696148</v>
      </c>
      <c r="D164">
        <f t="shared" si="13"/>
        <v>536.82162301213975</v>
      </c>
      <c r="E164">
        <f t="shared" si="14"/>
        <v>234.67975652517839</v>
      </c>
      <c r="F164">
        <f t="shared" si="15"/>
        <v>302.14186648696148</v>
      </c>
      <c r="G164">
        <f t="shared" si="16"/>
        <v>72279.368200345576</v>
      </c>
    </row>
    <row r="165" spans="1:7">
      <c r="A165">
        <v>163</v>
      </c>
      <c r="B165">
        <f t="shared" si="17"/>
        <v>72279.368200345576</v>
      </c>
      <c r="C165">
        <f t="shared" si="12"/>
        <v>301.16403416810658</v>
      </c>
      <c r="D165">
        <f t="shared" si="13"/>
        <v>536.82162301213975</v>
      </c>
      <c r="E165">
        <f t="shared" si="14"/>
        <v>235.65758884403331</v>
      </c>
      <c r="F165">
        <f t="shared" si="15"/>
        <v>301.16403416810653</v>
      </c>
      <c r="G165">
        <f t="shared" si="16"/>
        <v>72043.710611501549</v>
      </c>
    </row>
    <row r="166" spans="1:7">
      <c r="A166">
        <v>164</v>
      </c>
      <c r="B166">
        <f t="shared" si="17"/>
        <v>72043.710611501549</v>
      </c>
      <c r="C166">
        <f t="shared" si="12"/>
        <v>300.18212754792313</v>
      </c>
      <c r="D166">
        <f t="shared" si="13"/>
        <v>536.82162301213975</v>
      </c>
      <c r="E166">
        <f t="shared" si="14"/>
        <v>236.63949546421679</v>
      </c>
      <c r="F166">
        <f t="shared" si="15"/>
        <v>300.18212754792307</v>
      </c>
      <c r="G166">
        <f t="shared" si="16"/>
        <v>71807.071116037318</v>
      </c>
    </row>
    <row r="167" spans="1:7">
      <c r="A167">
        <v>165</v>
      </c>
      <c r="B167">
        <f t="shared" si="17"/>
        <v>71807.071116037318</v>
      </c>
      <c r="C167">
        <f t="shared" si="12"/>
        <v>299.19612965015551</v>
      </c>
      <c r="D167">
        <f t="shared" si="13"/>
        <v>536.82162301213975</v>
      </c>
      <c r="E167">
        <f t="shared" si="14"/>
        <v>237.62549336198433</v>
      </c>
      <c r="F167">
        <f t="shared" si="15"/>
        <v>299.19612965015551</v>
      </c>
      <c r="G167">
        <f t="shared" si="16"/>
        <v>71569.445622675339</v>
      </c>
    </row>
    <row r="168" spans="1:7">
      <c r="A168">
        <v>166</v>
      </c>
      <c r="B168">
        <f t="shared" si="17"/>
        <v>71569.445622675339</v>
      </c>
      <c r="C168">
        <f t="shared" si="12"/>
        <v>298.20602342781393</v>
      </c>
      <c r="D168">
        <f t="shared" si="13"/>
        <v>536.82162301213975</v>
      </c>
      <c r="E168">
        <f t="shared" si="14"/>
        <v>238.61559958432593</v>
      </c>
      <c r="F168">
        <f t="shared" si="15"/>
        <v>298.20602342781393</v>
      </c>
      <c r="G168">
        <f t="shared" si="16"/>
        <v>71330.830023091024</v>
      </c>
    </row>
    <row r="169" spans="1:7">
      <c r="A169">
        <v>167</v>
      </c>
      <c r="B169">
        <f t="shared" si="17"/>
        <v>71330.830023091024</v>
      </c>
      <c r="C169">
        <f t="shared" si="12"/>
        <v>297.21179176287927</v>
      </c>
      <c r="D169">
        <f t="shared" si="13"/>
        <v>536.82162301213975</v>
      </c>
      <c r="E169">
        <f t="shared" si="14"/>
        <v>239.60983124926062</v>
      </c>
      <c r="F169">
        <f t="shared" si="15"/>
        <v>297.21179176287922</v>
      </c>
      <c r="G169">
        <f t="shared" si="16"/>
        <v>71091.220191841741</v>
      </c>
    </row>
    <row r="170" spans="1:7">
      <c r="A170">
        <v>168</v>
      </c>
      <c r="B170">
        <f t="shared" si="17"/>
        <v>71091.220191841741</v>
      </c>
      <c r="C170">
        <f t="shared" si="12"/>
        <v>296.21341746600723</v>
      </c>
      <c r="D170">
        <f t="shared" si="13"/>
        <v>536.82162301213975</v>
      </c>
      <c r="E170">
        <f t="shared" si="14"/>
        <v>240.60820554613252</v>
      </c>
      <c r="F170">
        <f t="shared" si="15"/>
        <v>296.21341746600723</v>
      </c>
      <c r="G170">
        <f t="shared" si="16"/>
        <v>70850.611986295626</v>
      </c>
    </row>
    <row r="171" spans="1:7">
      <c r="A171">
        <v>169</v>
      </c>
      <c r="B171">
        <f t="shared" si="17"/>
        <v>70850.611986295626</v>
      </c>
      <c r="C171">
        <f t="shared" si="12"/>
        <v>295.21088327623175</v>
      </c>
      <c r="D171">
        <f t="shared" si="13"/>
        <v>536.82162301213975</v>
      </c>
      <c r="E171">
        <f t="shared" si="14"/>
        <v>241.61073973590803</v>
      </c>
      <c r="F171">
        <f t="shared" si="15"/>
        <v>295.21088327623181</v>
      </c>
      <c r="G171">
        <f t="shared" si="16"/>
        <v>70609.00124655971</v>
      </c>
    </row>
    <row r="172" spans="1:7">
      <c r="A172">
        <v>170</v>
      </c>
      <c r="B172">
        <f t="shared" si="17"/>
        <v>70609.00124655971</v>
      </c>
      <c r="C172">
        <f t="shared" si="12"/>
        <v>294.20417186066544</v>
      </c>
      <c r="D172">
        <f t="shared" si="13"/>
        <v>536.82162301213975</v>
      </c>
      <c r="E172">
        <f t="shared" si="14"/>
        <v>242.61745115147434</v>
      </c>
      <c r="F172">
        <f t="shared" si="15"/>
        <v>294.20417186066544</v>
      </c>
      <c r="G172">
        <f t="shared" si="16"/>
        <v>70366.383795408241</v>
      </c>
    </row>
    <row r="173" spans="1:7">
      <c r="A173">
        <v>171</v>
      </c>
      <c r="B173">
        <f t="shared" si="17"/>
        <v>70366.383795408241</v>
      </c>
      <c r="C173">
        <f t="shared" si="12"/>
        <v>293.19326581420103</v>
      </c>
      <c r="D173">
        <f t="shared" si="13"/>
        <v>536.82162301213975</v>
      </c>
      <c r="E173">
        <f t="shared" si="14"/>
        <v>243.62835719793884</v>
      </c>
      <c r="F173">
        <f t="shared" si="15"/>
        <v>293.19326581420103</v>
      </c>
      <c r="G173">
        <f t="shared" si="16"/>
        <v>70122.755438210312</v>
      </c>
    </row>
    <row r="174" spans="1:7">
      <c r="A174">
        <v>172</v>
      </c>
      <c r="B174">
        <f t="shared" si="17"/>
        <v>70122.755438210312</v>
      </c>
      <c r="C174">
        <f t="shared" si="12"/>
        <v>292.17814765920963</v>
      </c>
      <c r="D174">
        <f t="shared" si="13"/>
        <v>536.82162301213975</v>
      </c>
      <c r="E174">
        <f t="shared" si="14"/>
        <v>244.64347535293024</v>
      </c>
      <c r="F174">
        <f t="shared" si="15"/>
        <v>292.17814765920963</v>
      </c>
      <c r="G174">
        <f t="shared" si="16"/>
        <v>69878.111962857365</v>
      </c>
    </row>
    <row r="175" spans="1:7">
      <c r="A175">
        <v>173</v>
      </c>
      <c r="B175">
        <f t="shared" si="17"/>
        <v>69878.111962857365</v>
      </c>
      <c r="C175">
        <f t="shared" si="12"/>
        <v>291.158799845239</v>
      </c>
      <c r="D175">
        <f t="shared" si="13"/>
        <v>536.82162301213975</v>
      </c>
      <c r="E175">
        <f t="shared" si="14"/>
        <v>245.66282316690081</v>
      </c>
      <c r="F175">
        <f t="shared" si="15"/>
        <v>291.15879984523906</v>
      </c>
      <c r="G175">
        <f t="shared" si="16"/>
        <v>69632.449139690492</v>
      </c>
    </row>
    <row r="176" spans="1:7">
      <c r="A176">
        <v>174</v>
      </c>
      <c r="B176">
        <f t="shared" si="17"/>
        <v>69632.449139690492</v>
      </c>
      <c r="C176">
        <f t="shared" si="12"/>
        <v>290.13520474871041</v>
      </c>
      <c r="D176">
        <f t="shared" si="13"/>
        <v>536.82162301213975</v>
      </c>
      <c r="E176">
        <f t="shared" si="14"/>
        <v>246.68641826342949</v>
      </c>
      <c r="F176">
        <f t="shared" si="15"/>
        <v>290.13520474871035</v>
      </c>
      <c r="G176">
        <f t="shared" si="16"/>
        <v>69385.762721427047</v>
      </c>
    </row>
    <row r="177" spans="1:7">
      <c r="A177">
        <v>175</v>
      </c>
      <c r="B177">
        <f t="shared" si="17"/>
        <v>69385.762721427047</v>
      </c>
      <c r="C177">
        <f t="shared" si="12"/>
        <v>289.10734467261267</v>
      </c>
      <c r="D177">
        <f t="shared" si="13"/>
        <v>536.82162301213975</v>
      </c>
      <c r="E177">
        <f t="shared" si="14"/>
        <v>247.71427833952717</v>
      </c>
      <c r="F177">
        <f t="shared" si="15"/>
        <v>289.10734467261267</v>
      </c>
      <c r="G177">
        <f t="shared" si="16"/>
        <v>69138.048443087537</v>
      </c>
    </row>
    <row r="178" spans="1:7">
      <c r="A178">
        <v>176</v>
      </c>
      <c r="B178">
        <f t="shared" si="17"/>
        <v>69138.048443087537</v>
      </c>
      <c r="C178">
        <f t="shared" si="12"/>
        <v>288.07520184619807</v>
      </c>
      <c r="D178">
        <f t="shared" si="13"/>
        <v>536.82162301213975</v>
      </c>
      <c r="E178">
        <f t="shared" si="14"/>
        <v>248.74642116594183</v>
      </c>
      <c r="F178">
        <f t="shared" si="15"/>
        <v>288.07520184619801</v>
      </c>
      <c r="G178">
        <f t="shared" si="16"/>
        <v>68889.302021921583</v>
      </c>
    </row>
    <row r="179" spans="1:7">
      <c r="A179">
        <v>177</v>
      </c>
      <c r="B179">
        <f t="shared" si="17"/>
        <v>68889.302021921583</v>
      </c>
      <c r="C179">
        <f t="shared" si="12"/>
        <v>287.03875842467323</v>
      </c>
      <c r="D179">
        <f t="shared" si="13"/>
        <v>536.82162301213975</v>
      </c>
      <c r="E179">
        <f t="shared" si="14"/>
        <v>249.78286458746661</v>
      </c>
      <c r="F179">
        <f t="shared" si="15"/>
        <v>287.03875842467323</v>
      </c>
      <c r="G179">
        <f t="shared" si="16"/>
        <v>68639.519157334114</v>
      </c>
    </row>
    <row r="180" spans="1:7">
      <c r="A180">
        <v>178</v>
      </c>
      <c r="B180">
        <f t="shared" si="17"/>
        <v>68639.519157334114</v>
      </c>
      <c r="C180">
        <f t="shared" si="12"/>
        <v>285.99799648889211</v>
      </c>
      <c r="D180">
        <f t="shared" si="13"/>
        <v>536.82162301213975</v>
      </c>
      <c r="E180">
        <f t="shared" si="14"/>
        <v>250.8236265232477</v>
      </c>
      <c r="F180">
        <f t="shared" si="15"/>
        <v>285.99799648889217</v>
      </c>
      <c r="G180">
        <f t="shared" si="16"/>
        <v>68388.695530810859</v>
      </c>
    </row>
    <row r="181" spans="1:7">
      <c r="A181">
        <v>179</v>
      </c>
      <c r="B181">
        <f t="shared" si="17"/>
        <v>68388.695530810859</v>
      </c>
      <c r="C181">
        <f t="shared" si="12"/>
        <v>284.95289804504523</v>
      </c>
      <c r="D181">
        <f t="shared" si="13"/>
        <v>536.82162301213975</v>
      </c>
      <c r="E181">
        <f t="shared" si="14"/>
        <v>251.86872496709458</v>
      </c>
      <c r="F181">
        <f t="shared" si="15"/>
        <v>284.95289804504529</v>
      </c>
      <c r="G181">
        <f t="shared" si="16"/>
        <v>68136.826805843768</v>
      </c>
    </row>
    <row r="182" spans="1:7">
      <c r="A182">
        <v>180</v>
      </c>
      <c r="B182">
        <f t="shared" si="17"/>
        <v>68136.826805843768</v>
      </c>
      <c r="C182">
        <f t="shared" si="12"/>
        <v>283.90344502434903</v>
      </c>
      <c r="D182">
        <f t="shared" si="13"/>
        <v>536.82162301213975</v>
      </c>
      <c r="E182">
        <f t="shared" si="14"/>
        <v>252.91817798779076</v>
      </c>
      <c r="F182">
        <f t="shared" si="15"/>
        <v>283.90344502434897</v>
      </c>
      <c r="G182">
        <f t="shared" si="16"/>
        <v>67883.908627855984</v>
      </c>
    </row>
    <row r="183" spans="1:7">
      <c r="A183">
        <v>181</v>
      </c>
      <c r="B183">
        <f t="shared" si="17"/>
        <v>67883.908627855984</v>
      </c>
      <c r="C183">
        <f t="shared" si="12"/>
        <v>282.84961928273327</v>
      </c>
      <c r="D183">
        <f t="shared" si="13"/>
        <v>536.82162301213975</v>
      </c>
      <c r="E183">
        <f t="shared" si="14"/>
        <v>253.97200372940659</v>
      </c>
      <c r="F183">
        <f t="shared" si="15"/>
        <v>282.84961928273327</v>
      </c>
      <c r="G183">
        <f t="shared" si="16"/>
        <v>67629.936624126567</v>
      </c>
    </row>
    <row r="184" spans="1:7">
      <c r="A184">
        <v>182</v>
      </c>
      <c r="B184">
        <f t="shared" si="17"/>
        <v>67629.936624126567</v>
      </c>
      <c r="C184">
        <f t="shared" si="12"/>
        <v>281.79140260052736</v>
      </c>
      <c r="D184">
        <f t="shared" si="13"/>
        <v>536.82162301213975</v>
      </c>
      <c r="E184">
        <f t="shared" si="14"/>
        <v>255.03022041161242</v>
      </c>
      <c r="F184">
        <f t="shared" si="15"/>
        <v>281.79140260052736</v>
      </c>
      <c r="G184">
        <f t="shared" si="16"/>
        <v>67374.90640371498</v>
      </c>
    </row>
    <row r="185" spans="1:7">
      <c r="A185">
        <v>183</v>
      </c>
      <c r="B185">
        <f t="shared" si="17"/>
        <v>67374.90640371498</v>
      </c>
      <c r="C185">
        <f t="shared" si="12"/>
        <v>280.72877668214574</v>
      </c>
      <c r="D185">
        <f t="shared" si="13"/>
        <v>536.82162301213975</v>
      </c>
      <c r="E185">
        <f t="shared" si="14"/>
        <v>256.09284632999413</v>
      </c>
      <c r="F185">
        <f t="shared" si="15"/>
        <v>280.72877668214568</v>
      </c>
      <c r="G185">
        <f t="shared" si="16"/>
        <v>67118.813557384958</v>
      </c>
    </row>
    <row r="186" spans="1:7">
      <c r="A186">
        <v>184</v>
      </c>
      <c r="B186">
        <f t="shared" si="17"/>
        <v>67118.813557384958</v>
      </c>
      <c r="C186">
        <f t="shared" si="12"/>
        <v>279.66172315577063</v>
      </c>
      <c r="D186">
        <f t="shared" si="13"/>
        <v>536.82162301213975</v>
      </c>
      <c r="E186">
        <f t="shared" si="14"/>
        <v>257.15989985636912</v>
      </c>
      <c r="F186">
        <f t="shared" si="15"/>
        <v>279.66172315577069</v>
      </c>
      <c r="G186">
        <f t="shared" si="16"/>
        <v>66861.653657528601</v>
      </c>
    </row>
    <row r="187" spans="1:7">
      <c r="A187">
        <v>185</v>
      </c>
      <c r="B187">
        <f t="shared" si="17"/>
        <v>66861.653657528601</v>
      </c>
      <c r="C187">
        <f t="shared" si="12"/>
        <v>278.59022357303581</v>
      </c>
      <c r="D187">
        <f t="shared" si="13"/>
        <v>536.82162301213975</v>
      </c>
      <c r="E187">
        <f t="shared" si="14"/>
        <v>258.231399439104</v>
      </c>
      <c r="F187">
        <f t="shared" si="15"/>
        <v>278.59022357303581</v>
      </c>
      <c r="G187">
        <f t="shared" si="16"/>
        <v>66603.4222580895</v>
      </c>
    </row>
    <row r="188" spans="1:7">
      <c r="A188">
        <v>186</v>
      </c>
      <c r="B188">
        <f t="shared" si="17"/>
        <v>66603.4222580895</v>
      </c>
      <c r="C188">
        <f t="shared" si="12"/>
        <v>277.51425940870627</v>
      </c>
      <c r="D188">
        <f t="shared" si="13"/>
        <v>536.82162301213975</v>
      </c>
      <c r="E188">
        <f t="shared" si="14"/>
        <v>259.3073636034336</v>
      </c>
      <c r="F188">
        <f t="shared" si="15"/>
        <v>277.51425940870627</v>
      </c>
      <c r="G188">
        <f t="shared" si="16"/>
        <v>66344.114894486062</v>
      </c>
    </row>
    <row r="189" spans="1:7">
      <c r="A189">
        <v>187</v>
      </c>
      <c r="B189">
        <f t="shared" si="17"/>
        <v>66344.114894486062</v>
      </c>
      <c r="C189">
        <f t="shared" si="12"/>
        <v>276.4338120603586</v>
      </c>
      <c r="D189">
        <f t="shared" si="13"/>
        <v>536.82162301213975</v>
      </c>
      <c r="E189">
        <f t="shared" si="14"/>
        <v>260.3878109517812</v>
      </c>
      <c r="F189">
        <f t="shared" si="15"/>
        <v>276.43381206035855</v>
      </c>
      <c r="G189">
        <f t="shared" si="16"/>
        <v>66083.727083534279</v>
      </c>
    </row>
    <row r="190" spans="1:7">
      <c r="A190">
        <v>188</v>
      </c>
      <c r="B190">
        <f t="shared" si="17"/>
        <v>66083.727083534279</v>
      </c>
      <c r="C190">
        <f t="shared" si="12"/>
        <v>275.34886284805947</v>
      </c>
      <c r="D190">
        <f t="shared" si="13"/>
        <v>536.82162301213975</v>
      </c>
      <c r="E190">
        <f t="shared" si="14"/>
        <v>261.47276016408028</v>
      </c>
      <c r="F190">
        <f t="shared" si="15"/>
        <v>275.34886284805947</v>
      </c>
      <c r="G190">
        <f t="shared" si="16"/>
        <v>65822.254323370216</v>
      </c>
    </row>
    <row r="191" spans="1:7">
      <c r="A191">
        <v>189</v>
      </c>
      <c r="B191">
        <f t="shared" si="17"/>
        <v>65822.254323370216</v>
      </c>
      <c r="C191">
        <f t="shared" si="12"/>
        <v>274.25939301404259</v>
      </c>
      <c r="D191">
        <f t="shared" si="13"/>
        <v>536.82162301213975</v>
      </c>
      <c r="E191">
        <f t="shared" si="14"/>
        <v>262.56222999809728</v>
      </c>
      <c r="F191">
        <f t="shared" si="15"/>
        <v>274.25939301404253</v>
      </c>
      <c r="G191">
        <f t="shared" si="16"/>
        <v>65559.692093372112</v>
      </c>
    </row>
    <row r="192" spans="1:7">
      <c r="A192">
        <v>190</v>
      </c>
      <c r="B192">
        <f t="shared" si="17"/>
        <v>65559.692093372112</v>
      </c>
      <c r="C192">
        <f t="shared" si="12"/>
        <v>273.16538372238381</v>
      </c>
      <c r="D192">
        <f t="shared" si="13"/>
        <v>536.82162301213975</v>
      </c>
      <c r="E192">
        <f t="shared" si="14"/>
        <v>263.65623928975606</v>
      </c>
      <c r="F192">
        <f t="shared" si="15"/>
        <v>273.16538372238375</v>
      </c>
      <c r="G192">
        <f t="shared" si="16"/>
        <v>65296.035854082358</v>
      </c>
    </row>
    <row r="193" spans="1:7">
      <c r="A193">
        <v>191</v>
      </c>
      <c r="B193">
        <f t="shared" si="17"/>
        <v>65296.035854082358</v>
      </c>
      <c r="C193">
        <f t="shared" si="12"/>
        <v>272.06681605867647</v>
      </c>
      <c r="D193">
        <f t="shared" si="13"/>
        <v>536.82162301213975</v>
      </c>
      <c r="E193">
        <f t="shared" si="14"/>
        <v>264.75480695346334</v>
      </c>
      <c r="F193">
        <f t="shared" si="15"/>
        <v>272.06681605867647</v>
      </c>
      <c r="G193">
        <f t="shared" si="16"/>
        <v>65031.281047128898</v>
      </c>
    </row>
    <row r="194" spans="1:7">
      <c r="A194">
        <v>192</v>
      </c>
      <c r="B194">
        <f t="shared" si="17"/>
        <v>65031.281047128898</v>
      </c>
      <c r="C194">
        <f t="shared" si="12"/>
        <v>270.96367102970373</v>
      </c>
      <c r="D194">
        <f t="shared" si="13"/>
        <v>536.82162301213975</v>
      </c>
      <c r="E194">
        <f t="shared" si="14"/>
        <v>265.85795198243613</v>
      </c>
      <c r="F194">
        <f t="shared" si="15"/>
        <v>270.96367102970368</v>
      </c>
      <c r="G194">
        <f t="shared" si="16"/>
        <v>64765.423095146471</v>
      </c>
    </row>
    <row r="195" spans="1:7">
      <c r="A195">
        <v>193</v>
      </c>
      <c r="B195">
        <f t="shared" si="17"/>
        <v>64765.423095146471</v>
      </c>
      <c r="C195">
        <f t="shared" si="12"/>
        <v>269.85592956311029</v>
      </c>
      <c r="D195">
        <f t="shared" si="13"/>
        <v>536.82162301213975</v>
      </c>
      <c r="E195">
        <f t="shared" si="14"/>
        <v>266.96569344902957</v>
      </c>
      <c r="F195">
        <f t="shared" si="15"/>
        <v>269.85592956311024</v>
      </c>
      <c r="G195">
        <f t="shared" si="16"/>
        <v>64498.457401697429</v>
      </c>
    </row>
    <row r="196" spans="1:7">
      <c r="A196">
        <v>194</v>
      </c>
      <c r="B196">
        <f t="shared" si="17"/>
        <v>64498.457401697429</v>
      </c>
      <c r="C196">
        <f t="shared" ref="C196:C259" si="18">B196*($B$1/1200)</f>
        <v>268.7435725070726</v>
      </c>
      <c r="D196">
        <f t="shared" ref="D196:D259" si="19">Monthly_payment($B$1,$D$1,$B$3)</f>
        <v>536.82162301213975</v>
      </c>
      <c r="E196">
        <f t="shared" ref="E196:E259" si="20">Principle_portion_of_payment($B$1,$D$1,A196,$B$3)</f>
        <v>268.07805050506715</v>
      </c>
      <c r="F196">
        <f t="shared" ref="F196:F259" si="21">Interest_portion_of_payment($B$1,$D$1,A196,$B$3)</f>
        <v>268.74357250707266</v>
      </c>
      <c r="G196">
        <f t="shared" ref="G196:G259" si="22">Remaining_balance($B$1,$D$1,A196,$B$3)</f>
        <v>64230.379351192365</v>
      </c>
    </row>
    <row r="197" spans="1:7">
      <c r="A197">
        <v>195</v>
      </c>
      <c r="B197">
        <f t="shared" ref="B197:B260" si="23">G196</f>
        <v>64230.379351192365</v>
      </c>
      <c r="C197">
        <f t="shared" si="18"/>
        <v>267.6265806299682</v>
      </c>
      <c r="D197">
        <f t="shared" si="19"/>
        <v>536.82162301213975</v>
      </c>
      <c r="E197">
        <f t="shared" si="20"/>
        <v>269.19504238217166</v>
      </c>
      <c r="F197">
        <f t="shared" si="21"/>
        <v>267.62658062996815</v>
      </c>
      <c r="G197">
        <f t="shared" si="22"/>
        <v>63961.184308810196</v>
      </c>
    </row>
    <row r="198" spans="1:7">
      <c r="A198">
        <v>196</v>
      </c>
      <c r="B198">
        <f t="shared" si="23"/>
        <v>63961.184308810196</v>
      </c>
      <c r="C198">
        <f t="shared" si="18"/>
        <v>266.50493462004249</v>
      </c>
      <c r="D198">
        <f t="shared" si="19"/>
        <v>536.82162301213975</v>
      </c>
      <c r="E198">
        <f t="shared" si="20"/>
        <v>270.31668839209738</v>
      </c>
      <c r="F198">
        <f t="shared" si="21"/>
        <v>266.50493462004249</v>
      </c>
      <c r="G198">
        <f t="shared" si="22"/>
        <v>63690.867620418103</v>
      </c>
    </row>
    <row r="199" spans="1:7">
      <c r="A199">
        <v>197</v>
      </c>
      <c r="B199">
        <f t="shared" si="23"/>
        <v>63690.867620418103</v>
      </c>
      <c r="C199">
        <f t="shared" si="18"/>
        <v>265.37861508507541</v>
      </c>
      <c r="D199">
        <f t="shared" si="19"/>
        <v>536.82162301213975</v>
      </c>
      <c r="E199">
        <f t="shared" si="20"/>
        <v>271.4430079270644</v>
      </c>
      <c r="F199">
        <f t="shared" si="21"/>
        <v>265.37861508507541</v>
      </c>
      <c r="G199">
        <f t="shared" si="22"/>
        <v>63419.424612491035</v>
      </c>
    </row>
    <row r="200" spans="1:7">
      <c r="A200">
        <v>198</v>
      </c>
      <c r="B200">
        <f t="shared" si="23"/>
        <v>63419.424612491035</v>
      </c>
      <c r="C200">
        <f t="shared" si="18"/>
        <v>264.24760255204598</v>
      </c>
      <c r="D200">
        <f t="shared" si="19"/>
        <v>536.82162301213975</v>
      </c>
      <c r="E200">
        <f t="shared" si="20"/>
        <v>272.57402046009383</v>
      </c>
      <c r="F200">
        <f t="shared" si="21"/>
        <v>264.24760255204603</v>
      </c>
      <c r="G200">
        <f t="shared" si="22"/>
        <v>63146.850592030947</v>
      </c>
    </row>
    <row r="201" spans="1:7">
      <c r="A201">
        <v>199</v>
      </c>
      <c r="B201">
        <f t="shared" si="23"/>
        <v>63146.850592030947</v>
      </c>
      <c r="C201">
        <f t="shared" si="18"/>
        <v>263.11187746679559</v>
      </c>
      <c r="D201">
        <f t="shared" si="19"/>
        <v>536.82162301213975</v>
      </c>
      <c r="E201">
        <f t="shared" si="20"/>
        <v>273.70974554534422</v>
      </c>
      <c r="F201">
        <f t="shared" si="21"/>
        <v>263.11187746679559</v>
      </c>
      <c r="G201">
        <f t="shared" si="22"/>
        <v>62873.140846485599</v>
      </c>
    </row>
    <row r="202" spans="1:7">
      <c r="A202">
        <v>200</v>
      </c>
      <c r="B202">
        <f t="shared" si="23"/>
        <v>62873.140846485599</v>
      </c>
      <c r="C202">
        <f t="shared" si="18"/>
        <v>261.97142019368999</v>
      </c>
      <c r="D202">
        <f t="shared" si="19"/>
        <v>536.82162301213975</v>
      </c>
      <c r="E202">
        <f t="shared" si="20"/>
        <v>274.85020281844987</v>
      </c>
      <c r="F202">
        <f t="shared" si="21"/>
        <v>261.97142019368999</v>
      </c>
      <c r="G202">
        <f t="shared" si="22"/>
        <v>62598.29064366714</v>
      </c>
    </row>
    <row r="203" spans="1:7">
      <c r="A203">
        <v>201</v>
      </c>
      <c r="B203">
        <f t="shared" si="23"/>
        <v>62598.29064366714</v>
      </c>
      <c r="C203">
        <f t="shared" si="18"/>
        <v>260.82621101527974</v>
      </c>
      <c r="D203">
        <f t="shared" si="19"/>
        <v>536.82162301213975</v>
      </c>
      <c r="E203">
        <f t="shared" si="20"/>
        <v>275.99541199686001</v>
      </c>
      <c r="F203">
        <f t="shared" si="21"/>
        <v>260.8262110152798</v>
      </c>
      <c r="G203">
        <f t="shared" si="22"/>
        <v>62322.295231670287</v>
      </c>
    </row>
    <row r="204" spans="1:7">
      <c r="A204">
        <v>202</v>
      </c>
      <c r="B204">
        <f t="shared" si="23"/>
        <v>62322.295231670287</v>
      </c>
      <c r="C204">
        <f t="shared" si="18"/>
        <v>259.67623013195953</v>
      </c>
      <c r="D204">
        <f t="shared" si="19"/>
        <v>536.82162301213975</v>
      </c>
      <c r="E204">
        <f t="shared" si="20"/>
        <v>277.14539288018028</v>
      </c>
      <c r="F204">
        <f t="shared" si="21"/>
        <v>259.67623013195953</v>
      </c>
      <c r="G204">
        <f t="shared" si="22"/>
        <v>62045.149838790116</v>
      </c>
    </row>
    <row r="205" spans="1:7">
      <c r="A205">
        <v>203</v>
      </c>
      <c r="B205">
        <f t="shared" si="23"/>
        <v>62045.149838790116</v>
      </c>
      <c r="C205">
        <f t="shared" si="18"/>
        <v>258.5214576616255</v>
      </c>
      <c r="D205">
        <f t="shared" si="19"/>
        <v>536.82162301213975</v>
      </c>
      <c r="E205">
        <f t="shared" si="20"/>
        <v>278.30016535051436</v>
      </c>
      <c r="F205">
        <f t="shared" si="21"/>
        <v>258.52145766162545</v>
      </c>
      <c r="G205">
        <f t="shared" si="22"/>
        <v>61766.849673439596</v>
      </c>
    </row>
    <row r="206" spans="1:7">
      <c r="A206">
        <v>204</v>
      </c>
      <c r="B206">
        <f t="shared" si="23"/>
        <v>61766.849673439596</v>
      </c>
      <c r="C206">
        <f t="shared" si="18"/>
        <v>257.36187363933163</v>
      </c>
      <c r="D206">
        <f t="shared" si="19"/>
        <v>536.82162301213975</v>
      </c>
      <c r="E206">
        <f t="shared" si="20"/>
        <v>279.45974937280818</v>
      </c>
      <c r="F206">
        <f t="shared" si="21"/>
        <v>257.36187363933163</v>
      </c>
      <c r="G206">
        <f t="shared" si="22"/>
        <v>61487.389924066796</v>
      </c>
    </row>
    <row r="207" spans="1:7">
      <c r="A207">
        <v>205</v>
      </c>
      <c r="B207">
        <f t="shared" si="23"/>
        <v>61487.389924066796</v>
      </c>
      <c r="C207">
        <f t="shared" si="18"/>
        <v>256.19745801694501</v>
      </c>
      <c r="D207">
        <f t="shared" si="19"/>
        <v>536.82162301213975</v>
      </c>
      <c r="E207">
        <f t="shared" si="20"/>
        <v>280.62416499519486</v>
      </c>
      <c r="F207">
        <f t="shared" si="21"/>
        <v>256.19745801694495</v>
      </c>
      <c r="G207">
        <f t="shared" si="22"/>
        <v>61206.765759071604</v>
      </c>
    </row>
    <row r="208" spans="1:7">
      <c r="A208">
        <v>206</v>
      </c>
      <c r="B208">
        <f t="shared" si="23"/>
        <v>61206.765759071604</v>
      </c>
      <c r="C208">
        <f t="shared" si="18"/>
        <v>255.02819066279835</v>
      </c>
      <c r="D208">
        <f t="shared" si="19"/>
        <v>536.82162301213975</v>
      </c>
      <c r="E208">
        <f t="shared" si="20"/>
        <v>281.79343234934157</v>
      </c>
      <c r="F208">
        <f t="shared" si="21"/>
        <v>255.02819066279829</v>
      </c>
      <c r="G208">
        <f t="shared" si="22"/>
        <v>60924.972326722258</v>
      </c>
    </row>
    <row r="209" spans="1:7">
      <c r="A209">
        <v>207</v>
      </c>
      <c r="B209">
        <f t="shared" si="23"/>
        <v>60924.972326722258</v>
      </c>
      <c r="C209">
        <f t="shared" si="18"/>
        <v>253.85405136134273</v>
      </c>
      <c r="D209">
        <f t="shared" si="19"/>
        <v>536.82162301213975</v>
      </c>
      <c r="E209">
        <f t="shared" si="20"/>
        <v>282.96757165079708</v>
      </c>
      <c r="F209">
        <f t="shared" si="21"/>
        <v>253.8540513613427</v>
      </c>
      <c r="G209">
        <f t="shared" si="22"/>
        <v>60642.004755071466</v>
      </c>
    </row>
    <row r="210" spans="1:7">
      <c r="A210">
        <v>208</v>
      </c>
      <c r="B210">
        <f t="shared" si="23"/>
        <v>60642.004755071466</v>
      </c>
      <c r="C210">
        <f t="shared" si="18"/>
        <v>252.67501981279779</v>
      </c>
      <c r="D210">
        <f t="shared" si="19"/>
        <v>536.82162301213975</v>
      </c>
      <c r="E210">
        <f t="shared" si="20"/>
        <v>284.14660319934211</v>
      </c>
      <c r="F210">
        <f t="shared" si="21"/>
        <v>252.67501981279776</v>
      </c>
      <c r="G210">
        <f t="shared" si="22"/>
        <v>60357.858151872126</v>
      </c>
    </row>
    <row r="211" spans="1:7">
      <c r="A211">
        <v>209</v>
      </c>
      <c r="B211">
        <f t="shared" si="23"/>
        <v>60357.858151872126</v>
      </c>
      <c r="C211">
        <f t="shared" si="18"/>
        <v>251.49107563280052</v>
      </c>
      <c r="D211">
        <f t="shared" si="19"/>
        <v>536.82162301213975</v>
      </c>
      <c r="E211">
        <f t="shared" si="20"/>
        <v>285.33054737933935</v>
      </c>
      <c r="F211">
        <f t="shared" si="21"/>
        <v>251.49107563280049</v>
      </c>
      <c r="G211">
        <f t="shared" si="22"/>
        <v>60072.527604492774</v>
      </c>
    </row>
    <row r="212" spans="1:7">
      <c r="A212">
        <v>210</v>
      </c>
      <c r="B212">
        <f t="shared" si="23"/>
        <v>60072.527604492774</v>
      </c>
      <c r="C212">
        <f t="shared" si="18"/>
        <v>250.30219835205321</v>
      </c>
      <c r="D212">
        <f t="shared" si="19"/>
        <v>536.82162301213975</v>
      </c>
      <c r="E212">
        <f t="shared" si="20"/>
        <v>286.5194246600866</v>
      </c>
      <c r="F212">
        <f t="shared" si="21"/>
        <v>250.30219835205327</v>
      </c>
      <c r="G212">
        <f t="shared" si="22"/>
        <v>59786.008179832694</v>
      </c>
    </row>
    <row r="213" spans="1:7">
      <c r="A213">
        <v>211</v>
      </c>
      <c r="B213">
        <f t="shared" si="23"/>
        <v>59786.008179832694</v>
      </c>
      <c r="C213">
        <f t="shared" si="18"/>
        <v>249.10836741596955</v>
      </c>
      <c r="D213">
        <f t="shared" si="19"/>
        <v>536.82162301213975</v>
      </c>
      <c r="E213">
        <f t="shared" si="20"/>
        <v>287.71325559617026</v>
      </c>
      <c r="F213">
        <f t="shared" si="21"/>
        <v>249.10836741596952</v>
      </c>
      <c r="G213">
        <f t="shared" si="22"/>
        <v>59498.294924236528</v>
      </c>
    </row>
    <row r="214" spans="1:7">
      <c r="A214">
        <v>212</v>
      </c>
      <c r="B214">
        <f t="shared" si="23"/>
        <v>59498.294924236528</v>
      </c>
      <c r="C214">
        <f t="shared" si="18"/>
        <v>247.90956218431887</v>
      </c>
      <c r="D214">
        <f t="shared" si="19"/>
        <v>536.82162301213975</v>
      </c>
      <c r="E214">
        <f t="shared" si="20"/>
        <v>288.91206082782099</v>
      </c>
      <c r="F214">
        <f t="shared" si="21"/>
        <v>247.90956218431887</v>
      </c>
      <c r="G214">
        <f t="shared" si="22"/>
        <v>59209.382863408711</v>
      </c>
    </row>
    <row r="215" spans="1:7">
      <c r="A215">
        <v>213</v>
      </c>
      <c r="B215">
        <f t="shared" si="23"/>
        <v>59209.382863408711</v>
      </c>
      <c r="C215">
        <f t="shared" si="18"/>
        <v>246.70576193086961</v>
      </c>
      <c r="D215">
        <f t="shared" si="19"/>
        <v>536.82162301213975</v>
      </c>
      <c r="E215">
        <f t="shared" si="20"/>
        <v>290.11586108127022</v>
      </c>
      <c r="F215">
        <f t="shared" si="21"/>
        <v>246.70576193086961</v>
      </c>
      <c r="G215">
        <f t="shared" si="22"/>
        <v>58919.267002327448</v>
      </c>
    </row>
    <row r="216" spans="1:7">
      <c r="A216">
        <v>214</v>
      </c>
      <c r="B216">
        <f t="shared" si="23"/>
        <v>58919.267002327448</v>
      </c>
      <c r="C216">
        <f t="shared" si="18"/>
        <v>245.49694584303103</v>
      </c>
      <c r="D216">
        <f t="shared" si="19"/>
        <v>536.82162301213975</v>
      </c>
      <c r="E216">
        <f t="shared" si="20"/>
        <v>291.32467716910884</v>
      </c>
      <c r="F216">
        <f t="shared" si="21"/>
        <v>245.49694584303097</v>
      </c>
      <c r="G216">
        <f t="shared" si="22"/>
        <v>58627.942325158336</v>
      </c>
    </row>
    <row r="217" spans="1:7">
      <c r="A217">
        <v>215</v>
      </c>
      <c r="B217">
        <f t="shared" si="23"/>
        <v>58627.942325158336</v>
      </c>
      <c r="C217">
        <f t="shared" si="18"/>
        <v>244.28309302149307</v>
      </c>
      <c r="D217">
        <f t="shared" si="19"/>
        <v>536.82162301213975</v>
      </c>
      <c r="E217">
        <f t="shared" si="20"/>
        <v>292.53852999064679</v>
      </c>
      <c r="F217">
        <f t="shared" si="21"/>
        <v>244.28309302149307</v>
      </c>
      <c r="G217">
        <f t="shared" si="22"/>
        <v>58335.403795167687</v>
      </c>
    </row>
    <row r="218" spans="1:7">
      <c r="A218">
        <v>216</v>
      </c>
      <c r="B218">
        <f t="shared" si="23"/>
        <v>58335.403795167687</v>
      </c>
      <c r="C218">
        <f t="shared" si="18"/>
        <v>243.06418247986537</v>
      </c>
      <c r="D218">
        <f t="shared" si="19"/>
        <v>536.82162301213975</v>
      </c>
      <c r="E218">
        <f t="shared" si="20"/>
        <v>293.75744053227447</v>
      </c>
      <c r="F218">
        <f t="shared" si="21"/>
        <v>243.06418247986537</v>
      </c>
      <c r="G218">
        <f t="shared" si="22"/>
        <v>58041.646354635413</v>
      </c>
    </row>
    <row r="219" spans="1:7">
      <c r="A219">
        <v>217</v>
      </c>
      <c r="B219">
        <f t="shared" si="23"/>
        <v>58041.646354635413</v>
      </c>
      <c r="C219">
        <f t="shared" si="18"/>
        <v>241.84019314431421</v>
      </c>
      <c r="D219">
        <f t="shared" si="19"/>
        <v>536.82162301213975</v>
      </c>
      <c r="E219">
        <f t="shared" si="20"/>
        <v>294.98142986782563</v>
      </c>
      <c r="F219">
        <f t="shared" si="21"/>
        <v>241.84019314431418</v>
      </c>
      <c r="G219">
        <f t="shared" si="22"/>
        <v>57746.664924767589</v>
      </c>
    </row>
    <row r="220" spans="1:7">
      <c r="A220">
        <v>218</v>
      </c>
      <c r="B220">
        <f t="shared" si="23"/>
        <v>57746.664924767589</v>
      </c>
      <c r="C220">
        <f t="shared" si="18"/>
        <v>240.61110385319827</v>
      </c>
      <c r="D220">
        <f t="shared" si="19"/>
        <v>536.82162301213975</v>
      </c>
      <c r="E220">
        <f t="shared" si="20"/>
        <v>296.21051915894157</v>
      </c>
      <c r="F220">
        <f t="shared" si="21"/>
        <v>240.6111038531983</v>
      </c>
      <c r="G220">
        <f t="shared" si="22"/>
        <v>57450.454405608645</v>
      </c>
    </row>
    <row r="221" spans="1:7">
      <c r="A221">
        <v>219</v>
      </c>
      <c r="B221">
        <f t="shared" si="23"/>
        <v>57450.454405608645</v>
      </c>
      <c r="C221">
        <f t="shared" si="18"/>
        <v>239.37689335670268</v>
      </c>
      <c r="D221">
        <f t="shared" si="19"/>
        <v>536.82162301213975</v>
      </c>
      <c r="E221">
        <f t="shared" si="20"/>
        <v>297.44472965543719</v>
      </c>
      <c r="F221">
        <f t="shared" si="21"/>
        <v>239.37689335670268</v>
      </c>
      <c r="G221">
        <f t="shared" si="22"/>
        <v>57153.009675953203</v>
      </c>
    </row>
    <row r="222" spans="1:7">
      <c r="A222">
        <v>220</v>
      </c>
      <c r="B222">
        <f t="shared" si="23"/>
        <v>57153.009675953203</v>
      </c>
      <c r="C222">
        <f t="shared" si="18"/>
        <v>238.13754031647167</v>
      </c>
      <c r="D222">
        <f t="shared" si="19"/>
        <v>536.82162301213975</v>
      </c>
      <c r="E222">
        <f t="shared" si="20"/>
        <v>298.68408269566817</v>
      </c>
      <c r="F222">
        <f t="shared" si="21"/>
        <v>238.13754031647167</v>
      </c>
      <c r="G222">
        <f t="shared" si="22"/>
        <v>56854.325593257548</v>
      </c>
    </row>
    <row r="223" spans="1:7">
      <c r="A223">
        <v>221</v>
      </c>
      <c r="B223">
        <f t="shared" si="23"/>
        <v>56854.325593257548</v>
      </c>
      <c r="C223">
        <f t="shared" si="18"/>
        <v>236.89302330523978</v>
      </c>
      <c r="D223">
        <f t="shared" si="19"/>
        <v>536.82162301213975</v>
      </c>
      <c r="E223">
        <f t="shared" si="20"/>
        <v>299.92859970690006</v>
      </c>
      <c r="F223">
        <f t="shared" si="21"/>
        <v>236.89302330523978</v>
      </c>
      <c r="G223">
        <f t="shared" si="22"/>
        <v>56554.396993550647</v>
      </c>
    </row>
    <row r="224" spans="1:7">
      <c r="A224">
        <v>222</v>
      </c>
      <c r="B224">
        <f t="shared" si="23"/>
        <v>56554.396993550647</v>
      </c>
      <c r="C224">
        <f t="shared" si="18"/>
        <v>235.64332080646102</v>
      </c>
      <c r="D224">
        <f t="shared" si="19"/>
        <v>536.82162301213975</v>
      </c>
      <c r="E224">
        <f t="shared" si="20"/>
        <v>301.17830220567885</v>
      </c>
      <c r="F224">
        <f t="shared" si="21"/>
        <v>235.64332080646099</v>
      </c>
      <c r="G224">
        <f t="shared" si="22"/>
        <v>56253.218691344977</v>
      </c>
    </row>
    <row r="225" spans="1:7">
      <c r="A225">
        <v>223</v>
      </c>
      <c r="B225">
        <f t="shared" si="23"/>
        <v>56253.218691344977</v>
      </c>
      <c r="C225">
        <f t="shared" si="18"/>
        <v>234.38841121393739</v>
      </c>
      <c r="D225">
        <f t="shared" si="19"/>
        <v>536.82162301213975</v>
      </c>
      <c r="E225">
        <f t="shared" si="20"/>
        <v>302.43321179820248</v>
      </c>
      <c r="F225">
        <f t="shared" si="21"/>
        <v>234.38841121393739</v>
      </c>
      <c r="G225">
        <f t="shared" si="22"/>
        <v>55950.785479546772</v>
      </c>
    </row>
    <row r="226" spans="1:7">
      <c r="A226">
        <v>224</v>
      </c>
      <c r="B226">
        <f t="shared" si="23"/>
        <v>55950.785479546772</v>
      </c>
      <c r="C226">
        <f t="shared" si="18"/>
        <v>233.12827283144489</v>
      </c>
      <c r="D226">
        <f t="shared" si="19"/>
        <v>536.82162301213975</v>
      </c>
      <c r="E226">
        <f t="shared" si="20"/>
        <v>303.69335018069501</v>
      </c>
      <c r="F226">
        <f t="shared" si="21"/>
        <v>233.12827283144486</v>
      </c>
      <c r="G226">
        <f t="shared" si="22"/>
        <v>55647.092129366058</v>
      </c>
    </row>
    <row r="227" spans="1:7">
      <c r="A227">
        <v>225</v>
      </c>
      <c r="B227">
        <f t="shared" si="23"/>
        <v>55647.092129366058</v>
      </c>
      <c r="C227">
        <f t="shared" si="18"/>
        <v>231.86288387235857</v>
      </c>
      <c r="D227">
        <f t="shared" si="19"/>
        <v>536.82162301213975</v>
      </c>
      <c r="E227">
        <f t="shared" si="20"/>
        <v>304.95873913978124</v>
      </c>
      <c r="F227">
        <f t="shared" si="21"/>
        <v>231.86288387235859</v>
      </c>
      <c r="G227">
        <f t="shared" si="22"/>
        <v>55342.133390226292</v>
      </c>
    </row>
    <row r="228" spans="1:7">
      <c r="A228">
        <v>226</v>
      </c>
      <c r="B228">
        <f t="shared" si="23"/>
        <v>55342.133390226292</v>
      </c>
      <c r="C228">
        <f t="shared" si="18"/>
        <v>230.5922224592762</v>
      </c>
      <c r="D228">
        <f t="shared" si="19"/>
        <v>536.82162301213975</v>
      </c>
      <c r="E228">
        <f t="shared" si="20"/>
        <v>306.22940055286369</v>
      </c>
      <c r="F228">
        <f t="shared" si="21"/>
        <v>230.5922224592762</v>
      </c>
      <c r="G228">
        <f t="shared" si="22"/>
        <v>55035.903989673432</v>
      </c>
    </row>
    <row r="229" spans="1:7">
      <c r="A229">
        <v>227</v>
      </c>
      <c r="B229">
        <f t="shared" si="23"/>
        <v>55035.903989673432</v>
      </c>
      <c r="C229">
        <f t="shared" si="18"/>
        <v>229.31626662363931</v>
      </c>
      <c r="D229">
        <f t="shared" si="19"/>
        <v>536.82162301213975</v>
      </c>
      <c r="E229">
        <f t="shared" si="20"/>
        <v>307.50535638850056</v>
      </c>
      <c r="F229">
        <f t="shared" si="21"/>
        <v>229.31626662363925</v>
      </c>
      <c r="G229">
        <f t="shared" si="22"/>
        <v>54728.398633284924</v>
      </c>
    </row>
    <row r="230" spans="1:7">
      <c r="A230">
        <v>228</v>
      </c>
      <c r="B230">
        <f t="shared" si="23"/>
        <v>54728.398633284924</v>
      </c>
      <c r="C230">
        <f t="shared" si="18"/>
        <v>228.03499430535385</v>
      </c>
      <c r="D230">
        <f t="shared" si="19"/>
        <v>536.82162301213975</v>
      </c>
      <c r="E230">
        <f t="shared" si="20"/>
        <v>308.78662870678596</v>
      </c>
      <c r="F230">
        <f t="shared" si="21"/>
        <v>228.03499430535391</v>
      </c>
      <c r="G230">
        <f t="shared" si="22"/>
        <v>54419.612004578143</v>
      </c>
    </row>
    <row r="231" spans="1:7">
      <c r="A231">
        <v>229</v>
      </c>
      <c r="B231">
        <f t="shared" si="23"/>
        <v>54419.612004578143</v>
      </c>
      <c r="C231">
        <f t="shared" si="18"/>
        <v>226.74838335240892</v>
      </c>
      <c r="D231">
        <f t="shared" si="19"/>
        <v>536.82162301213975</v>
      </c>
      <c r="E231">
        <f t="shared" si="20"/>
        <v>310.07323965973092</v>
      </c>
      <c r="F231">
        <f t="shared" si="21"/>
        <v>226.74838335240895</v>
      </c>
      <c r="G231">
        <f t="shared" si="22"/>
        <v>54109.538764918419</v>
      </c>
    </row>
    <row r="232" spans="1:7">
      <c r="A232">
        <v>230</v>
      </c>
      <c r="B232">
        <f t="shared" si="23"/>
        <v>54109.538764918419</v>
      </c>
      <c r="C232">
        <f t="shared" si="18"/>
        <v>225.45641152049342</v>
      </c>
      <c r="D232">
        <f t="shared" si="19"/>
        <v>536.82162301213975</v>
      </c>
      <c r="E232">
        <f t="shared" si="20"/>
        <v>311.36521149164645</v>
      </c>
      <c r="F232">
        <f t="shared" si="21"/>
        <v>225.45641152049342</v>
      </c>
      <c r="G232">
        <f t="shared" si="22"/>
        <v>53798.173553426765</v>
      </c>
    </row>
    <row r="233" spans="1:7">
      <c r="A233">
        <v>231</v>
      </c>
      <c r="B233">
        <f t="shared" si="23"/>
        <v>53798.173553426765</v>
      </c>
      <c r="C233">
        <f t="shared" si="18"/>
        <v>224.15905647261152</v>
      </c>
      <c r="D233">
        <f t="shared" si="19"/>
        <v>536.82162301213975</v>
      </c>
      <c r="E233">
        <f t="shared" si="20"/>
        <v>312.66256653952826</v>
      </c>
      <c r="F233">
        <f t="shared" si="21"/>
        <v>224.15905647261152</v>
      </c>
      <c r="G233">
        <f t="shared" si="22"/>
        <v>53485.510986887239</v>
      </c>
    </row>
    <row r="234" spans="1:7">
      <c r="A234">
        <v>232</v>
      </c>
      <c r="B234">
        <f t="shared" si="23"/>
        <v>53485.510986887239</v>
      </c>
      <c r="C234">
        <f t="shared" si="18"/>
        <v>222.85629577869682</v>
      </c>
      <c r="D234">
        <f t="shared" si="19"/>
        <v>536.82162301213975</v>
      </c>
      <c r="E234">
        <f t="shared" si="20"/>
        <v>313.96532723344302</v>
      </c>
      <c r="F234">
        <f t="shared" si="21"/>
        <v>222.85629577869682</v>
      </c>
      <c r="G234">
        <f t="shared" si="22"/>
        <v>53171.545659653799</v>
      </c>
    </row>
    <row r="235" spans="1:7">
      <c r="A235">
        <v>233</v>
      </c>
      <c r="B235">
        <f t="shared" si="23"/>
        <v>53171.545659653799</v>
      </c>
      <c r="C235">
        <f t="shared" si="18"/>
        <v>221.54810691522417</v>
      </c>
      <c r="D235">
        <f t="shared" si="19"/>
        <v>536.82162301213975</v>
      </c>
      <c r="E235">
        <f t="shared" si="20"/>
        <v>315.27351609691573</v>
      </c>
      <c r="F235">
        <f t="shared" si="21"/>
        <v>221.54810691522417</v>
      </c>
      <c r="G235">
        <f t="shared" si="22"/>
        <v>52856.272143556889</v>
      </c>
    </row>
    <row r="236" spans="1:7">
      <c r="A236">
        <v>234</v>
      </c>
      <c r="B236">
        <f t="shared" si="23"/>
        <v>52856.272143556889</v>
      </c>
      <c r="C236">
        <f t="shared" si="18"/>
        <v>220.23446726482038</v>
      </c>
      <c r="D236">
        <f t="shared" si="19"/>
        <v>536.82162301213975</v>
      </c>
      <c r="E236">
        <f t="shared" si="20"/>
        <v>316.58715574731946</v>
      </c>
      <c r="F236">
        <f t="shared" si="21"/>
        <v>220.23446726482038</v>
      </c>
      <c r="G236">
        <f t="shared" si="22"/>
        <v>52539.684987809575</v>
      </c>
    </row>
    <row r="237" spans="1:7">
      <c r="A237">
        <v>235</v>
      </c>
      <c r="B237">
        <f t="shared" si="23"/>
        <v>52539.684987809575</v>
      </c>
      <c r="C237">
        <f t="shared" si="18"/>
        <v>218.91535411587321</v>
      </c>
      <c r="D237">
        <f t="shared" si="19"/>
        <v>536.82162301213975</v>
      </c>
      <c r="E237">
        <f t="shared" si="20"/>
        <v>317.90626889626662</v>
      </c>
      <c r="F237">
        <f t="shared" si="21"/>
        <v>218.91535411587321</v>
      </c>
      <c r="G237">
        <f t="shared" si="22"/>
        <v>52221.778718913301</v>
      </c>
    </row>
    <row r="238" spans="1:7">
      <c r="A238">
        <v>236</v>
      </c>
      <c r="B238">
        <f t="shared" si="23"/>
        <v>52221.778718913301</v>
      </c>
      <c r="C238">
        <f t="shared" si="18"/>
        <v>217.59074466213875</v>
      </c>
      <c r="D238">
        <f t="shared" si="19"/>
        <v>536.82162301213975</v>
      </c>
      <c r="E238">
        <f t="shared" si="20"/>
        <v>319.23087835000109</v>
      </c>
      <c r="F238">
        <f t="shared" si="21"/>
        <v>217.59074466213875</v>
      </c>
      <c r="G238">
        <f t="shared" si="22"/>
        <v>51902.547840563304</v>
      </c>
    </row>
    <row r="239" spans="1:7">
      <c r="A239">
        <v>237</v>
      </c>
      <c r="B239">
        <f t="shared" si="23"/>
        <v>51902.547840563304</v>
      </c>
      <c r="C239">
        <f t="shared" si="18"/>
        <v>216.26061600234709</v>
      </c>
      <c r="D239">
        <f t="shared" si="19"/>
        <v>536.82162301213975</v>
      </c>
      <c r="E239">
        <f t="shared" si="20"/>
        <v>320.56100700979277</v>
      </c>
      <c r="F239">
        <f t="shared" si="21"/>
        <v>216.26061600234706</v>
      </c>
      <c r="G239">
        <f t="shared" si="22"/>
        <v>51581.986833553507</v>
      </c>
    </row>
    <row r="240" spans="1:7">
      <c r="A240">
        <v>238</v>
      </c>
      <c r="B240">
        <f t="shared" si="23"/>
        <v>51581.986833553507</v>
      </c>
      <c r="C240">
        <f t="shared" si="18"/>
        <v>214.92494513980628</v>
      </c>
      <c r="D240">
        <f t="shared" si="19"/>
        <v>536.82162301213975</v>
      </c>
      <c r="E240">
        <f t="shared" si="20"/>
        <v>321.89667787233356</v>
      </c>
      <c r="F240">
        <f t="shared" si="21"/>
        <v>214.92494513980628</v>
      </c>
      <c r="G240">
        <f t="shared" si="22"/>
        <v>51260.09015568118</v>
      </c>
    </row>
    <row r="241" spans="1:7">
      <c r="A241">
        <v>239</v>
      </c>
      <c r="B241">
        <f t="shared" si="23"/>
        <v>51260.09015568118</v>
      </c>
      <c r="C241">
        <f t="shared" si="18"/>
        <v>213.58370898200491</v>
      </c>
      <c r="D241">
        <f t="shared" si="19"/>
        <v>536.82162301213975</v>
      </c>
      <c r="E241">
        <f t="shared" si="20"/>
        <v>323.2379140301349</v>
      </c>
      <c r="F241">
        <f t="shared" si="21"/>
        <v>213.58370898200491</v>
      </c>
      <c r="G241">
        <f t="shared" si="22"/>
        <v>50936.852241651046</v>
      </c>
    </row>
    <row r="242" spans="1:7">
      <c r="A242">
        <v>240</v>
      </c>
      <c r="B242">
        <f t="shared" si="23"/>
        <v>50936.852241651046</v>
      </c>
      <c r="C242">
        <f t="shared" si="18"/>
        <v>212.2368843402127</v>
      </c>
      <c r="D242">
        <f t="shared" si="19"/>
        <v>536.82162301213975</v>
      </c>
      <c r="E242">
        <f t="shared" si="20"/>
        <v>324.5847386719272</v>
      </c>
      <c r="F242">
        <f t="shared" si="21"/>
        <v>212.23688434021267</v>
      </c>
      <c r="G242">
        <f t="shared" si="22"/>
        <v>50612.267502979113</v>
      </c>
    </row>
    <row r="243" spans="1:7">
      <c r="A243">
        <v>241</v>
      </c>
      <c r="B243">
        <f t="shared" si="23"/>
        <v>50612.267502979113</v>
      </c>
      <c r="C243">
        <f t="shared" si="18"/>
        <v>210.88444792907964</v>
      </c>
      <c r="D243">
        <f t="shared" si="19"/>
        <v>536.82162301213975</v>
      </c>
      <c r="E243">
        <f t="shared" si="20"/>
        <v>325.9371750830602</v>
      </c>
      <c r="F243">
        <f t="shared" si="21"/>
        <v>210.88444792907961</v>
      </c>
      <c r="G243">
        <f t="shared" si="22"/>
        <v>50286.330327896067</v>
      </c>
    </row>
    <row r="244" spans="1:7">
      <c r="A244">
        <v>242</v>
      </c>
      <c r="B244">
        <f t="shared" si="23"/>
        <v>50286.330327896067</v>
      </c>
      <c r="C244">
        <f t="shared" si="18"/>
        <v>209.52637636623362</v>
      </c>
      <c r="D244">
        <f t="shared" si="19"/>
        <v>536.82162301213975</v>
      </c>
      <c r="E244">
        <f t="shared" si="20"/>
        <v>327.29524664590616</v>
      </c>
      <c r="F244">
        <f t="shared" si="21"/>
        <v>209.52637636623359</v>
      </c>
      <c r="G244">
        <f t="shared" si="22"/>
        <v>49959.035081250157</v>
      </c>
    </row>
    <row r="245" spans="1:7">
      <c r="A245">
        <v>243</v>
      </c>
      <c r="B245">
        <f t="shared" si="23"/>
        <v>49959.035081250157</v>
      </c>
      <c r="C245">
        <f t="shared" si="18"/>
        <v>208.16264617187565</v>
      </c>
      <c r="D245">
        <f t="shared" si="19"/>
        <v>536.82162301213975</v>
      </c>
      <c r="E245">
        <f t="shared" si="20"/>
        <v>328.65897684026419</v>
      </c>
      <c r="F245">
        <f t="shared" si="21"/>
        <v>208.16264617187565</v>
      </c>
      <c r="G245">
        <f t="shared" si="22"/>
        <v>49630.376104409894</v>
      </c>
    </row>
    <row r="246" spans="1:7">
      <c r="A246">
        <v>244</v>
      </c>
      <c r="B246">
        <f t="shared" si="23"/>
        <v>49630.376104409894</v>
      </c>
      <c r="C246">
        <f t="shared" si="18"/>
        <v>206.79323376837456</v>
      </c>
      <c r="D246">
        <f t="shared" si="19"/>
        <v>536.82162301213975</v>
      </c>
      <c r="E246">
        <f t="shared" si="20"/>
        <v>330.02838924376533</v>
      </c>
      <c r="F246">
        <f t="shared" si="21"/>
        <v>206.79323376837453</v>
      </c>
      <c r="G246">
        <f t="shared" si="22"/>
        <v>49300.347715166121</v>
      </c>
    </row>
    <row r="247" spans="1:7">
      <c r="A247">
        <v>245</v>
      </c>
      <c r="B247">
        <f t="shared" si="23"/>
        <v>49300.347715166121</v>
      </c>
      <c r="C247">
        <f t="shared" si="18"/>
        <v>205.41811547985884</v>
      </c>
      <c r="D247">
        <f t="shared" si="19"/>
        <v>536.82162301213975</v>
      </c>
      <c r="E247">
        <f t="shared" si="20"/>
        <v>331.40350753228097</v>
      </c>
      <c r="F247">
        <f t="shared" si="21"/>
        <v>205.41811547985884</v>
      </c>
      <c r="G247">
        <f t="shared" si="22"/>
        <v>48968.944207633846</v>
      </c>
    </row>
    <row r="248" spans="1:7">
      <c r="A248">
        <v>246</v>
      </c>
      <c r="B248">
        <f t="shared" si="23"/>
        <v>48968.944207633846</v>
      </c>
      <c r="C248">
        <f t="shared" si="18"/>
        <v>204.03726753180769</v>
      </c>
      <c r="D248">
        <f t="shared" si="19"/>
        <v>536.82162301213975</v>
      </c>
      <c r="E248">
        <f t="shared" si="20"/>
        <v>332.78435548033212</v>
      </c>
      <c r="F248">
        <f t="shared" si="21"/>
        <v>204.03726753180769</v>
      </c>
      <c r="G248">
        <f t="shared" si="22"/>
        <v>48636.159852153512</v>
      </c>
    </row>
    <row r="249" spans="1:7">
      <c r="A249">
        <v>247</v>
      </c>
      <c r="B249">
        <f t="shared" si="23"/>
        <v>48636.159852153512</v>
      </c>
      <c r="C249">
        <f t="shared" si="18"/>
        <v>202.65066605063964</v>
      </c>
      <c r="D249">
        <f t="shared" si="19"/>
        <v>536.82162301213975</v>
      </c>
      <c r="E249">
        <f t="shared" si="20"/>
        <v>334.17095696150017</v>
      </c>
      <c r="F249">
        <f t="shared" si="21"/>
        <v>202.65066605063964</v>
      </c>
      <c r="G249">
        <f t="shared" si="22"/>
        <v>48301.988895192007</v>
      </c>
    </row>
    <row r="250" spans="1:7">
      <c r="A250">
        <v>248</v>
      </c>
      <c r="B250">
        <f t="shared" si="23"/>
        <v>48301.988895192007</v>
      </c>
      <c r="C250">
        <f t="shared" si="18"/>
        <v>201.25828706330003</v>
      </c>
      <c r="D250">
        <f t="shared" si="19"/>
        <v>536.82162301213975</v>
      </c>
      <c r="E250">
        <f t="shared" si="20"/>
        <v>335.56333594883978</v>
      </c>
      <c r="F250">
        <f t="shared" si="21"/>
        <v>201.25828706330003</v>
      </c>
      <c r="G250">
        <f t="shared" si="22"/>
        <v>47966.42555924318</v>
      </c>
    </row>
    <row r="251" spans="1:7">
      <c r="A251">
        <v>249</v>
      </c>
      <c r="B251">
        <f t="shared" si="23"/>
        <v>47966.42555924318</v>
      </c>
      <c r="C251">
        <f t="shared" si="18"/>
        <v>199.86010649684658</v>
      </c>
      <c r="D251">
        <f t="shared" si="19"/>
        <v>536.82162301213975</v>
      </c>
      <c r="E251">
        <f t="shared" si="20"/>
        <v>336.96151651529317</v>
      </c>
      <c r="F251">
        <f t="shared" si="21"/>
        <v>199.86010649684658</v>
      </c>
      <c r="G251">
        <f t="shared" si="22"/>
        <v>47629.464042727879</v>
      </c>
    </row>
    <row r="252" spans="1:7">
      <c r="A252">
        <v>250</v>
      </c>
      <c r="B252">
        <f t="shared" si="23"/>
        <v>47629.464042727879</v>
      </c>
      <c r="C252">
        <f t="shared" si="18"/>
        <v>198.45610017803284</v>
      </c>
      <c r="D252">
        <f t="shared" si="19"/>
        <v>536.82162301213975</v>
      </c>
      <c r="E252">
        <f t="shared" si="20"/>
        <v>338.36552283410703</v>
      </c>
      <c r="F252">
        <f t="shared" si="21"/>
        <v>198.45610017803287</v>
      </c>
      <c r="G252">
        <f t="shared" si="22"/>
        <v>47291.098519893785</v>
      </c>
    </row>
    <row r="253" spans="1:7">
      <c r="A253">
        <v>251</v>
      </c>
      <c r="B253">
        <f t="shared" si="23"/>
        <v>47291.098519893785</v>
      </c>
      <c r="C253">
        <f t="shared" si="18"/>
        <v>197.04624383289078</v>
      </c>
      <c r="D253">
        <f t="shared" si="19"/>
        <v>536.82162301213975</v>
      </c>
      <c r="E253">
        <f t="shared" si="20"/>
        <v>339.77537917924906</v>
      </c>
      <c r="F253">
        <f t="shared" si="21"/>
        <v>197.04624383289075</v>
      </c>
      <c r="G253">
        <f t="shared" si="22"/>
        <v>46951.323140714536</v>
      </c>
    </row>
    <row r="254" spans="1:7">
      <c r="A254">
        <v>252</v>
      </c>
      <c r="B254">
        <f t="shared" si="23"/>
        <v>46951.323140714536</v>
      </c>
      <c r="C254">
        <f t="shared" si="18"/>
        <v>195.63051308631057</v>
      </c>
      <c r="D254">
        <f t="shared" si="19"/>
        <v>536.82162301213975</v>
      </c>
      <c r="E254">
        <f t="shared" si="20"/>
        <v>341.19110992582927</v>
      </c>
      <c r="F254">
        <f t="shared" si="21"/>
        <v>195.63051308631057</v>
      </c>
      <c r="G254">
        <f t="shared" si="22"/>
        <v>46610.132030788707</v>
      </c>
    </row>
    <row r="255" spans="1:7">
      <c r="A255">
        <v>253</v>
      </c>
      <c r="B255">
        <f t="shared" si="23"/>
        <v>46610.132030788707</v>
      </c>
      <c r="C255">
        <f t="shared" si="18"/>
        <v>194.20888346161962</v>
      </c>
      <c r="D255">
        <f t="shared" si="19"/>
        <v>536.82162301213975</v>
      </c>
      <c r="E255">
        <f t="shared" si="20"/>
        <v>342.61273955052019</v>
      </c>
      <c r="F255">
        <f t="shared" si="21"/>
        <v>194.20888346161959</v>
      </c>
      <c r="G255">
        <f t="shared" si="22"/>
        <v>46267.51929123819</v>
      </c>
    </row>
    <row r="256" spans="1:7">
      <c r="A256">
        <v>254</v>
      </c>
      <c r="B256">
        <f t="shared" si="23"/>
        <v>46267.51929123819</v>
      </c>
      <c r="C256">
        <f t="shared" si="18"/>
        <v>192.78133038015912</v>
      </c>
      <c r="D256">
        <f t="shared" si="19"/>
        <v>536.82162301213975</v>
      </c>
      <c r="E256">
        <f t="shared" si="20"/>
        <v>344.04029263198072</v>
      </c>
      <c r="F256">
        <f t="shared" si="21"/>
        <v>192.78133038015912</v>
      </c>
      <c r="G256">
        <f t="shared" si="22"/>
        <v>45923.478998606195</v>
      </c>
    </row>
    <row r="257" spans="1:7">
      <c r="A257">
        <v>255</v>
      </c>
      <c r="B257">
        <f t="shared" si="23"/>
        <v>45923.478998606195</v>
      </c>
      <c r="C257">
        <f t="shared" si="18"/>
        <v>191.34782916085913</v>
      </c>
      <c r="D257">
        <f t="shared" si="19"/>
        <v>536.82162301213975</v>
      </c>
      <c r="E257">
        <f t="shared" si="20"/>
        <v>345.47379385128062</v>
      </c>
      <c r="F257">
        <f t="shared" si="21"/>
        <v>191.34782916085916</v>
      </c>
      <c r="G257">
        <f t="shared" si="22"/>
        <v>45578.005204754932</v>
      </c>
    </row>
    <row r="258" spans="1:7">
      <c r="A258">
        <v>256</v>
      </c>
      <c r="B258">
        <f t="shared" si="23"/>
        <v>45578.005204754932</v>
      </c>
      <c r="C258">
        <f t="shared" si="18"/>
        <v>189.90835501981221</v>
      </c>
      <c r="D258">
        <f t="shared" si="19"/>
        <v>536.82162301213975</v>
      </c>
      <c r="E258">
        <f t="shared" si="20"/>
        <v>346.91326799232763</v>
      </c>
      <c r="F258">
        <f t="shared" si="21"/>
        <v>189.90835501981221</v>
      </c>
      <c r="G258">
        <f t="shared" si="22"/>
        <v>45231.091936762597</v>
      </c>
    </row>
    <row r="259" spans="1:7">
      <c r="A259">
        <v>257</v>
      </c>
      <c r="B259">
        <f t="shared" si="23"/>
        <v>45231.091936762597</v>
      </c>
      <c r="C259">
        <f t="shared" si="18"/>
        <v>188.46288306984417</v>
      </c>
      <c r="D259">
        <f t="shared" si="19"/>
        <v>536.82162301213975</v>
      </c>
      <c r="E259">
        <f t="shared" si="20"/>
        <v>348.3587399422957</v>
      </c>
      <c r="F259">
        <f t="shared" si="21"/>
        <v>188.46288306984414</v>
      </c>
      <c r="G259">
        <f t="shared" si="22"/>
        <v>44882.733196820307</v>
      </c>
    </row>
    <row r="260" spans="1:7">
      <c r="A260">
        <v>258</v>
      </c>
      <c r="B260">
        <f t="shared" si="23"/>
        <v>44882.733196820307</v>
      </c>
      <c r="C260">
        <f t="shared" ref="C260:C323" si="24">B260*($B$1/1200)</f>
        <v>187.01138832008462</v>
      </c>
      <c r="D260">
        <f t="shared" ref="D260:D323" si="25">Monthly_payment($B$1,$D$1,$B$3)</f>
        <v>536.82162301213975</v>
      </c>
      <c r="E260">
        <f t="shared" ref="E260:E323" si="26">Principle_portion_of_payment($B$1,$D$1,A260,$B$3)</f>
        <v>349.81023469205519</v>
      </c>
      <c r="F260">
        <f t="shared" ref="F260:F323" si="27">Interest_portion_of_payment($B$1,$D$1,A260,$B$3)</f>
        <v>187.01138832008462</v>
      </c>
      <c r="G260">
        <f t="shared" ref="G260:G323" si="28">Remaining_balance($B$1,$D$1,A260,$B$3)</f>
        <v>44532.92296212825</v>
      </c>
    </row>
    <row r="261" spans="1:7">
      <c r="A261">
        <v>259</v>
      </c>
      <c r="B261">
        <f t="shared" ref="B261:B324" si="29">G260</f>
        <v>44532.92296212825</v>
      </c>
      <c r="C261">
        <f t="shared" si="24"/>
        <v>185.55384567553438</v>
      </c>
      <c r="D261">
        <f t="shared" si="25"/>
        <v>536.82162301213975</v>
      </c>
      <c r="E261">
        <f t="shared" si="26"/>
        <v>351.26777733660543</v>
      </c>
      <c r="F261">
        <f t="shared" si="27"/>
        <v>185.55384567553438</v>
      </c>
      <c r="G261">
        <f t="shared" si="28"/>
        <v>44181.655184791642</v>
      </c>
    </row>
    <row r="262" spans="1:7">
      <c r="A262">
        <v>260</v>
      </c>
      <c r="B262">
        <f t="shared" si="29"/>
        <v>44181.655184791642</v>
      </c>
      <c r="C262">
        <f t="shared" si="24"/>
        <v>184.09022993663183</v>
      </c>
      <c r="D262">
        <f t="shared" si="25"/>
        <v>536.82162301213975</v>
      </c>
      <c r="E262">
        <f t="shared" si="26"/>
        <v>352.73139307550798</v>
      </c>
      <c r="F262">
        <f t="shared" si="27"/>
        <v>184.09022993663183</v>
      </c>
      <c r="G262">
        <f t="shared" si="28"/>
        <v>43828.923791716137</v>
      </c>
    </row>
    <row r="263" spans="1:7">
      <c r="A263">
        <v>261</v>
      </c>
      <c r="B263">
        <f t="shared" si="29"/>
        <v>43828.923791716137</v>
      </c>
      <c r="C263">
        <f t="shared" si="24"/>
        <v>182.62051579881722</v>
      </c>
      <c r="D263">
        <f t="shared" si="25"/>
        <v>536.82162301213975</v>
      </c>
      <c r="E263">
        <f t="shared" si="26"/>
        <v>354.20110721332253</v>
      </c>
      <c r="F263">
        <f t="shared" si="27"/>
        <v>182.62051579881728</v>
      </c>
      <c r="G263">
        <f t="shared" si="28"/>
        <v>43474.722684502827</v>
      </c>
    </row>
    <row r="264" spans="1:7">
      <c r="A264">
        <v>262</v>
      </c>
      <c r="B264">
        <f t="shared" si="29"/>
        <v>43474.722684502827</v>
      </c>
      <c r="C264">
        <f t="shared" si="24"/>
        <v>181.1446778520951</v>
      </c>
      <c r="D264">
        <f t="shared" si="25"/>
        <v>536.82162301213975</v>
      </c>
      <c r="E264">
        <f t="shared" si="26"/>
        <v>355.67694516004474</v>
      </c>
      <c r="F264">
        <f t="shared" si="27"/>
        <v>181.14467785209507</v>
      </c>
      <c r="G264">
        <f t="shared" si="28"/>
        <v>43119.045739342779</v>
      </c>
    </row>
    <row r="265" spans="1:7">
      <c r="A265">
        <v>263</v>
      </c>
      <c r="B265">
        <f t="shared" si="29"/>
        <v>43119.045739342779</v>
      </c>
      <c r="C265">
        <f t="shared" si="24"/>
        <v>179.6626905805949</v>
      </c>
      <c r="D265">
        <f t="shared" si="25"/>
        <v>536.82162301213975</v>
      </c>
      <c r="E265">
        <f t="shared" si="26"/>
        <v>357.15893243154488</v>
      </c>
      <c r="F265">
        <f t="shared" si="27"/>
        <v>179.66269058059493</v>
      </c>
      <c r="G265">
        <f t="shared" si="28"/>
        <v>42761.886806911229</v>
      </c>
    </row>
    <row r="266" spans="1:7">
      <c r="A266">
        <v>264</v>
      </c>
      <c r="B266">
        <f t="shared" si="29"/>
        <v>42761.886806911229</v>
      </c>
      <c r="C266">
        <f t="shared" si="24"/>
        <v>178.1745283621301</v>
      </c>
      <c r="D266">
        <f t="shared" si="25"/>
        <v>536.82162301213975</v>
      </c>
      <c r="E266">
        <f t="shared" si="26"/>
        <v>358.64709465000971</v>
      </c>
      <c r="F266">
        <f t="shared" si="27"/>
        <v>178.17452836213008</v>
      </c>
      <c r="G266">
        <f t="shared" si="28"/>
        <v>42403.239712261224</v>
      </c>
    </row>
    <row r="267" spans="1:7">
      <c r="A267">
        <v>265</v>
      </c>
      <c r="B267">
        <f t="shared" si="29"/>
        <v>42403.239712261224</v>
      </c>
      <c r="C267">
        <f t="shared" si="24"/>
        <v>176.6801654677551</v>
      </c>
      <c r="D267">
        <f t="shared" si="25"/>
        <v>536.82162301213975</v>
      </c>
      <c r="E267">
        <f t="shared" si="26"/>
        <v>360.14145754438476</v>
      </c>
      <c r="F267">
        <f t="shared" si="27"/>
        <v>176.68016546775507</v>
      </c>
      <c r="G267">
        <f t="shared" si="28"/>
        <v>42043.098254716839</v>
      </c>
    </row>
    <row r="268" spans="1:7">
      <c r="A268">
        <v>266</v>
      </c>
      <c r="B268">
        <f t="shared" si="29"/>
        <v>42043.098254716839</v>
      </c>
      <c r="C268">
        <f t="shared" si="24"/>
        <v>175.17957606132015</v>
      </c>
      <c r="D268">
        <f t="shared" si="25"/>
        <v>536.82162301213975</v>
      </c>
      <c r="E268">
        <f t="shared" si="26"/>
        <v>361.64204695081969</v>
      </c>
      <c r="F268">
        <f t="shared" si="27"/>
        <v>175.17957606132015</v>
      </c>
      <c r="G268">
        <f t="shared" si="28"/>
        <v>41681.456207766023</v>
      </c>
    </row>
    <row r="269" spans="1:7">
      <c r="A269">
        <v>267</v>
      </c>
      <c r="B269">
        <f t="shared" si="29"/>
        <v>41681.456207766023</v>
      </c>
      <c r="C269">
        <f t="shared" si="24"/>
        <v>173.67273419902509</v>
      </c>
      <c r="D269">
        <f t="shared" si="25"/>
        <v>536.82162301213975</v>
      </c>
      <c r="E269">
        <f t="shared" si="26"/>
        <v>363.14888881311475</v>
      </c>
      <c r="F269">
        <f t="shared" si="27"/>
        <v>173.67273419902509</v>
      </c>
      <c r="G269">
        <f t="shared" si="28"/>
        <v>41318.30731895291</v>
      </c>
    </row>
    <row r="270" spans="1:7">
      <c r="A270">
        <v>268</v>
      </c>
      <c r="B270">
        <f t="shared" si="29"/>
        <v>41318.30731895291</v>
      </c>
      <c r="C270">
        <f t="shared" si="24"/>
        <v>172.15961382897046</v>
      </c>
      <c r="D270">
        <f t="shared" si="25"/>
        <v>536.82162301213975</v>
      </c>
      <c r="E270">
        <f t="shared" si="26"/>
        <v>364.66200918316935</v>
      </c>
      <c r="F270">
        <f t="shared" si="27"/>
        <v>172.15961382897049</v>
      </c>
      <c r="G270">
        <f t="shared" si="28"/>
        <v>40953.645309769738</v>
      </c>
    </row>
    <row r="271" spans="1:7">
      <c r="A271">
        <v>269</v>
      </c>
      <c r="B271">
        <f t="shared" si="29"/>
        <v>40953.645309769738</v>
      </c>
      <c r="C271">
        <f t="shared" si="24"/>
        <v>170.64018879070724</v>
      </c>
      <c r="D271">
        <f t="shared" si="25"/>
        <v>536.82162301213975</v>
      </c>
      <c r="E271">
        <f t="shared" si="26"/>
        <v>366.1814342214326</v>
      </c>
      <c r="F271">
        <f t="shared" si="27"/>
        <v>170.64018879070721</v>
      </c>
      <c r="G271">
        <f t="shared" si="28"/>
        <v>40587.46387554831</v>
      </c>
    </row>
    <row r="272" spans="1:7">
      <c r="A272">
        <v>270</v>
      </c>
      <c r="B272">
        <f t="shared" si="29"/>
        <v>40587.46387554831</v>
      </c>
      <c r="C272">
        <f t="shared" si="24"/>
        <v>169.11443281478464</v>
      </c>
      <c r="D272">
        <f t="shared" si="25"/>
        <v>536.82162301213975</v>
      </c>
      <c r="E272">
        <f t="shared" si="26"/>
        <v>367.70719019735526</v>
      </c>
      <c r="F272">
        <f t="shared" si="27"/>
        <v>169.11443281478464</v>
      </c>
      <c r="G272">
        <f t="shared" si="28"/>
        <v>40219.756685350956</v>
      </c>
    </row>
    <row r="273" spans="1:7">
      <c r="A273">
        <v>271</v>
      </c>
      <c r="B273">
        <f t="shared" si="29"/>
        <v>40219.756685350956</v>
      </c>
      <c r="C273">
        <f t="shared" si="24"/>
        <v>167.58231952229565</v>
      </c>
      <c r="D273">
        <f t="shared" si="25"/>
        <v>536.82162301213975</v>
      </c>
      <c r="E273">
        <f t="shared" si="26"/>
        <v>369.23930348984419</v>
      </c>
      <c r="F273">
        <f t="shared" si="27"/>
        <v>167.58231952229565</v>
      </c>
      <c r="G273">
        <f t="shared" si="28"/>
        <v>39850.517381861115</v>
      </c>
    </row>
    <row r="274" spans="1:7">
      <c r="A274">
        <v>272</v>
      </c>
      <c r="B274">
        <f t="shared" si="29"/>
        <v>39850.517381861115</v>
      </c>
      <c r="C274">
        <f t="shared" si="24"/>
        <v>166.04382242442131</v>
      </c>
      <c r="D274">
        <f t="shared" si="25"/>
        <v>536.82162301213975</v>
      </c>
      <c r="E274">
        <f t="shared" si="26"/>
        <v>370.7778005877185</v>
      </c>
      <c r="F274">
        <f t="shared" si="27"/>
        <v>166.04382242442131</v>
      </c>
      <c r="G274">
        <f t="shared" si="28"/>
        <v>39479.739581273396</v>
      </c>
    </row>
    <row r="275" spans="1:7">
      <c r="A275">
        <v>273</v>
      </c>
      <c r="B275">
        <f t="shared" si="29"/>
        <v>39479.739581273396</v>
      </c>
      <c r="C275">
        <f t="shared" si="24"/>
        <v>164.49891492197247</v>
      </c>
      <c r="D275">
        <f t="shared" si="25"/>
        <v>536.82162301213975</v>
      </c>
      <c r="E275">
        <f t="shared" si="26"/>
        <v>372.3227080901674</v>
      </c>
      <c r="F275">
        <f t="shared" si="27"/>
        <v>164.49891492197247</v>
      </c>
      <c r="G275">
        <f t="shared" si="28"/>
        <v>39107.416873183225</v>
      </c>
    </row>
    <row r="276" spans="1:7">
      <c r="A276">
        <v>274</v>
      </c>
      <c r="B276">
        <f t="shared" si="29"/>
        <v>39107.416873183225</v>
      </c>
      <c r="C276">
        <f t="shared" si="24"/>
        <v>162.94757030493011</v>
      </c>
      <c r="D276">
        <f t="shared" si="25"/>
        <v>536.82162301213975</v>
      </c>
      <c r="E276">
        <f t="shared" si="26"/>
        <v>373.87405270720973</v>
      </c>
      <c r="F276">
        <f t="shared" si="27"/>
        <v>162.94757030493014</v>
      </c>
      <c r="G276">
        <f t="shared" si="28"/>
        <v>38733.542820476025</v>
      </c>
    </row>
    <row r="277" spans="1:7">
      <c r="A277">
        <v>275</v>
      </c>
      <c r="B277">
        <f t="shared" si="29"/>
        <v>38733.542820476025</v>
      </c>
      <c r="C277">
        <f t="shared" si="24"/>
        <v>161.38976175198343</v>
      </c>
      <c r="D277">
        <f t="shared" si="25"/>
        <v>536.82162301213975</v>
      </c>
      <c r="E277">
        <f t="shared" si="26"/>
        <v>375.43186126015638</v>
      </c>
      <c r="F277">
        <f t="shared" si="27"/>
        <v>161.3897617519834</v>
      </c>
      <c r="G277">
        <f t="shared" si="28"/>
        <v>38358.110959215868</v>
      </c>
    </row>
    <row r="278" spans="1:7">
      <c r="A278">
        <v>276</v>
      </c>
      <c r="B278">
        <f t="shared" si="29"/>
        <v>38358.110959215868</v>
      </c>
      <c r="C278">
        <f t="shared" si="24"/>
        <v>159.8254623300661</v>
      </c>
      <c r="D278">
        <f t="shared" si="25"/>
        <v>536.82162301213975</v>
      </c>
      <c r="E278">
        <f t="shared" si="26"/>
        <v>376.99616068207376</v>
      </c>
      <c r="F278">
        <f t="shared" si="27"/>
        <v>159.82546233006613</v>
      </c>
      <c r="G278">
        <f t="shared" si="28"/>
        <v>37981.114798533788</v>
      </c>
    </row>
    <row r="279" spans="1:7">
      <c r="A279">
        <v>277</v>
      </c>
      <c r="B279">
        <f t="shared" si="29"/>
        <v>37981.114798533788</v>
      </c>
      <c r="C279">
        <f t="shared" si="24"/>
        <v>158.25464499389079</v>
      </c>
      <c r="D279">
        <f t="shared" si="25"/>
        <v>536.82162301213975</v>
      </c>
      <c r="E279">
        <f t="shared" si="26"/>
        <v>378.56697801824907</v>
      </c>
      <c r="F279">
        <f t="shared" si="27"/>
        <v>158.25464499389079</v>
      </c>
      <c r="G279">
        <f t="shared" si="28"/>
        <v>37602.547820515545</v>
      </c>
    </row>
    <row r="280" spans="1:7">
      <c r="A280">
        <v>278</v>
      </c>
      <c r="B280">
        <f t="shared" si="29"/>
        <v>37602.547820515545</v>
      </c>
      <c r="C280">
        <f t="shared" si="24"/>
        <v>156.67728258548144</v>
      </c>
      <c r="D280">
        <f t="shared" si="25"/>
        <v>536.82162301213975</v>
      </c>
      <c r="E280">
        <f t="shared" si="26"/>
        <v>380.1443404266584</v>
      </c>
      <c r="F280">
        <f t="shared" si="27"/>
        <v>156.67728258548144</v>
      </c>
      <c r="G280">
        <f t="shared" si="28"/>
        <v>37222.403480088884</v>
      </c>
    </row>
    <row r="281" spans="1:7">
      <c r="A281">
        <v>279</v>
      </c>
      <c r="B281">
        <f t="shared" si="29"/>
        <v>37222.403480088884</v>
      </c>
      <c r="C281">
        <f t="shared" si="24"/>
        <v>155.09334783370369</v>
      </c>
      <c r="D281">
        <f t="shared" si="25"/>
        <v>536.82162301213975</v>
      </c>
      <c r="E281">
        <f t="shared" si="26"/>
        <v>381.72827517843615</v>
      </c>
      <c r="F281">
        <f t="shared" si="27"/>
        <v>155.09334783370366</v>
      </c>
      <c r="G281">
        <f t="shared" si="28"/>
        <v>36840.675204910454</v>
      </c>
    </row>
    <row r="282" spans="1:7">
      <c r="A282">
        <v>280</v>
      </c>
      <c r="B282">
        <f t="shared" si="29"/>
        <v>36840.675204910454</v>
      </c>
      <c r="C282">
        <f t="shared" si="24"/>
        <v>153.50281335379356</v>
      </c>
      <c r="D282">
        <f t="shared" si="25"/>
        <v>536.82162301213975</v>
      </c>
      <c r="E282">
        <f t="shared" si="26"/>
        <v>383.31880965834631</v>
      </c>
      <c r="F282">
        <f t="shared" si="27"/>
        <v>153.50281335379356</v>
      </c>
      <c r="G282">
        <f t="shared" si="28"/>
        <v>36457.356395252107</v>
      </c>
    </row>
    <row r="283" spans="1:7">
      <c r="A283">
        <v>281</v>
      </c>
      <c r="B283">
        <f t="shared" si="29"/>
        <v>36457.356395252107</v>
      </c>
      <c r="C283">
        <f t="shared" si="24"/>
        <v>151.90565164688377</v>
      </c>
      <c r="D283">
        <f t="shared" si="25"/>
        <v>536.82162301213975</v>
      </c>
      <c r="E283">
        <f t="shared" si="26"/>
        <v>384.91597136525604</v>
      </c>
      <c r="F283">
        <f t="shared" si="27"/>
        <v>151.90565164688377</v>
      </c>
      <c r="G283">
        <f t="shared" si="28"/>
        <v>36072.440423886852</v>
      </c>
    </row>
    <row r="284" spans="1:7">
      <c r="A284">
        <v>282</v>
      </c>
      <c r="B284">
        <f t="shared" si="29"/>
        <v>36072.440423886852</v>
      </c>
      <c r="C284">
        <f t="shared" si="24"/>
        <v>150.30183509952855</v>
      </c>
      <c r="D284">
        <f t="shared" si="25"/>
        <v>536.82162301213975</v>
      </c>
      <c r="E284">
        <f t="shared" si="26"/>
        <v>386.51978791261126</v>
      </c>
      <c r="F284">
        <f t="shared" si="27"/>
        <v>150.30183509952857</v>
      </c>
      <c r="G284">
        <f t="shared" si="28"/>
        <v>35685.920635974253</v>
      </c>
    </row>
    <row r="285" spans="1:7">
      <c r="A285">
        <v>283</v>
      </c>
      <c r="B285">
        <f t="shared" si="29"/>
        <v>35685.920635974253</v>
      </c>
      <c r="C285">
        <f t="shared" si="24"/>
        <v>148.69133598322605</v>
      </c>
      <c r="D285">
        <f t="shared" si="25"/>
        <v>536.82162301213975</v>
      </c>
      <c r="E285">
        <f t="shared" si="26"/>
        <v>388.13028702891376</v>
      </c>
      <c r="F285">
        <f t="shared" si="27"/>
        <v>148.69133598322605</v>
      </c>
      <c r="G285">
        <f t="shared" si="28"/>
        <v>35297.790348945338</v>
      </c>
    </row>
    <row r="286" spans="1:7">
      <c r="A286">
        <v>284</v>
      </c>
      <c r="B286">
        <f t="shared" si="29"/>
        <v>35297.790348945338</v>
      </c>
      <c r="C286">
        <f t="shared" si="24"/>
        <v>147.0741264539389</v>
      </c>
      <c r="D286">
        <f t="shared" si="25"/>
        <v>536.82162301213975</v>
      </c>
      <c r="E286">
        <f t="shared" si="26"/>
        <v>389.74749655820096</v>
      </c>
      <c r="F286">
        <f t="shared" si="27"/>
        <v>147.0741264539389</v>
      </c>
      <c r="G286">
        <f t="shared" si="28"/>
        <v>34908.042852387131</v>
      </c>
    </row>
    <row r="287" spans="1:7">
      <c r="A287">
        <v>285</v>
      </c>
      <c r="B287">
        <f t="shared" si="29"/>
        <v>34908.042852387131</v>
      </c>
      <c r="C287">
        <f t="shared" si="24"/>
        <v>145.45017855161305</v>
      </c>
      <c r="D287">
        <f t="shared" si="25"/>
        <v>536.82162301213975</v>
      </c>
      <c r="E287">
        <f t="shared" si="26"/>
        <v>391.37144446052679</v>
      </c>
      <c r="F287">
        <f t="shared" si="27"/>
        <v>145.45017855161305</v>
      </c>
      <c r="G287">
        <f t="shared" si="28"/>
        <v>34516.671407926602</v>
      </c>
    </row>
    <row r="288" spans="1:7">
      <c r="A288">
        <v>286</v>
      </c>
      <c r="B288">
        <f t="shared" si="29"/>
        <v>34516.671407926602</v>
      </c>
      <c r="C288">
        <f t="shared" si="24"/>
        <v>143.81946419969418</v>
      </c>
      <c r="D288">
        <f t="shared" si="25"/>
        <v>536.82162301213975</v>
      </c>
      <c r="E288">
        <f t="shared" si="26"/>
        <v>393.00215881244566</v>
      </c>
      <c r="F288">
        <f t="shared" si="27"/>
        <v>143.81946419969418</v>
      </c>
      <c r="G288">
        <f t="shared" si="28"/>
        <v>34123.669249114151</v>
      </c>
    </row>
    <row r="289" spans="1:7">
      <c r="A289">
        <v>287</v>
      </c>
      <c r="B289">
        <f t="shared" si="29"/>
        <v>34123.669249114151</v>
      </c>
      <c r="C289">
        <f t="shared" si="24"/>
        <v>142.18195520464229</v>
      </c>
      <c r="D289">
        <f t="shared" si="25"/>
        <v>536.82162301213975</v>
      </c>
      <c r="E289">
        <f t="shared" si="26"/>
        <v>394.63966780749752</v>
      </c>
      <c r="F289">
        <f t="shared" si="27"/>
        <v>142.18195520464229</v>
      </c>
      <c r="G289">
        <f t="shared" si="28"/>
        <v>33729.02958130667</v>
      </c>
    </row>
    <row r="290" spans="1:7">
      <c r="A290">
        <v>288</v>
      </c>
      <c r="B290">
        <f t="shared" si="29"/>
        <v>33729.02958130667</v>
      </c>
      <c r="C290">
        <f t="shared" si="24"/>
        <v>140.53762325544446</v>
      </c>
      <c r="D290">
        <f t="shared" si="25"/>
        <v>536.82162301213975</v>
      </c>
      <c r="E290">
        <f t="shared" si="26"/>
        <v>396.28399975669538</v>
      </c>
      <c r="F290">
        <f t="shared" si="27"/>
        <v>140.53762325544446</v>
      </c>
      <c r="G290">
        <f t="shared" si="28"/>
        <v>33332.745581549971</v>
      </c>
    </row>
    <row r="291" spans="1:7">
      <c r="A291">
        <v>289</v>
      </c>
      <c r="B291">
        <f t="shared" si="29"/>
        <v>33332.745581549971</v>
      </c>
      <c r="C291">
        <f t="shared" si="24"/>
        <v>138.88643992312487</v>
      </c>
      <c r="D291">
        <f t="shared" si="25"/>
        <v>536.82162301213975</v>
      </c>
      <c r="E291">
        <f t="shared" si="26"/>
        <v>397.93518308901497</v>
      </c>
      <c r="F291">
        <f t="shared" si="27"/>
        <v>138.8864399231249</v>
      </c>
      <c r="G291">
        <f t="shared" si="28"/>
        <v>32934.810398460962</v>
      </c>
    </row>
    <row r="292" spans="1:7">
      <c r="A292">
        <v>290</v>
      </c>
      <c r="B292">
        <f t="shared" si="29"/>
        <v>32934.810398460962</v>
      </c>
      <c r="C292">
        <f t="shared" si="24"/>
        <v>137.22837666025401</v>
      </c>
      <c r="D292">
        <f t="shared" si="25"/>
        <v>536.82162301213975</v>
      </c>
      <c r="E292">
        <f t="shared" si="26"/>
        <v>399.59324635188585</v>
      </c>
      <c r="F292">
        <f t="shared" si="27"/>
        <v>137.22837666025399</v>
      </c>
      <c r="G292">
        <f t="shared" si="28"/>
        <v>32535.217152109082</v>
      </c>
    </row>
    <row r="293" spans="1:7">
      <c r="A293">
        <v>291</v>
      </c>
      <c r="B293">
        <f t="shared" si="29"/>
        <v>32535.217152109082</v>
      </c>
      <c r="C293">
        <f t="shared" si="24"/>
        <v>135.56340480045452</v>
      </c>
      <c r="D293">
        <f t="shared" si="25"/>
        <v>536.82162301213975</v>
      </c>
      <c r="E293">
        <f t="shared" si="26"/>
        <v>401.25821821168535</v>
      </c>
      <c r="F293">
        <f t="shared" si="27"/>
        <v>135.56340480045452</v>
      </c>
      <c r="G293">
        <f t="shared" si="28"/>
        <v>32133.958933897389</v>
      </c>
    </row>
    <row r="294" spans="1:7">
      <c r="A294">
        <v>292</v>
      </c>
      <c r="B294">
        <f t="shared" si="29"/>
        <v>32133.958933897389</v>
      </c>
      <c r="C294">
        <f t="shared" si="24"/>
        <v>133.89149555790578</v>
      </c>
      <c r="D294">
        <f t="shared" si="25"/>
        <v>536.82162301213975</v>
      </c>
      <c r="E294">
        <f t="shared" si="26"/>
        <v>402.93012745423403</v>
      </c>
      <c r="F294">
        <f t="shared" si="27"/>
        <v>133.89149555790578</v>
      </c>
      <c r="G294">
        <f t="shared" si="28"/>
        <v>31731.028806443152</v>
      </c>
    </row>
    <row r="295" spans="1:7">
      <c r="A295">
        <v>293</v>
      </c>
      <c r="B295">
        <f t="shared" si="29"/>
        <v>31731.028806443152</v>
      </c>
      <c r="C295">
        <f t="shared" si="24"/>
        <v>132.21262002684645</v>
      </c>
      <c r="D295">
        <f t="shared" si="25"/>
        <v>536.82162301213975</v>
      </c>
      <c r="E295">
        <f t="shared" si="26"/>
        <v>404.60900298529333</v>
      </c>
      <c r="F295">
        <f t="shared" si="27"/>
        <v>132.21262002684645</v>
      </c>
      <c r="G295">
        <f t="shared" si="28"/>
        <v>31326.419803457866</v>
      </c>
    </row>
    <row r="296" spans="1:7">
      <c r="A296">
        <v>294</v>
      </c>
      <c r="B296">
        <f t="shared" si="29"/>
        <v>31326.419803457866</v>
      </c>
      <c r="C296">
        <f t="shared" si="24"/>
        <v>130.52674918107445</v>
      </c>
      <c r="D296">
        <f t="shared" si="25"/>
        <v>536.82162301213975</v>
      </c>
      <c r="E296">
        <f t="shared" si="26"/>
        <v>406.29487383106544</v>
      </c>
      <c r="F296">
        <f t="shared" si="27"/>
        <v>130.52674918107445</v>
      </c>
      <c r="G296">
        <f t="shared" si="28"/>
        <v>30920.124929626803</v>
      </c>
    </row>
    <row r="297" spans="1:7">
      <c r="A297">
        <v>295</v>
      </c>
      <c r="B297">
        <f t="shared" si="29"/>
        <v>30920.124929626803</v>
      </c>
      <c r="C297">
        <f t="shared" si="24"/>
        <v>128.83385387344501</v>
      </c>
      <c r="D297">
        <f t="shared" si="25"/>
        <v>536.82162301213975</v>
      </c>
      <c r="E297">
        <f t="shared" si="26"/>
        <v>407.98776913869483</v>
      </c>
      <c r="F297">
        <f t="shared" si="27"/>
        <v>128.83385387344501</v>
      </c>
      <c r="G297">
        <f t="shared" si="28"/>
        <v>30512.137160488113</v>
      </c>
    </row>
    <row r="298" spans="1:7">
      <c r="A298">
        <v>296</v>
      </c>
      <c r="B298">
        <f t="shared" si="29"/>
        <v>30512.137160488113</v>
      </c>
      <c r="C298">
        <f t="shared" si="24"/>
        <v>127.13390483536713</v>
      </c>
      <c r="D298">
        <f t="shared" si="25"/>
        <v>536.82162301213975</v>
      </c>
      <c r="E298">
        <f t="shared" si="26"/>
        <v>409.68771817677271</v>
      </c>
      <c r="F298">
        <f t="shared" si="27"/>
        <v>127.13390483536712</v>
      </c>
      <c r="G298">
        <f t="shared" si="28"/>
        <v>30102.449442311328</v>
      </c>
    </row>
    <row r="299" spans="1:7">
      <c r="A299">
        <v>297</v>
      </c>
      <c r="B299">
        <f t="shared" si="29"/>
        <v>30102.449442311328</v>
      </c>
      <c r="C299">
        <f t="shared" si="24"/>
        <v>125.42687267629719</v>
      </c>
      <c r="D299">
        <f t="shared" si="25"/>
        <v>536.82162301213975</v>
      </c>
      <c r="E299">
        <f t="shared" si="26"/>
        <v>411.39475033584256</v>
      </c>
      <c r="F299">
        <f t="shared" si="27"/>
        <v>125.42687267629721</v>
      </c>
      <c r="G299">
        <f t="shared" si="28"/>
        <v>29691.054691975492</v>
      </c>
    </row>
    <row r="300" spans="1:7">
      <c r="A300">
        <v>298</v>
      </c>
      <c r="B300">
        <f t="shared" si="29"/>
        <v>29691.054691975492</v>
      </c>
      <c r="C300">
        <f t="shared" si="24"/>
        <v>123.71272788323121</v>
      </c>
      <c r="D300">
        <f t="shared" si="25"/>
        <v>536.82162301213975</v>
      </c>
      <c r="E300">
        <f t="shared" si="26"/>
        <v>413.10889512890861</v>
      </c>
      <c r="F300">
        <f t="shared" si="27"/>
        <v>123.71272788323122</v>
      </c>
      <c r="G300">
        <f t="shared" si="28"/>
        <v>29277.945796846583</v>
      </c>
    </row>
    <row r="301" spans="1:7">
      <c r="A301">
        <v>299</v>
      </c>
      <c r="B301">
        <f t="shared" si="29"/>
        <v>29277.945796846583</v>
      </c>
      <c r="C301">
        <f t="shared" si="24"/>
        <v>121.9914408201941</v>
      </c>
      <c r="D301">
        <f t="shared" si="25"/>
        <v>536.82162301213975</v>
      </c>
      <c r="E301">
        <f t="shared" si="26"/>
        <v>414.83018219194577</v>
      </c>
      <c r="F301">
        <f t="shared" si="27"/>
        <v>121.99144082019409</v>
      </c>
      <c r="G301">
        <f t="shared" si="28"/>
        <v>28863.115614654649</v>
      </c>
    </row>
    <row r="302" spans="1:7">
      <c r="A302">
        <v>300</v>
      </c>
      <c r="B302">
        <f t="shared" si="29"/>
        <v>28863.115614654649</v>
      </c>
      <c r="C302">
        <f t="shared" si="24"/>
        <v>120.26298172772771</v>
      </c>
      <c r="D302">
        <f t="shared" si="25"/>
        <v>536.82162301213975</v>
      </c>
      <c r="E302">
        <f t="shared" si="26"/>
        <v>416.55864128441215</v>
      </c>
      <c r="F302">
        <f t="shared" si="27"/>
        <v>120.26298172772771</v>
      </c>
      <c r="G302">
        <f t="shared" si="28"/>
        <v>28446.556973370236</v>
      </c>
    </row>
    <row r="303" spans="1:7">
      <c r="A303">
        <v>301</v>
      </c>
      <c r="B303">
        <f t="shared" si="29"/>
        <v>28446.556973370236</v>
      </c>
      <c r="C303">
        <f t="shared" si="24"/>
        <v>118.52732072237598</v>
      </c>
      <c r="D303">
        <f t="shared" si="25"/>
        <v>536.82162301213975</v>
      </c>
      <c r="E303">
        <f t="shared" si="26"/>
        <v>418.29430228976383</v>
      </c>
      <c r="F303">
        <f t="shared" si="27"/>
        <v>118.52732072237598</v>
      </c>
      <c r="G303">
        <f t="shared" si="28"/>
        <v>28028.26267108048</v>
      </c>
    </row>
    <row r="304" spans="1:7">
      <c r="A304">
        <v>302</v>
      </c>
      <c r="B304">
        <f t="shared" si="29"/>
        <v>28028.26267108048</v>
      </c>
      <c r="C304">
        <f t="shared" si="24"/>
        <v>116.78442779616866</v>
      </c>
      <c r="D304">
        <f t="shared" si="25"/>
        <v>536.82162301213975</v>
      </c>
      <c r="E304">
        <f t="shared" si="26"/>
        <v>420.03719521597117</v>
      </c>
      <c r="F304">
        <f t="shared" si="27"/>
        <v>116.78442779616866</v>
      </c>
      <c r="G304">
        <f t="shared" si="28"/>
        <v>27608.225475864499</v>
      </c>
    </row>
    <row r="305" spans="1:7">
      <c r="A305">
        <v>303</v>
      </c>
      <c r="B305">
        <f t="shared" si="29"/>
        <v>27608.225475864499</v>
      </c>
      <c r="C305">
        <f t="shared" si="24"/>
        <v>115.03427281610207</v>
      </c>
      <c r="D305">
        <f t="shared" si="25"/>
        <v>536.82162301213975</v>
      </c>
      <c r="E305">
        <f t="shared" si="26"/>
        <v>421.78735019603772</v>
      </c>
      <c r="F305">
        <f t="shared" si="27"/>
        <v>115.03427281610207</v>
      </c>
      <c r="G305">
        <f t="shared" si="28"/>
        <v>27186.438125668461</v>
      </c>
    </row>
    <row r="306" spans="1:7">
      <c r="A306">
        <v>304</v>
      </c>
      <c r="B306">
        <f t="shared" si="29"/>
        <v>27186.438125668461</v>
      </c>
      <c r="C306">
        <f t="shared" si="24"/>
        <v>113.27682552361858</v>
      </c>
      <c r="D306">
        <f t="shared" si="25"/>
        <v>536.82162301213975</v>
      </c>
      <c r="E306">
        <f t="shared" si="26"/>
        <v>423.54479748852134</v>
      </c>
      <c r="F306">
        <f t="shared" si="27"/>
        <v>113.27682552361858</v>
      </c>
      <c r="G306">
        <f t="shared" si="28"/>
        <v>26762.893328179947</v>
      </c>
    </row>
    <row r="307" spans="1:7">
      <c r="A307">
        <v>305</v>
      </c>
      <c r="B307">
        <f t="shared" si="29"/>
        <v>26762.893328179947</v>
      </c>
      <c r="C307">
        <f t="shared" si="24"/>
        <v>111.51205553408312</v>
      </c>
      <c r="D307">
        <f t="shared" si="25"/>
        <v>536.82162301213975</v>
      </c>
      <c r="E307">
        <f t="shared" si="26"/>
        <v>425.30956747805664</v>
      </c>
      <c r="F307">
        <f t="shared" si="27"/>
        <v>111.5120555340831</v>
      </c>
      <c r="G307">
        <f t="shared" si="28"/>
        <v>26337.583760701888</v>
      </c>
    </row>
    <row r="308" spans="1:7">
      <c r="A308">
        <v>306</v>
      </c>
      <c r="B308">
        <f t="shared" si="29"/>
        <v>26337.583760701888</v>
      </c>
      <c r="C308">
        <f t="shared" si="24"/>
        <v>109.73993233625787</v>
      </c>
      <c r="D308">
        <f t="shared" si="25"/>
        <v>536.82162301213975</v>
      </c>
      <c r="E308">
        <f t="shared" si="26"/>
        <v>427.08169067588199</v>
      </c>
      <c r="F308">
        <f t="shared" si="27"/>
        <v>109.73993233625787</v>
      </c>
      <c r="G308">
        <f t="shared" si="28"/>
        <v>25910.50207002601</v>
      </c>
    </row>
    <row r="309" spans="1:7">
      <c r="A309">
        <v>307</v>
      </c>
      <c r="B309">
        <f t="shared" si="29"/>
        <v>25910.50207002601</v>
      </c>
      <c r="C309">
        <f t="shared" si="24"/>
        <v>107.96042529177504</v>
      </c>
      <c r="D309">
        <f t="shared" si="25"/>
        <v>536.82162301213975</v>
      </c>
      <c r="E309">
        <f t="shared" si="26"/>
        <v>428.86119772036483</v>
      </c>
      <c r="F309">
        <f t="shared" si="27"/>
        <v>107.96042529177502</v>
      </c>
      <c r="G309">
        <f t="shared" si="28"/>
        <v>25481.640872305645</v>
      </c>
    </row>
    <row r="310" spans="1:7">
      <c r="A310">
        <v>308</v>
      </c>
      <c r="B310">
        <f t="shared" si="29"/>
        <v>25481.640872305645</v>
      </c>
      <c r="C310">
        <f t="shared" si="24"/>
        <v>106.17350363460685</v>
      </c>
      <c r="D310">
        <f t="shared" si="25"/>
        <v>536.82162301213975</v>
      </c>
      <c r="E310">
        <f t="shared" si="26"/>
        <v>430.64811937753302</v>
      </c>
      <c r="F310">
        <f t="shared" si="27"/>
        <v>106.17350363460686</v>
      </c>
      <c r="G310">
        <f t="shared" si="28"/>
        <v>25050.992752928119</v>
      </c>
    </row>
    <row r="311" spans="1:7">
      <c r="A311">
        <v>309</v>
      </c>
      <c r="B311">
        <f t="shared" si="29"/>
        <v>25050.992752928119</v>
      </c>
      <c r="C311">
        <f t="shared" si="24"/>
        <v>104.37913647053382</v>
      </c>
      <c r="D311">
        <f t="shared" si="25"/>
        <v>536.82162301213975</v>
      </c>
      <c r="E311">
        <f t="shared" si="26"/>
        <v>432.44248654160606</v>
      </c>
      <c r="F311">
        <f t="shared" si="27"/>
        <v>104.37913647053382</v>
      </c>
      <c r="G311">
        <f t="shared" si="28"/>
        <v>24618.550266386508</v>
      </c>
    </row>
    <row r="312" spans="1:7">
      <c r="A312">
        <v>310</v>
      </c>
      <c r="B312">
        <f t="shared" si="29"/>
        <v>24618.550266386508</v>
      </c>
      <c r="C312">
        <f t="shared" si="24"/>
        <v>102.57729277661045</v>
      </c>
      <c r="D312">
        <f t="shared" si="25"/>
        <v>536.82162301213975</v>
      </c>
      <c r="E312">
        <f t="shared" si="26"/>
        <v>434.24433023552939</v>
      </c>
      <c r="F312">
        <f t="shared" si="27"/>
        <v>102.57729277661045</v>
      </c>
      <c r="G312">
        <f t="shared" si="28"/>
        <v>24184.30593615098</v>
      </c>
    </row>
    <row r="313" spans="1:7">
      <c r="A313">
        <v>311</v>
      </c>
      <c r="B313">
        <f t="shared" si="29"/>
        <v>24184.30593615098</v>
      </c>
      <c r="C313">
        <f t="shared" si="24"/>
        <v>100.76794140062908</v>
      </c>
      <c r="D313">
        <f t="shared" si="25"/>
        <v>536.82162301213975</v>
      </c>
      <c r="E313">
        <f t="shared" si="26"/>
        <v>436.0536816115108</v>
      </c>
      <c r="F313">
        <f t="shared" si="27"/>
        <v>100.76794140062907</v>
      </c>
      <c r="G313">
        <f t="shared" si="28"/>
        <v>23748.252254539468</v>
      </c>
    </row>
    <row r="314" spans="1:7">
      <c r="A314">
        <v>312</v>
      </c>
      <c r="B314">
        <f t="shared" si="29"/>
        <v>23748.252254539468</v>
      </c>
      <c r="C314">
        <f t="shared" si="24"/>
        <v>98.951051060581108</v>
      </c>
      <c r="D314">
        <f t="shared" si="25"/>
        <v>536.82162301213975</v>
      </c>
      <c r="E314">
        <f t="shared" si="26"/>
        <v>437.8705719515587</v>
      </c>
      <c r="F314">
        <f t="shared" si="27"/>
        <v>98.951051060581122</v>
      </c>
      <c r="G314">
        <f t="shared" si="28"/>
        <v>23310.381682587915</v>
      </c>
    </row>
    <row r="315" spans="1:7">
      <c r="A315">
        <v>313</v>
      </c>
      <c r="B315">
        <f t="shared" si="29"/>
        <v>23310.381682587915</v>
      </c>
      <c r="C315">
        <f t="shared" si="24"/>
        <v>97.126590344116309</v>
      </c>
      <c r="D315">
        <f t="shared" si="25"/>
        <v>536.82162301213975</v>
      </c>
      <c r="E315">
        <f t="shared" si="26"/>
        <v>439.69503266802349</v>
      </c>
      <c r="F315">
        <f t="shared" si="27"/>
        <v>97.126590344116309</v>
      </c>
      <c r="G315">
        <f t="shared" si="28"/>
        <v>22870.686649919899</v>
      </c>
    </row>
    <row r="316" spans="1:7">
      <c r="A316">
        <v>314</v>
      </c>
      <c r="B316">
        <f t="shared" si="29"/>
        <v>22870.686649919899</v>
      </c>
      <c r="C316">
        <f t="shared" si="24"/>
        <v>95.294527707999578</v>
      </c>
      <c r="D316">
        <f t="shared" si="25"/>
        <v>536.82162301213975</v>
      </c>
      <c r="E316">
        <f t="shared" si="26"/>
        <v>441.52709530414023</v>
      </c>
      <c r="F316">
        <f t="shared" si="27"/>
        <v>95.294527707999563</v>
      </c>
      <c r="G316">
        <f t="shared" si="28"/>
        <v>22429.159554615759</v>
      </c>
    </row>
    <row r="317" spans="1:7">
      <c r="A317">
        <v>315</v>
      </c>
      <c r="B317">
        <f t="shared" si="29"/>
        <v>22429.159554615759</v>
      </c>
      <c r="C317">
        <f t="shared" si="24"/>
        <v>93.454831477565662</v>
      </c>
      <c r="D317">
        <f t="shared" si="25"/>
        <v>536.82162301213975</v>
      </c>
      <c r="E317">
        <f t="shared" si="26"/>
        <v>443.36679153457413</v>
      </c>
      <c r="F317">
        <f t="shared" si="27"/>
        <v>93.454831477565662</v>
      </c>
      <c r="G317">
        <f t="shared" si="28"/>
        <v>21985.792763081183</v>
      </c>
    </row>
    <row r="318" spans="1:7">
      <c r="A318">
        <v>316</v>
      </c>
      <c r="B318">
        <f t="shared" si="29"/>
        <v>21985.792763081183</v>
      </c>
      <c r="C318">
        <f t="shared" si="24"/>
        <v>91.607469846171597</v>
      </c>
      <c r="D318">
        <f t="shared" si="25"/>
        <v>536.82162301213975</v>
      </c>
      <c r="E318">
        <f t="shared" si="26"/>
        <v>445.21415316596824</v>
      </c>
      <c r="F318">
        <f t="shared" si="27"/>
        <v>91.607469846171597</v>
      </c>
      <c r="G318">
        <f t="shared" si="28"/>
        <v>21540.578609915217</v>
      </c>
    </row>
    <row r="319" spans="1:7">
      <c r="A319">
        <v>317</v>
      </c>
      <c r="B319">
        <f t="shared" si="29"/>
        <v>21540.578609915217</v>
      </c>
      <c r="C319">
        <f t="shared" si="24"/>
        <v>89.752410874646742</v>
      </c>
      <c r="D319">
        <f t="shared" si="25"/>
        <v>536.82162301213975</v>
      </c>
      <c r="E319">
        <f t="shared" si="26"/>
        <v>447.06921213749308</v>
      </c>
      <c r="F319">
        <f t="shared" si="27"/>
        <v>89.752410874646742</v>
      </c>
      <c r="G319">
        <f t="shared" si="28"/>
        <v>21093.509397777729</v>
      </c>
    </row>
    <row r="320" spans="1:7">
      <c r="A320">
        <v>318</v>
      </c>
      <c r="B320">
        <f t="shared" si="29"/>
        <v>21093.509397777729</v>
      </c>
      <c r="C320">
        <f t="shared" si="24"/>
        <v>87.889622490740535</v>
      </c>
      <c r="D320">
        <f t="shared" si="25"/>
        <v>536.82162301213975</v>
      </c>
      <c r="E320">
        <f t="shared" si="26"/>
        <v>448.93200052139929</v>
      </c>
      <c r="F320">
        <f t="shared" si="27"/>
        <v>87.889622490740535</v>
      </c>
      <c r="G320">
        <f t="shared" si="28"/>
        <v>20644.577397256329</v>
      </c>
    </row>
    <row r="321" spans="1:7">
      <c r="A321">
        <v>319</v>
      </c>
      <c r="B321">
        <f t="shared" si="29"/>
        <v>20644.577397256329</v>
      </c>
      <c r="C321">
        <f t="shared" si="24"/>
        <v>86.019072488568042</v>
      </c>
      <c r="D321">
        <f t="shared" si="25"/>
        <v>536.82162301213975</v>
      </c>
      <c r="E321">
        <f t="shared" si="26"/>
        <v>450.80255052357177</v>
      </c>
      <c r="F321">
        <f t="shared" si="27"/>
        <v>86.019072488568042</v>
      </c>
      <c r="G321">
        <f t="shared" si="28"/>
        <v>20193.774846732762</v>
      </c>
    </row>
    <row r="322" spans="1:7">
      <c r="A322">
        <v>320</v>
      </c>
      <c r="B322">
        <f t="shared" si="29"/>
        <v>20193.774846732762</v>
      </c>
      <c r="C322">
        <f t="shared" si="24"/>
        <v>84.140728528053174</v>
      </c>
      <c r="D322">
        <f t="shared" si="25"/>
        <v>536.82162301213975</v>
      </c>
      <c r="E322">
        <f t="shared" si="26"/>
        <v>452.68089448408665</v>
      </c>
      <c r="F322">
        <f t="shared" si="27"/>
        <v>84.140728528053174</v>
      </c>
      <c r="G322">
        <f t="shared" si="28"/>
        <v>19741.093952248666</v>
      </c>
    </row>
    <row r="323" spans="1:7">
      <c r="A323">
        <v>321</v>
      </c>
      <c r="B323">
        <f t="shared" si="29"/>
        <v>19741.093952248666</v>
      </c>
      <c r="C323">
        <f t="shared" si="24"/>
        <v>82.254558134369447</v>
      </c>
      <c r="D323">
        <f t="shared" si="25"/>
        <v>536.82162301213975</v>
      </c>
      <c r="E323">
        <f t="shared" si="26"/>
        <v>454.56706487777041</v>
      </c>
      <c r="F323">
        <f t="shared" si="27"/>
        <v>82.254558134369432</v>
      </c>
      <c r="G323">
        <f t="shared" si="28"/>
        <v>19286.52688737091</v>
      </c>
    </row>
    <row r="324" spans="1:7">
      <c r="A324">
        <v>322</v>
      </c>
      <c r="B324">
        <f t="shared" si="29"/>
        <v>19286.52688737091</v>
      </c>
      <c r="C324">
        <f t="shared" ref="C324:C362" si="30">B324*($B$1/1200)</f>
        <v>80.360528697378797</v>
      </c>
      <c r="D324">
        <f t="shared" ref="D324:D362" si="31">Monthly_payment($B$1,$D$1,$B$3)</f>
        <v>536.82162301213975</v>
      </c>
      <c r="E324">
        <f t="shared" ref="E324:E362" si="32">Principle_portion_of_payment($B$1,$D$1,A324,$B$3)</f>
        <v>456.46109431476106</v>
      </c>
      <c r="F324">
        <f t="shared" ref="F324:F362" si="33">Interest_portion_of_payment($B$1,$D$1,A324,$B$3)</f>
        <v>80.360528697378797</v>
      </c>
      <c r="G324">
        <f t="shared" ref="G324:G362" si="34">Remaining_balance($B$1,$D$1,A324,$B$3)</f>
        <v>18830.065793056143</v>
      </c>
    </row>
    <row r="325" spans="1:7">
      <c r="A325">
        <v>323</v>
      </c>
      <c r="B325">
        <f t="shared" ref="B325:B362" si="35">G324</f>
        <v>18830.065793056143</v>
      </c>
      <c r="C325">
        <f t="shared" si="30"/>
        <v>78.458607471067268</v>
      </c>
      <c r="D325">
        <f t="shared" si="31"/>
        <v>536.82162301213975</v>
      </c>
      <c r="E325">
        <f t="shared" si="32"/>
        <v>458.36301554107257</v>
      </c>
      <c r="F325">
        <f t="shared" si="33"/>
        <v>78.458607471067253</v>
      </c>
      <c r="G325">
        <f t="shared" si="34"/>
        <v>18371.702777515064</v>
      </c>
    </row>
    <row r="326" spans="1:7">
      <c r="A326">
        <v>324</v>
      </c>
      <c r="B326">
        <f t="shared" si="35"/>
        <v>18371.702777515064</v>
      </c>
      <c r="C326">
        <f t="shared" si="30"/>
        <v>76.54876157297943</v>
      </c>
      <c r="D326">
        <f t="shared" si="31"/>
        <v>536.82162301213975</v>
      </c>
      <c r="E326">
        <f t="shared" si="32"/>
        <v>460.27286143916041</v>
      </c>
      <c r="F326">
        <f t="shared" si="33"/>
        <v>76.548761572979444</v>
      </c>
      <c r="G326">
        <f t="shared" si="34"/>
        <v>17911.429916075915</v>
      </c>
    </row>
    <row r="327" spans="1:7">
      <c r="A327">
        <v>325</v>
      </c>
      <c r="B327">
        <f t="shared" si="35"/>
        <v>17911.429916075915</v>
      </c>
      <c r="C327">
        <f t="shared" si="30"/>
        <v>74.630957983649637</v>
      </c>
      <c r="D327">
        <f t="shared" si="31"/>
        <v>536.82162301213975</v>
      </c>
      <c r="E327">
        <f t="shared" si="32"/>
        <v>462.19066502849017</v>
      </c>
      <c r="F327">
        <f t="shared" si="33"/>
        <v>74.630957983649637</v>
      </c>
      <c r="G327">
        <f t="shared" si="34"/>
        <v>17449.239251047424</v>
      </c>
    </row>
    <row r="328" spans="1:7">
      <c r="A328">
        <v>326</v>
      </c>
      <c r="B328">
        <f t="shared" si="35"/>
        <v>17449.239251047424</v>
      </c>
      <c r="C328">
        <f t="shared" si="30"/>
        <v>72.705163546030931</v>
      </c>
      <c r="D328">
        <f t="shared" si="31"/>
        <v>536.82162301213975</v>
      </c>
      <c r="E328">
        <f t="shared" si="32"/>
        <v>464.11645946610889</v>
      </c>
      <c r="F328">
        <f t="shared" si="33"/>
        <v>72.705163546030931</v>
      </c>
      <c r="G328">
        <f t="shared" si="34"/>
        <v>16985.122791581311</v>
      </c>
    </row>
    <row r="329" spans="1:7">
      <c r="A329">
        <v>327</v>
      </c>
      <c r="B329">
        <f t="shared" si="35"/>
        <v>16985.122791581311</v>
      </c>
      <c r="C329">
        <f t="shared" si="30"/>
        <v>70.771344964922122</v>
      </c>
      <c r="D329">
        <f t="shared" si="31"/>
        <v>536.82162301213975</v>
      </c>
      <c r="E329">
        <f t="shared" si="32"/>
        <v>466.05027804721766</v>
      </c>
      <c r="F329">
        <f t="shared" si="33"/>
        <v>70.771344964922136</v>
      </c>
      <c r="G329">
        <f t="shared" si="34"/>
        <v>16519.072513534098</v>
      </c>
    </row>
    <row r="330" spans="1:7">
      <c r="A330">
        <v>328</v>
      </c>
      <c r="B330">
        <f t="shared" si="35"/>
        <v>16519.072513534098</v>
      </c>
      <c r="C330">
        <f t="shared" si="30"/>
        <v>68.829468806392072</v>
      </c>
      <c r="D330">
        <f t="shared" si="31"/>
        <v>536.82162301213975</v>
      </c>
      <c r="E330">
        <f t="shared" si="32"/>
        <v>467.99215420574774</v>
      </c>
      <c r="F330">
        <f t="shared" si="33"/>
        <v>68.829468806392072</v>
      </c>
      <c r="G330">
        <f t="shared" si="34"/>
        <v>16051.080359328356</v>
      </c>
    </row>
    <row r="331" spans="1:7">
      <c r="A331">
        <v>329</v>
      </c>
      <c r="B331">
        <f t="shared" si="35"/>
        <v>16051.080359328356</v>
      </c>
      <c r="C331">
        <f t="shared" si="30"/>
        <v>66.879501497201488</v>
      </c>
      <c r="D331">
        <f t="shared" si="31"/>
        <v>536.82162301213975</v>
      </c>
      <c r="E331">
        <f t="shared" si="32"/>
        <v>469.94212151493832</v>
      </c>
      <c r="F331">
        <f t="shared" si="33"/>
        <v>66.879501497201488</v>
      </c>
      <c r="G331">
        <f t="shared" si="34"/>
        <v>15581.138237813413</v>
      </c>
    </row>
    <row r="332" spans="1:7">
      <c r="A332">
        <v>330</v>
      </c>
      <c r="B332">
        <f t="shared" si="35"/>
        <v>15581.138237813413</v>
      </c>
      <c r="C332">
        <f t="shared" si="30"/>
        <v>64.921409324222552</v>
      </c>
      <c r="D332">
        <f t="shared" si="31"/>
        <v>536.82162301213975</v>
      </c>
      <c r="E332">
        <f t="shared" si="32"/>
        <v>471.9002136879173</v>
      </c>
      <c r="F332">
        <f t="shared" si="33"/>
        <v>64.921409324222552</v>
      </c>
      <c r="G332">
        <f t="shared" si="34"/>
        <v>15109.238024125501</v>
      </c>
    </row>
    <row r="333" spans="1:7">
      <c r="A333">
        <v>331</v>
      </c>
      <c r="B333">
        <f t="shared" si="35"/>
        <v>15109.238024125501</v>
      </c>
      <c r="C333">
        <f t="shared" si="30"/>
        <v>62.955158433856255</v>
      </c>
      <c r="D333">
        <f t="shared" si="31"/>
        <v>536.82162301213975</v>
      </c>
      <c r="E333">
        <f t="shared" si="32"/>
        <v>473.86646457828363</v>
      </c>
      <c r="F333">
        <f t="shared" si="33"/>
        <v>62.955158433856255</v>
      </c>
      <c r="G333">
        <f t="shared" si="34"/>
        <v>14635.371559547219</v>
      </c>
    </row>
    <row r="334" spans="1:7">
      <c r="A334">
        <v>332</v>
      </c>
      <c r="B334">
        <f t="shared" si="35"/>
        <v>14635.371559547219</v>
      </c>
      <c r="C334">
        <f t="shared" si="30"/>
        <v>60.98071483144674</v>
      </c>
      <c r="D334">
        <f t="shared" si="31"/>
        <v>536.82162301213975</v>
      </c>
      <c r="E334">
        <f t="shared" si="32"/>
        <v>475.84090818069308</v>
      </c>
      <c r="F334">
        <f t="shared" si="33"/>
        <v>60.980714831446747</v>
      </c>
      <c r="G334">
        <f t="shared" si="34"/>
        <v>14159.530651366536</v>
      </c>
    </row>
    <row r="335" spans="1:7">
      <c r="A335">
        <v>333</v>
      </c>
      <c r="B335">
        <f t="shared" si="35"/>
        <v>14159.530651366536</v>
      </c>
      <c r="C335">
        <f t="shared" si="30"/>
        <v>58.998044380693898</v>
      </c>
      <c r="D335">
        <f t="shared" si="31"/>
        <v>536.82162301213975</v>
      </c>
      <c r="E335">
        <f t="shared" si="32"/>
        <v>477.82357863144591</v>
      </c>
      <c r="F335">
        <f t="shared" si="33"/>
        <v>58.998044380693891</v>
      </c>
      <c r="G335">
        <f t="shared" si="34"/>
        <v>13681.707072735084</v>
      </c>
    </row>
    <row r="336" spans="1:7">
      <c r="A336">
        <v>334</v>
      </c>
      <c r="B336">
        <f t="shared" si="35"/>
        <v>13681.707072735084</v>
      </c>
      <c r="C336">
        <f t="shared" si="30"/>
        <v>57.007112803062846</v>
      </c>
      <c r="D336">
        <f t="shared" si="31"/>
        <v>536.82162301213975</v>
      </c>
      <c r="E336">
        <f t="shared" si="32"/>
        <v>479.81451020907701</v>
      </c>
      <c r="F336">
        <f t="shared" si="33"/>
        <v>57.007112803062846</v>
      </c>
      <c r="G336">
        <f t="shared" si="34"/>
        <v>13201.892562526007</v>
      </c>
    </row>
    <row r="337" spans="1:7">
      <c r="A337">
        <v>335</v>
      </c>
      <c r="B337">
        <f t="shared" si="35"/>
        <v>13201.892562526007</v>
      </c>
      <c r="C337">
        <f t="shared" si="30"/>
        <v>55.007885677191695</v>
      </c>
      <c r="D337">
        <f t="shared" si="31"/>
        <v>536.82162301213975</v>
      </c>
      <c r="E337">
        <f t="shared" si="32"/>
        <v>481.81373733494814</v>
      </c>
      <c r="F337">
        <f t="shared" si="33"/>
        <v>55.007885677191702</v>
      </c>
      <c r="G337">
        <f t="shared" si="34"/>
        <v>12720.078825191069</v>
      </c>
    </row>
    <row r="338" spans="1:7">
      <c r="A338">
        <v>336</v>
      </c>
      <c r="B338">
        <f t="shared" si="35"/>
        <v>12720.078825191069</v>
      </c>
      <c r="C338">
        <f t="shared" si="30"/>
        <v>53.000328438296123</v>
      </c>
      <c r="D338">
        <f t="shared" si="31"/>
        <v>536.82162301213975</v>
      </c>
      <c r="E338">
        <f t="shared" si="32"/>
        <v>483.82129457384372</v>
      </c>
      <c r="F338">
        <f t="shared" si="33"/>
        <v>53.00032843829613</v>
      </c>
      <c r="G338">
        <f t="shared" si="34"/>
        <v>12236.257530617226</v>
      </c>
    </row>
    <row r="339" spans="1:7">
      <c r="A339">
        <v>337</v>
      </c>
      <c r="B339">
        <f t="shared" si="35"/>
        <v>12236.257530617226</v>
      </c>
      <c r="C339">
        <f t="shared" si="30"/>
        <v>50.984406377571773</v>
      </c>
      <c r="D339">
        <f t="shared" si="31"/>
        <v>536.82162301213975</v>
      </c>
      <c r="E339">
        <f t="shared" si="32"/>
        <v>485.83721663456811</v>
      </c>
      <c r="F339">
        <f t="shared" si="33"/>
        <v>50.984406377571773</v>
      </c>
      <c r="G339">
        <f t="shared" si="34"/>
        <v>11750.420313982653</v>
      </c>
    </row>
    <row r="340" spans="1:7">
      <c r="A340">
        <v>338</v>
      </c>
      <c r="B340">
        <f t="shared" si="35"/>
        <v>11750.420313982653</v>
      </c>
      <c r="C340">
        <f t="shared" si="30"/>
        <v>48.960084641594385</v>
      </c>
      <c r="D340">
        <f t="shared" si="31"/>
        <v>536.82162301213975</v>
      </c>
      <c r="E340">
        <f t="shared" si="32"/>
        <v>487.86153837054547</v>
      </c>
      <c r="F340">
        <f t="shared" si="33"/>
        <v>48.960084641594392</v>
      </c>
      <c r="G340">
        <f t="shared" si="34"/>
        <v>11262.558775612119</v>
      </c>
    </row>
    <row r="341" spans="1:7">
      <c r="A341">
        <v>339</v>
      </c>
      <c r="B341">
        <f t="shared" si="35"/>
        <v>11262.558775612119</v>
      </c>
      <c r="C341">
        <f t="shared" si="30"/>
        <v>46.927328231717162</v>
      </c>
      <c r="D341">
        <f t="shared" si="31"/>
        <v>536.82162301213975</v>
      </c>
      <c r="E341">
        <f t="shared" si="32"/>
        <v>489.89429478042274</v>
      </c>
      <c r="F341">
        <f t="shared" si="33"/>
        <v>46.927328231717155</v>
      </c>
      <c r="G341">
        <f t="shared" si="34"/>
        <v>10772.664480831685</v>
      </c>
    </row>
    <row r="342" spans="1:7">
      <c r="A342">
        <v>340</v>
      </c>
      <c r="B342">
        <f t="shared" si="35"/>
        <v>10772.664480831685</v>
      </c>
      <c r="C342">
        <f t="shared" si="30"/>
        <v>44.886102003465354</v>
      </c>
      <c r="D342">
        <f t="shared" si="31"/>
        <v>536.82162301213975</v>
      </c>
      <c r="E342">
        <f t="shared" si="32"/>
        <v>491.93552100867453</v>
      </c>
      <c r="F342">
        <f t="shared" si="33"/>
        <v>44.886102003465354</v>
      </c>
      <c r="G342">
        <f t="shared" si="34"/>
        <v>10280.728959823024</v>
      </c>
    </row>
    <row r="343" spans="1:7">
      <c r="A343">
        <v>341</v>
      </c>
      <c r="B343">
        <f t="shared" si="35"/>
        <v>10280.728959823024</v>
      </c>
      <c r="C343">
        <f t="shared" si="30"/>
        <v>42.836370665929266</v>
      </c>
      <c r="D343">
        <f t="shared" si="31"/>
        <v>536.82162301213975</v>
      </c>
      <c r="E343">
        <f t="shared" si="32"/>
        <v>493.98525234621059</v>
      </c>
      <c r="F343">
        <f t="shared" si="33"/>
        <v>42.836370665929266</v>
      </c>
      <c r="G343">
        <f t="shared" si="34"/>
        <v>9786.7437074768077</v>
      </c>
    </row>
    <row r="344" spans="1:7">
      <c r="A344">
        <v>342</v>
      </c>
      <c r="B344">
        <f t="shared" si="35"/>
        <v>9786.7437074768077</v>
      </c>
      <c r="C344">
        <f t="shared" si="30"/>
        <v>40.778098781153368</v>
      </c>
      <c r="D344">
        <f t="shared" si="31"/>
        <v>536.82162301213975</v>
      </c>
      <c r="E344">
        <f t="shared" si="32"/>
        <v>496.04352423098646</v>
      </c>
      <c r="F344">
        <f t="shared" si="33"/>
        <v>40.778098781153361</v>
      </c>
      <c r="G344">
        <f t="shared" si="34"/>
        <v>9290.7001832458209</v>
      </c>
    </row>
    <row r="345" spans="1:7">
      <c r="A345">
        <v>343</v>
      </c>
      <c r="B345">
        <f t="shared" si="35"/>
        <v>9290.7001832458209</v>
      </c>
      <c r="C345">
        <f t="shared" si="30"/>
        <v>38.711250763524255</v>
      </c>
      <c r="D345">
        <f t="shared" si="31"/>
        <v>536.82162301213975</v>
      </c>
      <c r="E345">
        <f t="shared" si="32"/>
        <v>498.11037224861559</v>
      </c>
      <c r="F345">
        <f t="shared" si="33"/>
        <v>38.711250763524255</v>
      </c>
      <c r="G345">
        <f t="shared" si="34"/>
        <v>8792.589810997204</v>
      </c>
    </row>
    <row r="346" spans="1:7">
      <c r="A346">
        <v>344</v>
      </c>
      <c r="B346">
        <f t="shared" si="35"/>
        <v>8792.589810997204</v>
      </c>
      <c r="C346">
        <f t="shared" si="30"/>
        <v>36.635790879155017</v>
      </c>
      <c r="D346">
        <f t="shared" si="31"/>
        <v>536.82162301213975</v>
      </c>
      <c r="E346">
        <f t="shared" si="32"/>
        <v>500.18583213298484</v>
      </c>
      <c r="F346">
        <f t="shared" si="33"/>
        <v>36.635790879155017</v>
      </c>
      <c r="G346">
        <f t="shared" si="34"/>
        <v>8292.4039788642331</v>
      </c>
    </row>
    <row r="347" spans="1:7">
      <c r="A347">
        <v>345</v>
      </c>
      <c r="B347">
        <f t="shared" si="35"/>
        <v>8292.4039788642331</v>
      </c>
      <c r="C347">
        <f t="shared" si="30"/>
        <v>34.55168324526764</v>
      </c>
      <c r="D347">
        <f t="shared" si="31"/>
        <v>536.82162301213975</v>
      </c>
      <c r="E347">
        <f t="shared" si="32"/>
        <v>502.2699397668722</v>
      </c>
      <c r="F347">
        <f t="shared" si="33"/>
        <v>34.55168324526764</v>
      </c>
      <c r="G347">
        <f t="shared" si="34"/>
        <v>7790.1340390973655</v>
      </c>
    </row>
    <row r="348" spans="1:7">
      <c r="A348">
        <v>346</v>
      </c>
      <c r="B348">
        <f t="shared" si="35"/>
        <v>7790.1340390973655</v>
      </c>
      <c r="C348">
        <f t="shared" si="30"/>
        <v>32.458891829572359</v>
      </c>
      <c r="D348">
        <f t="shared" si="31"/>
        <v>536.82162301213975</v>
      </c>
      <c r="E348">
        <f t="shared" si="32"/>
        <v>504.36273118256759</v>
      </c>
      <c r="F348">
        <f t="shared" si="33"/>
        <v>32.458891829572352</v>
      </c>
      <c r="G348">
        <f t="shared" si="34"/>
        <v>7285.771307914787</v>
      </c>
    </row>
    <row r="349" spans="1:7">
      <c r="A349">
        <v>347</v>
      </c>
      <c r="B349">
        <f t="shared" si="35"/>
        <v>7285.771307914787</v>
      </c>
      <c r="C349">
        <f t="shared" si="30"/>
        <v>30.357380449644946</v>
      </c>
      <c r="D349">
        <f t="shared" si="31"/>
        <v>536.82162301213975</v>
      </c>
      <c r="E349">
        <f t="shared" si="32"/>
        <v>506.46424256249486</v>
      </c>
      <c r="F349">
        <f t="shared" si="33"/>
        <v>30.357380449644946</v>
      </c>
      <c r="G349">
        <f t="shared" si="34"/>
        <v>6779.3070653523009</v>
      </c>
    </row>
    <row r="350" spans="1:7">
      <c r="A350">
        <v>348</v>
      </c>
      <c r="B350">
        <f t="shared" si="35"/>
        <v>6779.3070653523009</v>
      </c>
      <c r="C350">
        <f t="shared" si="30"/>
        <v>28.247112772301254</v>
      </c>
      <c r="D350">
        <f t="shared" si="31"/>
        <v>536.82162301213975</v>
      </c>
      <c r="E350">
        <f t="shared" si="32"/>
        <v>508.57451023983856</v>
      </c>
      <c r="F350">
        <f t="shared" si="33"/>
        <v>28.24711277230125</v>
      </c>
      <c r="G350">
        <f t="shared" si="34"/>
        <v>6270.732555112465</v>
      </c>
    </row>
    <row r="351" spans="1:7">
      <c r="A351">
        <v>349</v>
      </c>
      <c r="B351">
        <f t="shared" si="35"/>
        <v>6270.732555112465</v>
      </c>
      <c r="C351">
        <f t="shared" si="30"/>
        <v>26.128052312968602</v>
      </c>
      <c r="D351">
        <f t="shared" si="31"/>
        <v>536.82162301213975</v>
      </c>
      <c r="E351">
        <f t="shared" si="32"/>
        <v>510.69357069917118</v>
      </c>
      <c r="F351">
        <f t="shared" si="33"/>
        <v>26.128052312968602</v>
      </c>
      <c r="G351">
        <f t="shared" si="34"/>
        <v>5760.0389844132915</v>
      </c>
    </row>
    <row r="352" spans="1:7">
      <c r="A352">
        <v>350</v>
      </c>
      <c r="B352">
        <f t="shared" si="35"/>
        <v>5760.0389844132915</v>
      </c>
      <c r="C352">
        <f t="shared" si="30"/>
        <v>24.00016243505538</v>
      </c>
      <c r="D352">
        <f t="shared" si="31"/>
        <v>536.82162301213975</v>
      </c>
      <c r="E352">
        <f t="shared" si="32"/>
        <v>512.82146057708451</v>
      </c>
      <c r="F352">
        <f t="shared" si="33"/>
        <v>24.00016243505538</v>
      </c>
      <c r="G352">
        <f t="shared" si="34"/>
        <v>5247.2175238362042</v>
      </c>
    </row>
    <row r="353" spans="1:7">
      <c r="A353">
        <v>351</v>
      </c>
      <c r="B353">
        <f t="shared" si="35"/>
        <v>5247.2175238362042</v>
      </c>
      <c r="C353">
        <f t="shared" si="30"/>
        <v>21.863406349317518</v>
      </c>
      <c r="D353">
        <f t="shared" si="31"/>
        <v>536.82162301213975</v>
      </c>
      <c r="E353">
        <f t="shared" si="32"/>
        <v>514.95821666282234</v>
      </c>
      <c r="F353">
        <f t="shared" si="33"/>
        <v>21.863406349317518</v>
      </c>
      <c r="G353">
        <f t="shared" si="34"/>
        <v>4732.2593071733963</v>
      </c>
    </row>
    <row r="354" spans="1:7">
      <c r="A354">
        <v>352</v>
      </c>
      <c r="B354">
        <f t="shared" si="35"/>
        <v>4732.2593071733963</v>
      </c>
      <c r="C354">
        <f t="shared" si="30"/>
        <v>19.717747113222483</v>
      </c>
      <c r="D354">
        <f t="shared" si="31"/>
        <v>536.82162301213975</v>
      </c>
      <c r="E354">
        <f t="shared" si="32"/>
        <v>517.10387589891741</v>
      </c>
      <c r="F354">
        <f t="shared" si="33"/>
        <v>19.717747113222487</v>
      </c>
      <c r="G354">
        <f t="shared" si="34"/>
        <v>4215.1554312744747</v>
      </c>
    </row>
    <row r="355" spans="1:7">
      <c r="A355">
        <v>353</v>
      </c>
      <c r="B355">
        <f t="shared" si="35"/>
        <v>4215.1554312744747</v>
      </c>
      <c r="C355">
        <f t="shared" si="30"/>
        <v>17.563147630310311</v>
      </c>
      <c r="D355">
        <f t="shared" si="31"/>
        <v>536.82162301213975</v>
      </c>
      <c r="E355">
        <f t="shared" si="32"/>
        <v>519.2584753818295</v>
      </c>
      <c r="F355">
        <f t="shared" si="33"/>
        <v>17.563147630310311</v>
      </c>
      <c r="G355">
        <f t="shared" si="34"/>
        <v>3695.8969558926519</v>
      </c>
    </row>
    <row r="356" spans="1:7">
      <c r="A356">
        <v>354</v>
      </c>
      <c r="B356">
        <f t="shared" si="35"/>
        <v>3695.8969558926519</v>
      </c>
      <c r="C356">
        <f t="shared" si="30"/>
        <v>15.399570649552716</v>
      </c>
      <c r="D356">
        <f t="shared" si="31"/>
        <v>536.82162301213975</v>
      </c>
      <c r="E356">
        <f t="shared" si="32"/>
        <v>521.42205236258712</v>
      </c>
      <c r="F356">
        <f t="shared" si="33"/>
        <v>15.399570649552714</v>
      </c>
      <c r="G356">
        <f t="shared" si="34"/>
        <v>3174.4749035300656</v>
      </c>
    </row>
    <row r="357" spans="1:7">
      <c r="A357">
        <v>355</v>
      </c>
      <c r="B357">
        <f t="shared" si="35"/>
        <v>3174.4749035300656</v>
      </c>
      <c r="C357">
        <f t="shared" si="30"/>
        <v>13.226978764708607</v>
      </c>
      <c r="D357">
        <f t="shared" si="31"/>
        <v>536.82162301213975</v>
      </c>
      <c r="E357">
        <f t="shared" si="32"/>
        <v>523.59464424743112</v>
      </c>
      <c r="F357">
        <f t="shared" si="33"/>
        <v>13.226978764708605</v>
      </c>
      <c r="G357">
        <f t="shared" si="34"/>
        <v>2650.8802592826373</v>
      </c>
    </row>
    <row r="358" spans="1:7">
      <c r="A358">
        <v>356</v>
      </c>
      <c r="B358">
        <f t="shared" si="35"/>
        <v>2650.8802592826373</v>
      </c>
      <c r="C358">
        <f t="shared" si="30"/>
        <v>11.045334413677656</v>
      </c>
      <c r="D358">
        <f t="shared" si="31"/>
        <v>536.82162301213975</v>
      </c>
      <c r="E358">
        <f t="shared" si="32"/>
        <v>525.7762885984622</v>
      </c>
      <c r="F358">
        <f t="shared" si="33"/>
        <v>11.045334413677654</v>
      </c>
      <c r="G358">
        <f t="shared" si="34"/>
        <v>2125.1039706841652</v>
      </c>
    </row>
    <row r="359" spans="1:7">
      <c r="A359">
        <v>357</v>
      </c>
      <c r="B359">
        <f t="shared" si="35"/>
        <v>2125.1039706841652</v>
      </c>
      <c r="C359">
        <f t="shared" si="30"/>
        <v>8.8545998778506885</v>
      </c>
      <c r="D359">
        <f t="shared" si="31"/>
        <v>536.82162301213975</v>
      </c>
      <c r="E359">
        <f t="shared" si="32"/>
        <v>527.96702313428921</v>
      </c>
      <c r="F359">
        <f t="shared" si="33"/>
        <v>8.8545998778506902</v>
      </c>
      <c r="G359">
        <f t="shared" si="34"/>
        <v>1597.1369475498802</v>
      </c>
    </row>
    <row r="360" spans="1:7">
      <c r="A360">
        <v>358</v>
      </c>
      <c r="B360">
        <f t="shared" si="35"/>
        <v>1597.1369475498802</v>
      </c>
      <c r="C360">
        <f t="shared" si="30"/>
        <v>6.6547372814578338</v>
      </c>
      <c r="D360">
        <f t="shared" si="31"/>
        <v>536.82162301213975</v>
      </c>
      <c r="E360">
        <f t="shared" si="32"/>
        <v>530.16688573068211</v>
      </c>
      <c r="F360">
        <f t="shared" si="33"/>
        <v>6.6547372814578329</v>
      </c>
      <c r="G360">
        <f t="shared" si="34"/>
        <v>1066.9700618192039</v>
      </c>
    </row>
    <row r="361" spans="1:7">
      <c r="A361">
        <v>359</v>
      </c>
      <c r="B361">
        <f t="shared" si="35"/>
        <v>1066.9700618192039</v>
      </c>
      <c r="C361">
        <f t="shared" si="30"/>
        <v>4.44570859091335</v>
      </c>
      <c r="D361">
        <f t="shared" si="31"/>
        <v>536.82162301213975</v>
      </c>
      <c r="E361">
        <f t="shared" si="32"/>
        <v>532.37591442122653</v>
      </c>
      <c r="F361">
        <f t="shared" si="33"/>
        <v>4.4457085909133491</v>
      </c>
      <c r="G361">
        <f t="shared" si="34"/>
        <v>534.59414739797967</v>
      </c>
    </row>
    <row r="362" spans="1:7">
      <c r="A362">
        <v>360</v>
      </c>
      <c r="B362">
        <f t="shared" si="35"/>
        <v>534.59414739797967</v>
      </c>
      <c r="C362">
        <f t="shared" si="30"/>
        <v>2.2274756141582488</v>
      </c>
      <c r="D362">
        <f t="shared" si="31"/>
        <v>536.82162301213975</v>
      </c>
      <c r="E362">
        <f t="shared" si="32"/>
        <v>534.5941473979816</v>
      </c>
      <c r="F362">
        <f t="shared" si="33"/>
        <v>2.2274756141582488</v>
      </c>
      <c r="G362">
        <f t="shared" si="34"/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DA0089-BB2C-4648-A722-DB6EEDB7DA86}">
  <sheetPr codeName="Sheet3"/>
  <dimension ref="A1:Q726"/>
  <sheetViews>
    <sheetView tabSelected="1" topLeftCell="A362" workbookViewId="0">
      <selection activeCell="J372" sqref="J372"/>
    </sheetView>
  </sheetViews>
  <sheetFormatPr baseColWidth="10" defaultColWidth="8.83203125" defaultRowHeight="15"/>
  <cols>
    <col min="2" max="2" width="13.6640625" bestFit="1" customWidth="1"/>
    <col min="3" max="4" width="8.83203125" style="15"/>
    <col min="5" max="5" width="10.6640625" style="15" bestFit="1" customWidth="1"/>
    <col min="6" max="6" width="11.6640625" style="26" bestFit="1" customWidth="1"/>
    <col min="7" max="7" width="11.5" style="15" customWidth="1"/>
    <col min="8" max="8" width="8.83203125" style="16"/>
    <col min="9" max="9" width="8.83203125" style="15"/>
    <col min="10" max="10" width="8.83203125" style="17"/>
    <col min="11" max="11" width="8.83203125" style="15"/>
    <col min="12" max="12" width="8.83203125" style="22"/>
    <col min="13" max="13" width="16.5" customWidth="1"/>
    <col min="14" max="14" width="21.6640625" customWidth="1"/>
    <col min="15" max="15" width="20.1640625" style="18" customWidth="1"/>
    <col min="16" max="16" width="18" bestFit="1" customWidth="1"/>
  </cols>
  <sheetData>
    <row r="1" spans="1:17" ht="32">
      <c r="A1" t="s">
        <v>19</v>
      </c>
      <c r="B1" s="4" t="s">
        <v>20</v>
      </c>
      <c r="C1" s="44" t="s">
        <v>18</v>
      </c>
      <c r="D1" s="44"/>
      <c r="E1" s="44"/>
      <c r="F1" s="44" t="s">
        <v>24</v>
      </c>
      <c r="G1" s="44"/>
      <c r="H1" s="44"/>
      <c r="I1" s="44"/>
      <c r="J1" s="44"/>
      <c r="K1" s="6"/>
      <c r="L1" s="6" t="s">
        <v>26</v>
      </c>
      <c r="M1" s="46" t="s">
        <v>25</v>
      </c>
      <c r="N1" s="46"/>
      <c r="O1" s="46"/>
      <c r="P1" s="45"/>
      <c r="Q1" s="45"/>
    </row>
    <row r="2" spans="1:17" ht="32">
      <c r="A2">
        <v>0</v>
      </c>
      <c r="C2" s="9" t="s">
        <v>21</v>
      </c>
      <c r="D2" s="9" t="s">
        <v>22</v>
      </c>
      <c r="E2" s="9" t="s">
        <v>23</v>
      </c>
      <c r="F2" s="23" t="s">
        <v>21</v>
      </c>
      <c r="G2" s="7" t="s">
        <v>27</v>
      </c>
      <c r="H2" s="11" t="s">
        <v>22</v>
      </c>
      <c r="I2" s="7" t="s">
        <v>27</v>
      </c>
      <c r="J2" s="12" t="s">
        <v>22</v>
      </c>
      <c r="K2" s="24" t="s">
        <v>27</v>
      </c>
      <c r="L2" s="20">
        <v>0</v>
      </c>
      <c r="M2" s="4" t="s">
        <v>28</v>
      </c>
      <c r="N2" s="4" t="s">
        <v>22</v>
      </c>
      <c r="O2" s="4" t="s">
        <v>23</v>
      </c>
      <c r="P2" s="4"/>
    </row>
    <row r="3" spans="1:17">
      <c r="A3">
        <v>1</v>
      </c>
      <c r="B3" s="5">
        <f>IF(A3&lt;=30,0.06*(A3/30),0.06)</f>
        <v>2E-3</v>
      </c>
      <c r="C3" s="10">
        <f>50/100*B3</f>
        <v>1E-3</v>
      </c>
      <c r="D3" s="10">
        <f>100/100*B3</f>
        <v>2E-3</v>
      </c>
      <c r="E3" s="10">
        <f>150/100*B3</f>
        <v>3.0000000000000001E-3</v>
      </c>
      <c r="F3" s="25">
        <f>1-(1-C3)^(1/12)</f>
        <v>8.3371552197619714E-5</v>
      </c>
      <c r="G3" s="8">
        <f>1-F3</f>
        <v>0.99991662844780238</v>
      </c>
      <c r="H3" s="13">
        <f>1-(1-D3)^(1/12)</f>
        <v>1.6681963994558124E-4</v>
      </c>
      <c r="I3" s="8">
        <f>1-H3</f>
        <v>0.99983318036005442</v>
      </c>
      <c r="J3" s="14">
        <f>1-(1-E3)^(1/12)</f>
        <v>2.5034441029880838E-4</v>
      </c>
      <c r="K3" s="8">
        <f>1-J3</f>
        <v>0.99974965558970119</v>
      </c>
      <c r="L3" s="21">
        <v>1</v>
      </c>
      <c r="M3" s="5">
        <f>G3</f>
        <v>0.99991662844780238</v>
      </c>
      <c r="N3" s="5">
        <f>I3</f>
        <v>0.99983318036005442</v>
      </c>
      <c r="O3" s="5">
        <f>K3</f>
        <v>0.99974965558970119</v>
      </c>
    </row>
    <row r="4" spans="1:17">
      <c r="A4">
        <v>2</v>
      </c>
      <c r="B4">
        <f t="shared" ref="B4:B67" si="0">IF(A4&lt;=30,0.06*(A4/30),0.06)</f>
        <v>4.0000000000000001E-3</v>
      </c>
      <c r="C4" s="10">
        <f t="shared" ref="C4:C67" si="1">50/100*B4</f>
        <v>2E-3</v>
      </c>
      <c r="D4" s="10">
        <f t="shared" ref="D4:D67" si="2">100/100*B4</f>
        <v>4.0000000000000001E-3</v>
      </c>
      <c r="E4" s="10">
        <f t="shared" ref="E4:E67" si="3">150/100*B4</f>
        <v>6.0000000000000001E-3</v>
      </c>
      <c r="F4" s="25">
        <f t="shared" ref="F4:F67" si="4">1-(1-C4)^(1/12)</f>
        <v>1.6681963994558124E-4</v>
      </c>
      <c r="G4" s="8">
        <f t="shared" ref="G4:G67" si="5">1-F4</f>
        <v>0.99983318036005442</v>
      </c>
      <c r="H4" s="13">
        <f>1-(1-D4)^(1/12)</f>
        <v>3.3394601074221431E-4</v>
      </c>
      <c r="I4" s="8">
        <f t="shared" ref="I4:I67" si="6">1-H4</f>
        <v>0.99966605398925779</v>
      </c>
      <c r="J4" s="14">
        <f t="shared" ref="J4:J67" si="7">1-(1-E4)^(1/12)</f>
        <v>5.0138029400215167E-4</v>
      </c>
      <c r="K4" s="8">
        <f t="shared" ref="K4:K67" si="8">1-J4</f>
        <v>0.99949861970599785</v>
      </c>
      <c r="L4" s="21">
        <v>2</v>
      </c>
      <c r="M4" s="5">
        <f>M3*G4</f>
        <v>0.9997498227158691</v>
      </c>
      <c r="N4" s="5">
        <f>N3*I4</f>
        <v>0.99949929005806548</v>
      </c>
      <c r="O4" s="5">
        <f>O3*K4</f>
        <v>0.99924840081345312</v>
      </c>
    </row>
    <row r="5" spans="1:17">
      <c r="A5">
        <v>3</v>
      </c>
      <c r="B5">
        <f t="shared" si="0"/>
        <v>6.0000000000000001E-3</v>
      </c>
      <c r="C5" s="10">
        <f t="shared" si="1"/>
        <v>3.0000000000000001E-3</v>
      </c>
      <c r="D5" s="10">
        <f t="shared" si="2"/>
        <v>6.0000000000000001E-3</v>
      </c>
      <c r="E5" s="10">
        <f t="shared" si="3"/>
        <v>9.0000000000000011E-3</v>
      </c>
      <c r="F5" s="25">
        <f t="shared" si="4"/>
        <v>2.5034441029880838E-4</v>
      </c>
      <c r="G5" s="8">
        <f t="shared" si="5"/>
        <v>0.99974965558970119</v>
      </c>
      <c r="H5" s="13">
        <f t="shared" ref="H5:H67" si="9">1-(1-D5)^(1/12)</f>
        <v>5.0138029400215167E-4</v>
      </c>
      <c r="I5" s="8">
        <f t="shared" si="6"/>
        <v>0.99949861970599785</v>
      </c>
      <c r="J5" s="14">
        <f t="shared" si="7"/>
        <v>7.531116566323881E-4</v>
      </c>
      <c r="K5" s="8">
        <f t="shared" si="8"/>
        <v>0.99924688834336761</v>
      </c>
      <c r="L5" s="21">
        <v>3</v>
      </c>
      <c r="M5" s="5">
        <f>M4*G5</f>
        <v>0.99949954093605498</v>
      </c>
      <c r="N5" s="5">
        <f t="shared" ref="N5:N68" si="10">N4*I5</f>
        <v>0.99899816081016124</v>
      </c>
      <c r="O5" s="5">
        <f t="shared" ref="O5:O68" si="11">O4*K5</f>
        <v>0.99849585519492923</v>
      </c>
    </row>
    <row r="6" spans="1:17">
      <c r="A6">
        <v>4</v>
      </c>
      <c r="B6">
        <f t="shared" si="0"/>
        <v>8.0000000000000002E-3</v>
      </c>
      <c r="C6" s="10">
        <f t="shared" si="1"/>
        <v>4.0000000000000001E-3</v>
      </c>
      <c r="D6" s="10">
        <f t="shared" si="2"/>
        <v>8.0000000000000002E-3</v>
      </c>
      <c r="E6" s="10">
        <f t="shared" si="3"/>
        <v>1.2E-2</v>
      </c>
      <c r="F6" s="25">
        <f t="shared" si="4"/>
        <v>3.3394601074221431E-4</v>
      </c>
      <c r="G6" s="8">
        <f t="shared" si="5"/>
        <v>0.99966605398925779</v>
      </c>
      <c r="H6" s="13">
        <f t="shared" si="9"/>
        <v>6.6912367827864916E-4</v>
      </c>
      <c r="I6" s="8">
        <f t="shared" si="6"/>
        <v>0.99933087632172135</v>
      </c>
      <c r="J6" s="14">
        <f t="shared" si="7"/>
        <v>1.0055425391276573E-3</v>
      </c>
      <c r="K6" s="8">
        <f t="shared" si="8"/>
        <v>0.99899445746087234</v>
      </c>
      <c r="L6" s="21">
        <v>4</v>
      </c>
      <c r="M6" s="5">
        <f>M5*G6</f>
        <v>0.99916576205162067</v>
      </c>
      <c r="N6" s="5">
        <f>N5*I6</f>
        <v>0.99832970748620631</v>
      </c>
      <c r="O6" s="5">
        <f t="shared" si="11"/>
        <v>0.9974918251373881</v>
      </c>
    </row>
    <row r="7" spans="1:17">
      <c r="A7">
        <v>5</v>
      </c>
      <c r="B7">
        <f t="shared" si="0"/>
        <v>9.9999999999999985E-3</v>
      </c>
      <c r="C7" s="10">
        <f t="shared" si="1"/>
        <v>4.9999999999999992E-3</v>
      </c>
      <c r="D7" s="10">
        <f t="shared" si="2"/>
        <v>9.9999999999999985E-3</v>
      </c>
      <c r="E7" s="10">
        <f t="shared" si="3"/>
        <v>1.4999999999999998E-2</v>
      </c>
      <c r="F7" s="25">
        <f t="shared" si="4"/>
        <v>4.1762458919303302E-4</v>
      </c>
      <c r="G7" s="8">
        <f t="shared" si="5"/>
        <v>0.99958237541080697</v>
      </c>
      <c r="H7" s="13">
        <f t="shared" si="9"/>
        <v>8.3717735912058888E-4</v>
      </c>
      <c r="I7" s="8">
        <f t="shared" si="6"/>
        <v>0.99916282264087941</v>
      </c>
      <c r="J7" s="14">
        <f t="shared" si="7"/>
        <v>1.2586770182638762E-3</v>
      </c>
      <c r="K7" s="8">
        <f t="shared" si="8"/>
        <v>0.99874132298173612</v>
      </c>
      <c r="L7" s="21">
        <v>5</v>
      </c>
      <c r="M7" s="5">
        <f>M6*G7</f>
        <v>0.99874848586070808</v>
      </c>
      <c r="N7" s="5">
        <f t="shared" si="10"/>
        <v>0.99749392845816143</v>
      </c>
      <c r="O7" s="5">
        <f t="shared" si="11"/>
        <v>0.99623630510118155</v>
      </c>
    </row>
    <row r="8" spans="1:17">
      <c r="A8">
        <v>6</v>
      </c>
      <c r="B8">
        <f t="shared" si="0"/>
        <v>1.2E-2</v>
      </c>
      <c r="C8" s="10">
        <f t="shared" si="1"/>
        <v>6.0000000000000001E-3</v>
      </c>
      <c r="D8" s="10">
        <f t="shared" si="2"/>
        <v>1.2E-2</v>
      </c>
      <c r="E8" s="10">
        <f t="shared" si="3"/>
        <v>1.8000000000000002E-2</v>
      </c>
      <c r="F8" s="25">
        <f t="shared" si="4"/>
        <v>5.0138029400215167E-4</v>
      </c>
      <c r="G8" s="8">
        <f t="shared" si="5"/>
        <v>0.99949861970599785</v>
      </c>
      <c r="H8" s="13">
        <f t="shared" si="9"/>
        <v>1.0055425391276573E-3</v>
      </c>
      <c r="I8" s="8">
        <f t="shared" si="6"/>
        <v>0.99899445746087234</v>
      </c>
      <c r="J8" s="14">
        <f t="shared" si="7"/>
        <v>1.5125192070827298E-3</v>
      </c>
      <c r="K8" s="8">
        <f t="shared" si="8"/>
        <v>0.99848748079291727</v>
      </c>
      <c r="L8" s="21">
        <v>6</v>
      </c>
      <c r="M8" s="5">
        <f t="shared" ref="M8:M68" si="12">M7*G8</f>
        <v>0.99824773305123304</v>
      </c>
      <c r="N8" s="5">
        <f t="shared" si="10"/>
        <v>0.99649090588057521</v>
      </c>
      <c r="O8" s="5">
        <f t="shared" si="11"/>
        <v>0.99472947855492289</v>
      </c>
    </row>
    <row r="9" spans="1:17">
      <c r="A9">
        <v>7</v>
      </c>
      <c r="B9">
        <f t="shared" si="0"/>
        <v>1.4E-2</v>
      </c>
      <c r="C9" s="10">
        <f t="shared" si="1"/>
        <v>7.0000000000000001E-3</v>
      </c>
      <c r="D9" s="10">
        <f t="shared" si="2"/>
        <v>1.4E-2</v>
      </c>
      <c r="E9" s="10">
        <f t="shared" si="3"/>
        <v>2.1000000000000001E-2</v>
      </c>
      <c r="F9" s="25">
        <f t="shared" si="4"/>
        <v>5.8521327395610889E-4</v>
      </c>
      <c r="G9" s="8">
        <f t="shared" si="5"/>
        <v>0.99941478672604389</v>
      </c>
      <c r="H9" s="13">
        <f t="shared" si="9"/>
        <v>1.1742204280067448E-3</v>
      </c>
      <c r="I9" s="8">
        <f t="shared" si="6"/>
        <v>0.99882577957199326</v>
      </c>
      <c r="J9" s="14">
        <f t="shared" si="7"/>
        <v>1.7670732553261015E-3</v>
      </c>
      <c r="K9" s="8">
        <f t="shared" si="8"/>
        <v>0.9982329267446739</v>
      </c>
      <c r="L9" s="21">
        <v>7</v>
      </c>
      <c r="M9" s="5">
        <f t="shared" si="12"/>
        <v>0.99766354522715484</v>
      </c>
      <c r="N9" s="5">
        <f t="shared" si="10"/>
        <v>0.99532080590256733</v>
      </c>
      <c r="O9" s="5">
        <f t="shared" si="11"/>
        <v>0.992971718697084</v>
      </c>
    </row>
    <row r="10" spans="1:17">
      <c r="A10">
        <v>8</v>
      </c>
      <c r="B10">
        <f t="shared" si="0"/>
        <v>1.6E-2</v>
      </c>
      <c r="C10" s="10">
        <f t="shared" si="1"/>
        <v>8.0000000000000002E-3</v>
      </c>
      <c r="D10" s="10">
        <f t="shared" si="2"/>
        <v>1.6E-2</v>
      </c>
      <c r="E10" s="10">
        <f t="shared" si="3"/>
        <v>2.4E-2</v>
      </c>
      <c r="F10" s="25">
        <f t="shared" si="4"/>
        <v>6.6912367827864916E-4</v>
      </c>
      <c r="G10" s="8">
        <f t="shared" si="5"/>
        <v>0.99933087632172135</v>
      </c>
      <c r="H10" s="13">
        <f t="shared" si="9"/>
        <v>1.3432122426282334E-3</v>
      </c>
      <c r="I10" s="8">
        <f t="shared" si="6"/>
        <v>0.99865678775737177</v>
      </c>
      <c r="J10" s="14">
        <f t="shared" si="7"/>
        <v>2.0223433498771648E-3</v>
      </c>
      <c r="K10" s="8">
        <f t="shared" si="8"/>
        <v>0.99797765665012284</v>
      </c>
      <c r="L10" s="21">
        <v>8</v>
      </c>
      <c r="M10" s="5">
        <f t="shared" si="12"/>
        <v>0.99699598492608787</v>
      </c>
      <c r="N10" s="5">
        <f t="shared" si="10"/>
        <v>0.99398387881073635</v>
      </c>
      <c r="O10" s="5">
        <f t="shared" si="11"/>
        <v>0.9909635889451609</v>
      </c>
    </row>
    <row r="11" spans="1:17" hidden="1">
      <c r="A11">
        <v>9</v>
      </c>
      <c r="B11">
        <f t="shared" si="0"/>
        <v>1.7999999999999999E-2</v>
      </c>
      <c r="C11" s="10">
        <f t="shared" si="1"/>
        <v>8.9999999999999993E-3</v>
      </c>
      <c r="D11" s="10">
        <f t="shared" si="2"/>
        <v>1.7999999999999999E-2</v>
      </c>
      <c r="E11" s="10">
        <f t="shared" si="3"/>
        <v>2.6999999999999996E-2</v>
      </c>
      <c r="F11" s="25">
        <f t="shared" si="4"/>
        <v>7.531116566323881E-4</v>
      </c>
      <c r="G11" s="8">
        <f t="shared" si="5"/>
        <v>0.99924688834336761</v>
      </c>
      <c r="H11" s="13">
        <f t="shared" si="9"/>
        <v>1.5125192070827298E-3</v>
      </c>
      <c r="I11" s="8">
        <f t="shared" si="6"/>
        <v>0.99848748079291727</v>
      </c>
      <c r="J11" s="14">
        <f t="shared" si="7"/>
        <v>2.2783337152086913E-3</v>
      </c>
      <c r="K11" s="8">
        <f t="shared" si="8"/>
        <v>0.99772166628479131</v>
      </c>
      <c r="L11" s="21">
        <v>9</v>
      </c>
      <c r="M11" s="5">
        <f t="shared" si="12"/>
        <v>0.99624513562822437</v>
      </c>
      <c r="N11" s="5">
        <f t="shared" si="10"/>
        <v>0.99248045910250449</v>
      </c>
      <c r="O11" s="5">
        <f t="shared" si="11"/>
        <v>0.98870584318992294</v>
      </c>
    </row>
    <row r="12" spans="1:17" hidden="1">
      <c r="A12">
        <v>10</v>
      </c>
      <c r="B12">
        <f t="shared" si="0"/>
        <v>1.9999999999999997E-2</v>
      </c>
      <c r="C12" s="10">
        <f t="shared" si="1"/>
        <v>9.9999999999999985E-3</v>
      </c>
      <c r="D12" s="10">
        <f t="shared" si="2"/>
        <v>1.9999999999999997E-2</v>
      </c>
      <c r="E12" s="10">
        <f t="shared" si="3"/>
        <v>2.9999999999999995E-2</v>
      </c>
      <c r="F12" s="25">
        <f t="shared" si="4"/>
        <v>8.3717735912058888E-4</v>
      </c>
      <c r="G12" s="8">
        <f t="shared" si="5"/>
        <v>0.99916282264087941</v>
      </c>
      <c r="H12" s="13">
        <f t="shared" si="9"/>
        <v>1.6821425527395739E-3</v>
      </c>
      <c r="I12" s="8">
        <f t="shared" si="6"/>
        <v>0.99831785744726043</v>
      </c>
      <c r="J12" s="14">
        <f t="shared" si="7"/>
        <v>2.5350486138366879E-3</v>
      </c>
      <c r="K12" s="8">
        <f t="shared" si="8"/>
        <v>0.99746495138616331</v>
      </c>
      <c r="L12" s="21">
        <v>10</v>
      </c>
      <c r="M12" s="5">
        <f t="shared" si="12"/>
        <v>0.99541110175654235</v>
      </c>
      <c r="N12" s="5">
        <f t="shared" si="10"/>
        <v>0.99081096548948566</v>
      </c>
      <c r="O12" s="5">
        <f t="shared" si="11"/>
        <v>0.98619942581265208</v>
      </c>
    </row>
    <row r="13" spans="1:17" hidden="1">
      <c r="A13">
        <v>11</v>
      </c>
      <c r="B13">
        <f t="shared" si="0"/>
        <v>2.1999999999999999E-2</v>
      </c>
      <c r="C13" s="10">
        <f t="shared" si="1"/>
        <v>1.0999999999999999E-2</v>
      </c>
      <c r="D13" s="10">
        <f t="shared" si="2"/>
        <v>2.1999999999999999E-2</v>
      </c>
      <c r="E13" s="10">
        <f t="shared" si="3"/>
        <v>3.3000000000000002E-2</v>
      </c>
      <c r="F13" s="25">
        <f t="shared" si="4"/>
        <v>9.2132093628904954E-4</v>
      </c>
      <c r="G13" s="8">
        <f t="shared" si="5"/>
        <v>0.99907867906371095</v>
      </c>
      <c r="H13" s="13">
        <f t="shared" si="9"/>
        <v>1.8520835183041262E-3</v>
      </c>
      <c r="I13" s="8">
        <f t="shared" si="6"/>
        <v>0.99814791648169587</v>
      </c>
      <c r="J13" s="14">
        <f t="shared" si="7"/>
        <v>2.7924923467828044E-3</v>
      </c>
      <c r="K13" s="8">
        <f t="shared" si="8"/>
        <v>0.9972075076532172</v>
      </c>
      <c r="L13" s="21">
        <v>11</v>
      </c>
      <c r="M13" s="5">
        <f t="shared" si="12"/>
        <v>0.99449400866827953</v>
      </c>
      <c r="N13" s="5">
        <f t="shared" si="10"/>
        <v>0.98897590083054754</v>
      </c>
      <c r="O13" s="5">
        <f t="shared" si="11"/>
        <v>0.98344547146366867</v>
      </c>
    </row>
    <row r="14" spans="1:17" hidden="1">
      <c r="A14">
        <v>12</v>
      </c>
      <c r="B14">
        <f t="shared" si="0"/>
        <v>2.4E-2</v>
      </c>
      <c r="C14" s="10">
        <f t="shared" si="1"/>
        <v>1.2E-2</v>
      </c>
      <c r="D14" s="10">
        <f t="shared" si="2"/>
        <v>2.4E-2</v>
      </c>
      <c r="E14" s="10">
        <f t="shared" si="3"/>
        <v>3.6000000000000004E-2</v>
      </c>
      <c r="F14" s="25">
        <f t="shared" si="4"/>
        <v>1.0055425391276573E-3</v>
      </c>
      <c r="G14" s="8">
        <f t="shared" si="5"/>
        <v>0.99899445746087234</v>
      </c>
      <c r="H14" s="13">
        <f t="shared" si="9"/>
        <v>2.0223433498771648E-3</v>
      </c>
      <c r="I14" s="8">
        <f t="shared" si="6"/>
        <v>0.99797765665012284</v>
      </c>
      <c r="J14" s="14">
        <f t="shared" si="7"/>
        <v>3.0506692540422931E-3</v>
      </c>
      <c r="K14" s="8">
        <f t="shared" si="8"/>
        <v>0.99694933074595771</v>
      </c>
      <c r="L14" s="21">
        <v>12</v>
      </c>
      <c r="M14" s="5">
        <f t="shared" si="12"/>
        <v>0.99349400263765597</v>
      </c>
      <c r="N14" s="5">
        <f t="shared" si="10"/>
        <v>0.98697585199431415</v>
      </c>
      <c r="O14" s="5">
        <f t="shared" si="11"/>
        <v>0.98044530460084733</v>
      </c>
    </row>
    <row r="15" spans="1:17" hidden="1">
      <c r="A15">
        <v>13</v>
      </c>
      <c r="B15">
        <f t="shared" si="0"/>
        <v>2.5999999999999999E-2</v>
      </c>
      <c r="C15" s="10">
        <f t="shared" si="1"/>
        <v>1.2999999999999999E-2</v>
      </c>
      <c r="D15" s="10">
        <f t="shared" si="2"/>
        <v>2.5999999999999999E-2</v>
      </c>
      <c r="E15" s="10">
        <f t="shared" si="3"/>
        <v>3.9E-2</v>
      </c>
      <c r="F15" s="25">
        <f t="shared" si="4"/>
        <v>1.0898423190723872E-3</v>
      </c>
      <c r="G15" s="8">
        <f t="shared" si="5"/>
        <v>0.99891015768092761</v>
      </c>
      <c r="H15" s="13">
        <f t="shared" si="9"/>
        <v>2.1929233010143934E-3</v>
      </c>
      <c r="I15" s="8">
        <f t="shared" si="6"/>
        <v>0.99780707669898561</v>
      </c>
      <c r="J15" s="14">
        <f t="shared" si="7"/>
        <v>3.3095837150599605E-3</v>
      </c>
      <c r="K15" s="8">
        <f t="shared" si="8"/>
        <v>0.99669041628494004</v>
      </c>
      <c r="L15" s="21">
        <v>13</v>
      </c>
      <c r="M15" s="5">
        <f t="shared" si="12"/>
        <v>0.99241125082983683</v>
      </c>
      <c r="N15" s="5">
        <f t="shared" si="10"/>
        <v>0.98481148965093723</v>
      </c>
      <c r="O15" s="5">
        <f t="shared" si="11"/>
        <v>0.97720043878723339</v>
      </c>
    </row>
    <row r="16" spans="1:17" hidden="1">
      <c r="A16">
        <v>14</v>
      </c>
      <c r="B16">
        <f t="shared" si="0"/>
        <v>2.8000000000000001E-2</v>
      </c>
      <c r="C16" s="10">
        <f t="shared" si="1"/>
        <v>1.4E-2</v>
      </c>
      <c r="D16" s="10">
        <f t="shared" si="2"/>
        <v>2.8000000000000001E-2</v>
      </c>
      <c r="E16" s="10">
        <f t="shared" si="3"/>
        <v>4.2000000000000003E-2</v>
      </c>
      <c r="F16" s="25">
        <f t="shared" si="4"/>
        <v>1.1742204280067448E-3</v>
      </c>
      <c r="G16" s="8">
        <f t="shared" si="5"/>
        <v>0.99882577957199326</v>
      </c>
      <c r="H16" s="13">
        <f t="shared" si="9"/>
        <v>2.3638246327857271E-3</v>
      </c>
      <c r="I16" s="8">
        <f t="shared" si="6"/>
        <v>0.99763617536721427</v>
      </c>
      <c r="J16" s="14">
        <f t="shared" si="7"/>
        <v>3.5692401492131154E-3</v>
      </c>
      <c r="K16" s="8">
        <f t="shared" si="8"/>
        <v>0.99643075985078688</v>
      </c>
      <c r="L16" s="21">
        <v>14</v>
      </c>
      <c r="M16" s="5">
        <f t="shared" si="12"/>
        <v>0.99124594126612875</v>
      </c>
      <c r="N16" s="5">
        <f t="shared" si="10"/>
        <v>0.98248356799304992</v>
      </c>
      <c r="O16" s="5">
        <f t="shared" si="11"/>
        <v>0.97371257574728531</v>
      </c>
    </row>
    <row r="17" spans="1:15" hidden="1">
      <c r="A17">
        <v>15</v>
      </c>
      <c r="B17">
        <f t="shared" si="0"/>
        <v>0.03</v>
      </c>
      <c r="C17" s="10">
        <f t="shared" si="1"/>
        <v>1.4999999999999999E-2</v>
      </c>
      <c r="D17" s="10">
        <f t="shared" si="2"/>
        <v>0.03</v>
      </c>
      <c r="E17" s="10">
        <f t="shared" si="3"/>
        <v>4.4999999999999998E-2</v>
      </c>
      <c r="F17" s="25">
        <f t="shared" si="4"/>
        <v>1.2586770182638762E-3</v>
      </c>
      <c r="G17" s="8">
        <f t="shared" si="5"/>
        <v>0.99874132298173612</v>
      </c>
      <c r="H17" s="13">
        <f t="shared" si="9"/>
        <v>2.5350486138366879E-3</v>
      </c>
      <c r="I17" s="8">
        <f t="shared" si="6"/>
        <v>0.99746495138616331</v>
      </c>
      <c r="J17" s="14">
        <f t="shared" si="7"/>
        <v>3.8296430163020645E-3</v>
      </c>
      <c r="K17" s="8">
        <f t="shared" si="8"/>
        <v>0.99617035698369794</v>
      </c>
      <c r="L17" s="21">
        <v>15</v>
      </c>
      <c r="M17" s="5">
        <f t="shared" si="12"/>
        <v>0.98999828278040969</v>
      </c>
      <c r="N17" s="5">
        <f t="shared" si="10"/>
        <v>0.97999292438589181</v>
      </c>
      <c r="O17" s="5">
        <f t="shared" si="11"/>
        <v>0.96998360418168927</v>
      </c>
    </row>
    <row r="18" spans="1:15" hidden="1">
      <c r="A18">
        <v>16</v>
      </c>
      <c r="B18">
        <f t="shared" si="0"/>
        <v>3.2000000000000001E-2</v>
      </c>
      <c r="C18" s="10">
        <f t="shared" si="1"/>
        <v>1.6E-2</v>
      </c>
      <c r="D18" s="10">
        <f t="shared" si="2"/>
        <v>3.2000000000000001E-2</v>
      </c>
      <c r="E18" s="10">
        <f t="shared" si="3"/>
        <v>4.8000000000000001E-2</v>
      </c>
      <c r="F18" s="25">
        <f t="shared" si="4"/>
        <v>1.3432122426282334E-3</v>
      </c>
      <c r="G18" s="8">
        <f t="shared" si="5"/>
        <v>0.99865678775737177</v>
      </c>
      <c r="H18" s="13">
        <f t="shared" si="9"/>
        <v>2.7065965204493558E-3</v>
      </c>
      <c r="I18" s="8">
        <f t="shared" si="6"/>
        <v>0.99729340347955064</v>
      </c>
      <c r="J18" s="14">
        <f t="shared" si="7"/>
        <v>4.0907968170484921E-3</v>
      </c>
      <c r="K18" s="8">
        <f t="shared" si="8"/>
        <v>0.99590920318295151</v>
      </c>
      <c r="L18" s="21">
        <v>16</v>
      </c>
      <c r="M18" s="5">
        <f t="shared" si="12"/>
        <v>0.98866850496679815</v>
      </c>
      <c r="N18" s="5">
        <f t="shared" si="10"/>
        <v>0.97734047894668397</v>
      </c>
      <c r="O18" s="5">
        <f t="shared" si="11"/>
        <v>0.96601559834111361</v>
      </c>
    </row>
    <row r="19" spans="1:15" hidden="1">
      <c r="A19">
        <v>17</v>
      </c>
      <c r="B19">
        <f t="shared" si="0"/>
        <v>3.3999999999999996E-2</v>
      </c>
      <c r="C19" s="10">
        <f t="shared" si="1"/>
        <v>1.6999999999999998E-2</v>
      </c>
      <c r="D19" s="10">
        <f t="shared" si="2"/>
        <v>3.3999999999999996E-2</v>
      </c>
      <c r="E19" s="10">
        <f t="shared" si="3"/>
        <v>5.099999999999999E-2</v>
      </c>
      <c r="F19" s="25">
        <f t="shared" si="4"/>
        <v>1.4278262543370168E-3</v>
      </c>
      <c r="G19" s="8">
        <f t="shared" si="5"/>
        <v>0.99857217374566298</v>
      </c>
      <c r="H19" s="13">
        <f t="shared" si="9"/>
        <v>2.8784696366042084E-3</v>
      </c>
      <c r="I19" s="8">
        <f t="shared" si="6"/>
        <v>0.99712153036339579</v>
      </c>
      <c r="J19" s="14">
        <f t="shared" si="7"/>
        <v>4.3527060936007222E-3</v>
      </c>
      <c r="K19" s="8">
        <f t="shared" si="8"/>
        <v>0.99564729390639928</v>
      </c>
      <c r="L19" s="21">
        <v>17</v>
      </c>
      <c r="M19" s="5">
        <f t="shared" si="12"/>
        <v>0.98725685811857045</v>
      </c>
      <c r="N19" s="5">
        <f t="shared" si="10"/>
        <v>0.97452723405341168</v>
      </c>
      <c r="O19" s="5">
        <f t="shared" si="11"/>
        <v>0.96181081635970089</v>
      </c>
    </row>
    <row r="20" spans="1:15" hidden="1">
      <c r="A20">
        <v>18</v>
      </c>
      <c r="B20">
        <f t="shared" si="0"/>
        <v>3.5999999999999997E-2</v>
      </c>
      <c r="C20" s="10">
        <f t="shared" si="1"/>
        <v>1.7999999999999999E-2</v>
      </c>
      <c r="D20" s="10">
        <f t="shared" si="2"/>
        <v>3.5999999999999997E-2</v>
      </c>
      <c r="E20" s="10">
        <f t="shared" si="3"/>
        <v>5.3999999999999992E-2</v>
      </c>
      <c r="F20" s="25">
        <f t="shared" si="4"/>
        <v>1.5125192070827298E-3</v>
      </c>
      <c r="G20" s="8">
        <f t="shared" si="5"/>
        <v>0.99848748079291727</v>
      </c>
      <c r="H20" s="13">
        <f t="shared" si="9"/>
        <v>3.0506692540422931E-3</v>
      </c>
      <c r="I20" s="8">
        <f t="shared" si="6"/>
        <v>0.99694933074595771</v>
      </c>
      <c r="J20" s="14">
        <f t="shared" si="7"/>
        <v>4.6153754300476413E-3</v>
      </c>
      <c r="K20" s="8">
        <f t="shared" si="8"/>
        <v>0.99538462456995236</v>
      </c>
      <c r="L20" s="21">
        <v>18</v>
      </c>
      <c r="M20" s="5">
        <f t="shared" si="12"/>
        <v>0.98576361315834193</v>
      </c>
      <c r="N20" s="5">
        <f t="shared" si="10"/>
        <v>0.97155427378325809</v>
      </c>
      <c r="O20" s="5">
        <f t="shared" si="11"/>
        <v>0.95737169834952029</v>
      </c>
    </row>
    <row r="21" spans="1:15" hidden="1">
      <c r="A21">
        <v>19</v>
      </c>
      <c r="B21">
        <f t="shared" si="0"/>
        <v>3.7999999999999999E-2</v>
      </c>
      <c r="C21" s="10">
        <f t="shared" si="1"/>
        <v>1.9E-2</v>
      </c>
      <c r="D21" s="10">
        <f t="shared" si="2"/>
        <v>3.7999999999999999E-2</v>
      </c>
      <c r="E21" s="10">
        <f t="shared" si="3"/>
        <v>5.6999999999999995E-2</v>
      </c>
      <c r="F21" s="25">
        <f t="shared" si="4"/>
        <v>1.5972912550143992E-3</v>
      </c>
      <c r="G21" s="8">
        <f t="shared" si="5"/>
        <v>0.9984027087449856</v>
      </c>
      <c r="H21" s="13">
        <f t="shared" si="9"/>
        <v>3.223196672329065E-3</v>
      </c>
      <c r="I21" s="8">
        <f t="shared" si="6"/>
        <v>0.99677680332767093</v>
      </c>
      <c r="J21" s="14">
        <f t="shared" si="7"/>
        <v>4.8788094529406134E-3</v>
      </c>
      <c r="K21" s="8">
        <f t="shared" si="8"/>
        <v>0.99512119054705939</v>
      </c>
      <c r="L21" s="21">
        <v>19</v>
      </c>
      <c r="M21" s="5">
        <f t="shared" si="12"/>
        <v>0.98418906155953267</v>
      </c>
      <c r="N21" s="5">
        <f t="shared" si="10"/>
        <v>0.96842276328101284</v>
      </c>
      <c r="O21" s="5">
        <f t="shared" si="11"/>
        <v>0.95270086425763489</v>
      </c>
    </row>
    <row r="22" spans="1:15" hidden="1">
      <c r="A22">
        <v>20</v>
      </c>
      <c r="B22">
        <f t="shared" si="0"/>
        <v>3.9999999999999994E-2</v>
      </c>
      <c r="C22" s="10">
        <f t="shared" si="1"/>
        <v>1.9999999999999997E-2</v>
      </c>
      <c r="D22" s="10">
        <f t="shared" si="2"/>
        <v>3.9999999999999994E-2</v>
      </c>
      <c r="E22" s="10">
        <f t="shared" si="3"/>
        <v>5.9999999999999991E-2</v>
      </c>
      <c r="F22" s="25">
        <f t="shared" si="4"/>
        <v>1.6821425527395739E-3</v>
      </c>
      <c r="G22" s="8">
        <f t="shared" si="5"/>
        <v>0.99831785744726043</v>
      </c>
      <c r="H22" s="13">
        <f t="shared" si="9"/>
        <v>3.3960531989175591E-3</v>
      </c>
      <c r="I22" s="8">
        <f t="shared" si="6"/>
        <v>0.99660394680108244</v>
      </c>
      <c r="J22" s="14">
        <f t="shared" si="7"/>
        <v>5.1430128318229462E-3</v>
      </c>
      <c r="K22" s="8">
        <f t="shared" si="8"/>
        <v>0.99485698716817705</v>
      </c>
      <c r="L22" s="21">
        <v>20</v>
      </c>
      <c r="M22" s="5">
        <f t="shared" si="12"/>
        <v>0.98253351525914256</v>
      </c>
      <c r="N22" s="5">
        <f t="shared" si="10"/>
        <v>0.96513394805786779</v>
      </c>
      <c r="O22" s="5">
        <f t="shared" si="11"/>
        <v>0.94780111148786905</v>
      </c>
    </row>
    <row r="23" spans="1:15" hidden="1">
      <c r="A23">
        <v>21</v>
      </c>
      <c r="B23">
        <f t="shared" si="0"/>
        <v>4.1999999999999996E-2</v>
      </c>
      <c r="C23" s="10">
        <f t="shared" si="1"/>
        <v>2.0999999999999998E-2</v>
      </c>
      <c r="D23" s="10">
        <f t="shared" si="2"/>
        <v>4.1999999999999996E-2</v>
      </c>
      <c r="E23" s="10">
        <f t="shared" si="3"/>
        <v>6.3E-2</v>
      </c>
      <c r="F23" s="25">
        <f t="shared" si="4"/>
        <v>1.7670732553261015E-3</v>
      </c>
      <c r="G23" s="8">
        <f t="shared" si="5"/>
        <v>0.9982329267446739</v>
      </c>
      <c r="H23" s="13">
        <f t="shared" si="9"/>
        <v>3.5692401492131154E-3</v>
      </c>
      <c r="I23" s="8">
        <f t="shared" si="6"/>
        <v>0.99643075985078688</v>
      </c>
      <c r="J23" s="14">
        <f t="shared" si="7"/>
        <v>5.4079902797683488E-3</v>
      </c>
      <c r="K23" s="8">
        <f t="shared" si="8"/>
        <v>0.99459200972023165</v>
      </c>
      <c r="L23" s="21">
        <v>21</v>
      </c>
      <c r="M23" s="5">
        <f t="shared" si="12"/>
        <v>0.98079730656186659</v>
      </c>
      <c r="N23" s="5">
        <f t="shared" si="10"/>
        <v>0.96168915322109105</v>
      </c>
      <c r="O23" s="5">
        <f t="shared" si="11"/>
        <v>0.94267541228978902</v>
      </c>
    </row>
    <row r="24" spans="1:15" hidden="1">
      <c r="A24">
        <v>22</v>
      </c>
      <c r="B24">
        <f t="shared" si="0"/>
        <v>4.3999999999999997E-2</v>
      </c>
      <c r="C24" s="10">
        <f t="shared" si="1"/>
        <v>2.1999999999999999E-2</v>
      </c>
      <c r="D24" s="10">
        <f t="shared" si="2"/>
        <v>4.3999999999999997E-2</v>
      </c>
      <c r="E24" s="10">
        <f t="shared" si="3"/>
        <v>6.6000000000000003E-2</v>
      </c>
      <c r="F24" s="25">
        <f t="shared" si="4"/>
        <v>1.8520835183041262E-3</v>
      </c>
      <c r="G24" s="8">
        <f t="shared" si="5"/>
        <v>0.99814791648169587</v>
      </c>
      <c r="H24" s="13">
        <f t="shared" si="9"/>
        <v>3.7427588466381057E-3</v>
      </c>
      <c r="I24" s="8">
        <f t="shared" si="6"/>
        <v>0.99625724115336189</v>
      </c>
      <c r="J24" s="14">
        <f t="shared" si="7"/>
        <v>5.6737465539274945E-3</v>
      </c>
      <c r="K24" s="8">
        <f t="shared" si="8"/>
        <v>0.99432625344607251</v>
      </c>
      <c r="L24" s="21">
        <v>22</v>
      </c>
      <c r="M24" s="5">
        <f t="shared" si="12"/>
        <v>0.9789807880355863</v>
      </c>
      <c r="N24" s="5">
        <f t="shared" si="10"/>
        <v>0.95808978263515687</v>
      </c>
      <c r="O24" s="5">
        <f t="shared" si="11"/>
        <v>0.9373269109178376</v>
      </c>
    </row>
    <row r="25" spans="1:15" hidden="1">
      <c r="A25">
        <v>23</v>
      </c>
      <c r="B25">
        <f t="shared" si="0"/>
        <v>4.5999999999999999E-2</v>
      </c>
      <c r="C25" s="10">
        <f t="shared" si="1"/>
        <v>2.3E-2</v>
      </c>
      <c r="D25" s="10">
        <f t="shared" si="2"/>
        <v>4.5999999999999999E-2</v>
      </c>
      <c r="E25" s="10">
        <f t="shared" si="3"/>
        <v>6.9000000000000006E-2</v>
      </c>
      <c r="F25" s="25">
        <f t="shared" si="4"/>
        <v>1.9371734976677546E-3</v>
      </c>
      <c r="G25" s="8">
        <f t="shared" si="5"/>
        <v>0.99806282650233225</v>
      </c>
      <c r="H25" s="13">
        <f>1-(1-D25)^(1/12)</f>
        <v>3.9166106226982134E-3</v>
      </c>
      <c r="I25" s="8">
        <f t="shared" si="6"/>
        <v>0.99608338937730179</v>
      </c>
      <c r="J25" s="14">
        <f t="shared" si="7"/>
        <v>5.9402864560834656E-3</v>
      </c>
      <c r="K25" s="8">
        <f t="shared" si="8"/>
        <v>0.99405971354391653</v>
      </c>
      <c r="L25" s="21">
        <v>23</v>
      </c>
      <c r="M25" s="5">
        <f t="shared" si="12"/>
        <v>0.97708433239827785</v>
      </c>
      <c r="N25" s="5">
        <f t="shared" si="10"/>
        <v>0.95433731801498944</v>
      </c>
      <c r="O25" s="5">
        <f t="shared" si="11"/>
        <v>0.93175892056398979</v>
      </c>
    </row>
    <row r="26" spans="1:15" hidden="1">
      <c r="A26">
        <v>24</v>
      </c>
      <c r="B26">
        <f t="shared" si="0"/>
        <v>4.8000000000000001E-2</v>
      </c>
      <c r="C26" s="10">
        <f t="shared" si="1"/>
        <v>2.4E-2</v>
      </c>
      <c r="D26" s="10">
        <f t="shared" si="2"/>
        <v>4.8000000000000001E-2</v>
      </c>
      <c r="E26" s="10">
        <f t="shared" si="3"/>
        <v>7.2000000000000008E-2</v>
      </c>
      <c r="F26" s="25">
        <f t="shared" si="4"/>
        <v>2.0223433498771648E-3</v>
      </c>
      <c r="G26" s="8">
        <f t="shared" si="5"/>
        <v>0.99797765665012284</v>
      </c>
      <c r="H26" s="13">
        <f t="shared" si="9"/>
        <v>4.0907968170484921E-3</v>
      </c>
      <c r="I26" s="8">
        <f t="shared" si="6"/>
        <v>0.99590920318295151</v>
      </c>
      <c r="J26" s="14">
        <f t="shared" si="7"/>
        <v>6.2076148332157466E-3</v>
      </c>
      <c r="K26" s="8">
        <f t="shared" si="8"/>
        <v>0.99379238516678425</v>
      </c>
      <c r="L26" s="21">
        <v>24</v>
      </c>
      <c r="M26" s="5">
        <f t="shared" si="12"/>
        <v>0.97510833239638306</v>
      </c>
      <c r="N26" s="5">
        <f t="shared" si="10"/>
        <v>0.95043331795206309</v>
      </c>
      <c r="O26" s="5">
        <f t="shared" si="11"/>
        <v>0.92597492006771565</v>
      </c>
    </row>
    <row r="27" spans="1:15" hidden="1">
      <c r="A27">
        <v>25</v>
      </c>
      <c r="B27">
        <f t="shared" si="0"/>
        <v>0.05</v>
      </c>
      <c r="C27" s="10">
        <f t="shared" si="1"/>
        <v>2.5000000000000001E-2</v>
      </c>
      <c r="D27" s="10">
        <f t="shared" si="2"/>
        <v>0.05</v>
      </c>
      <c r="E27" s="10">
        <f t="shared" si="3"/>
        <v>7.5000000000000011E-2</v>
      </c>
      <c r="F27" s="25">
        <f t="shared" si="4"/>
        <v>2.1075932318602719E-3</v>
      </c>
      <c r="G27" s="8">
        <f t="shared" si="5"/>
        <v>0.99789240676813973</v>
      </c>
      <c r="H27" s="13">
        <f t="shared" si="9"/>
        <v>4.2653187775606449E-3</v>
      </c>
      <c r="I27" s="8">
        <f t="shared" si="6"/>
        <v>0.99573468122243936</v>
      </c>
      <c r="J27" s="14">
        <f t="shared" si="7"/>
        <v>6.4757365780733211E-3</v>
      </c>
      <c r="K27" s="8">
        <f t="shared" si="8"/>
        <v>0.99352426342192668</v>
      </c>
      <c r="L27" s="21">
        <v>25</v>
      </c>
      <c r="M27" s="5">
        <f t="shared" si="12"/>
        <v>0.97305320067469392</v>
      </c>
      <c r="N27" s="5">
        <f t="shared" si="10"/>
        <v>0.94637941687418292</v>
      </c>
      <c r="O27" s="5">
        <f t="shared" si="11"/>
        <v>0.91997855040745458</v>
      </c>
    </row>
    <row r="28" spans="1:15" hidden="1">
      <c r="A28">
        <v>26</v>
      </c>
      <c r="B28">
        <f t="shared" si="0"/>
        <v>5.1999999999999998E-2</v>
      </c>
      <c r="C28" s="10">
        <f t="shared" si="1"/>
        <v>2.5999999999999999E-2</v>
      </c>
      <c r="D28" s="10">
        <f t="shared" si="2"/>
        <v>5.1999999999999998E-2</v>
      </c>
      <c r="E28" s="10">
        <f t="shared" si="3"/>
        <v>7.8E-2</v>
      </c>
      <c r="F28" s="25">
        <f t="shared" si="4"/>
        <v>2.1929233010143934E-3</v>
      </c>
      <c r="G28" s="8">
        <f t="shared" si="5"/>
        <v>0.99780707669898561</v>
      </c>
      <c r="H28" s="13">
        <f t="shared" si="9"/>
        <v>4.4401778603907482E-3</v>
      </c>
      <c r="I28" s="8">
        <f t="shared" si="6"/>
        <v>0.99555982213960925</v>
      </c>
      <c r="J28" s="14">
        <f t="shared" si="7"/>
        <v>6.7446566297570953E-3</v>
      </c>
      <c r="K28" s="8">
        <f t="shared" si="8"/>
        <v>0.9932553433702429</v>
      </c>
      <c r="L28" s="21">
        <v>26</v>
      </c>
      <c r="M28" s="5">
        <f t="shared" si="12"/>
        <v>0.97091936963780778</v>
      </c>
      <c r="N28" s="5">
        <f t="shared" si="10"/>
        <v>0.94217732393984865</v>
      </c>
      <c r="O28" s="5">
        <f t="shared" si="11"/>
        <v>0.91377361097821463</v>
      </c>
    </row>
    <row r="29" spans="1:15" hidden="1">
      <c r="A29">
        <v>27</v>
      </c>
      <c r="B29">
        <f t="shared" si="0"/>
        <v>5.3999999999999999E-2</v>
      </c>
      <c r="C29" s="10">
        <f t="shared" si="1"/>
        <v>2.7E-2</v>
      </c>
      <c r="D29" s="10">
        <f t="shared" si="2"/>
        <v>5.3999999999999999E-2</v>
      </c>
      <c r="E29" s="10">
        <f t="shared" si="3"/>
        <v>8.1000000000000003E-2</v>
      </c>
      <c r="F29" s="25">
        <f t="shared" si="4"/>
        <v>2.2783337152086913E-3</v>
      </c>
      <c r="G29" s="8">
        <f t="shared" si="5"/>
        <v>0.99772166628479131</v>
      </c>
      <c r="H29" s="13">
        <f t="shared" si="9"/>
        <v>4.6153754300476413E-3</v>
      </c>
      <c r="I29" s="8">
        <f t="shared" si="6"/>
        <v>0.99538462456995236</v>
      </c>
      <c r="J29" s="14">
        <f t="shared" si="7"/>
        <v>7.0143799743113133E-3</v>
      </c>
      <c r="K29" s="8">
        <f t="shared" si="8"/>
        <v>0.99298562002568869</v>
      </c>
      <c r="L29" s="21">
        <v>27</v>
      </c>
      <c r="M29" s="5">
        <f t="shared" si="12"/>
        <v>0.96870729130321276</v>
      </c>
      <c r="N29" s="5">
        <f t="shared" si="10"/>
        <v>0.93782882186818861</v>
      </c>
      <c r="O29" s="5">
        <f t="shared" si="11"/>
        <v>0.90736405566031486</v>
      </c>
    </row>
    <row r="30" spans="1:15" hidden="1">
      <c r="A30">
        <v>28</v>
      </c>
      <c r="B30">
        <f t="shared" si="0"/>
        <v>5.6000000000000001E-2</v>
      </c>
      <c r="C30" s="10">
        <f t="shared" si="1"/>
        <v>2.8000000000000001E-2</v>
      </c>
      <c r="D30" s="10">
        <f t="shared" si="2"/>
        <v>5.6000000000000001E-2</v>
      </c>
      <c r="E30" s="10">
        <f t="shared" si="3"/>
        <v>8.4000000000000005E-2</v>
      </c>
      <c r="F30" s="25">
        <f t="shared" si="4"/>
        <v>2.3638246327857271E-3</v>
      </c>
      <c r="G30" s="8">
        <f t="shared" si="5"/>
        <v>0.99763617536721427</v>
      </c>
      <c r="H30" s="13">
        <f t="shared" si="9"/>
        <v>4.7909128594627592E-3</v>
      </c>
      <c r="I30" s="8">
        <f t="shared" si="6"/>
        <v>0.99520908714053724</v>
      </c>
      <c r="J30" s="14">
        <f t="shared" si="7"/>
        <v>7.2849116453249652E-3</v>
      </c>
      <c r="K30" s="8">
        <f t="shared" si="8"/>
        <v>0.99271508835467503</v>
      </c>
      <c r="L30" s="21">
        <v>28</v>
      </c>
      <c r="M30" s="5">
        <f t="shared" si="12"/>
        <v>0.96641743714607109</v>
      </c>
      <c r="N30" s="5">
        <f t="shared" si="10"/>
        <v>0.93333576570552546</v>
      </c>
      <c r="O30" s="5">
        <f t="shared" si="11"/>
        <v>0.9007539886846857</v>
      </c>
    </row>
    <row r="31" spans="1:15" hidden="1">
      <c r="A31">
        <v>29</v>
      </c>
      <c r="B31">
        <f t="shared" si="0"/>
        <v>5.7999999999999996E-2</v>
      </c>
      <c r="C31" s="10">
        <f t="shared" si="1"/>
        <v>2.8999999999999998E-2</v>
      </c>
      <c r="D31" s="10">
        <f t="shared" si="2"/>
        <v>5.7999999999999996E-2</v>
      </c>
      <c r="E31" s="10">
        <f t="shared" si="3"/>
        <v>8.6999999999999994E-2</v>
      </c>
      <c r="F31" s="25">
        <f t="shared" si="4"/>
        <v>2.4493962125633484E-3</v>
      </c>
      <c r="G31" s="8">
        <f t="shared" si="5"/>
        <v>0.99755060378743665</v>
      </c>
      <c r="H31" s="13">
        <f t="shared" si="9"/>
        <v>4.9667915300590781E-3</v>
      </c>
      <c r="I31" s="8">
        <f t="shared" si="6"/>
        <v>0.99503320846994092</v>
      </c>
      <c r="J31" s="14">
        <f t="shared" si="7"/>
        <v>7.5562567245421874E-3</v>
      </c>
      <c r="K31" s="8">
        <f t="shared" si="8"/>
        <v>0.99244374327545781</v>
      </c>
      <c r="L31" s="21">
        <v>29</v>
      </c>
      <c r="M31" s="5">
        <f t="shared" si="12"/>
        <v>0.96405029793577035</v>
      </c>
      <c r="N31" s="5">
        <f t="shared" si="10"/>
        <v>0.92870008152971806</v>
      </c>
      <c r="O31" s="5">
        <f t="shared" si="11"/>
        <v>0.89394766030052886</v>
      </c>
    </row>
    <row r="32" spans="1:15" hidden="1">
      <c r="A32">
        <v>30</v>
      </c>
      <c r="B32">
        <f t="shared" si="0"/>
        <v>0.06</v>
      </c>
      <c r="C32" s="10">
        <f t="shared" si="1"/>
        <v>0.03</v>
      </c>
      <c r="D32" s="10">
        <f t="shared" si="2"/>
        <v>0.06</v>
      </c>
      <c r="E32" s="10">
        <f t="shared" si="3"/>
        <v>0.09</v>
      </c>
      <c r="F32" s="25">
        <f t="shared" si="4"/>
        <v>2.5350486138366879E-3</v>
      </c>
      <c r="G32" s="8">
        <f t="shared" si="5"/>
        <v>0.99746495138616331</v>
      </c>
      <c r="H32" s="13">
        <f t="shared" si="9"/>
        <v>5.1430128318229462E-3</v>
      </c>
      <c r="I32" s="8">
        <f t="shared" si="6"/>
        <v>0.99485698716817705</v>
      </c>
      <c r="J32" s="14">
        <f t="shared" si="7"/>
        <v>7.8284203424832111E-3</v>
      </c>
      <c r="K32" s="8">
        <f t="shared" si="8"/>
        <v>0.99217157965751679</v>
      </c>
      <c r="L32" s="21">
        <v>30</v>
      </c>
      <c r="M32" s="5">
        <f t="shared" si="12"/>
        <v>0.96160638356431938</v>
      </c>
      <c r="N32" s="5">
        <f t="shared" si="10"/>
        <v>0.92392376509349572</v>
      </c>
      <c r="O32" s="5">
        <f t="shared" si="11"/>
        <v>0.88694946225151694</v>
      </c>
    </row>
    <row r="33" spans="1:15" hidden="1">
      <c r="A33">
        <v>31</v>
      </c>
      <c r="B33">
        <f t="shared" si="0"/>
        <v>0.06</v>
      </c>
      <c r="C33" s="10">
        <f t="shared" si="1"/>
        <v>0.03</v>
      </c>
      <c r="D33" s="10">
        <f t="shared" si="2"/>
        <v>0.06</v>
      </c>
      <c r="E33" s="10">
        <f t="shared" si="3"/>
        <v>0.09</v>
      </c>
      <c r="F33" s="25">
        <f t="shared" si="4"/>
        <v>2.5350486138366879E-3</v>
      </c>
      <c r="G33" s="8">
        <f t="shared" si="5"/>
        <v>0.99746495138616331</v>
      </c>
      <c r="H33" s="13">
        <f t="shared" si="9"/>
        <v>5.1430128318229462E-3</v>
      </c>
      <c r="I33" s="8">
        <f t="shared" si="6"/>
        <v>0.99485698716817705</v>
      </c>
      <c r="J33" s="14">
        <f t="shared" si="7"/>
        <v>7.8284203424832111E-3</v>
      </c>
      <c r="K33" s="8">
        <f t="shared" si="8"/>
        <v>0.99217157965751679</v>
      </c>
      <c r="L33" s="21">
        <v>31</v>
      </c>
      <c r="M33" s="5">
        <f t="shared" si="12"/>
        <v>0.95916866463460815</v>
      </c>
      <c r="N33" s="5">
        <f t="shared" si="10"/>
        <v>0.91917201331399367</v>
      </c>
      <c r="O33" s="5">
        <f t="shared" si="11"/>
        <v>0.88000604903847257</v>
      </c>
    </row>
    <row r="34" spans="1:15" hidden="1">
      <c r="A34">
        <v>32</v>
      </c>
      <c r="B34">
        <f t="shared" si="0"/>
        <v>0.06</v>
      </c>
      <c r="C34" s="10">
        <f t="shared" si="1"/>
        <v>0.03</v>
      </c>
      <c r="D34" s="10">
        <f t="shared" si="2"/>
        <v>0.06</v>
      </c>
      <c r="E34" s="10">
        <f t="shared" si="3"/>
        <v>0.09</v>
      </c>
      <c r="F34" s="25">
        <f t="shared" si="4"/>
        <v>2.5350486138366879E-3</v>
      </c>
      <c r="G34" s="8">
        <f t="shared" si="5"/>
        <v>0.99746495138616331</v>
      </c>
      <c r="H34" s="13">
        <f t="shared" si="9"/>
        <v>5.1430128318229462E-3</v>
      </c>
      <c r="I34" s="8">
        <f t="shared" si="6"/>
        <v>0.99485698716817705</v>
      </c>
      <c r="J34" s="14">
        <f t="shared" si="7"/>
        <v>7.8284203424832111E-3</v>
      </c>
      <c r="K34" s="8">
        <f t="shared" si="8"/>
        <v>0.99217157965751679</v>
      </c>
      <c r="L34" s="21">
        <v>32</v>
      </c>
      <c r="M34" s="5">
        <f t="shared" si="12"/>
        <v>0.95673712544089062</v>
      </c>
      <c r="N34" s="5">
        <f t="shared" si="10"/>
        <v>0.91444469985486732</v>
      </c>
      <c r="O34" s="5">
        <f t="shared" si="11"/>
        <v>0.87311699178267155</v>
      </c>
    </row>
    <row r="35" spans="1:15" hidden="1">
      <c r="A35">
        <v>33</v>
      </c>
      <c r="B35">
        <f t="shared" si="0"/>
        <v>0.06</v>
      </c>
      <c r="C35" s="10">
        <f t="shared" si="1"/>
        <v>0.03</v>
      </c>
      <c r="D35" s="10">
        <f t="shared" si="2"/>
        <v>0.06</v>
      </c>
      <c r="E35" s="10">
        <f t="shared" si="3"/>
        <v>0.09</v>
      </c>
      <c r="F35" s="25">
        <f t="shared" si="4"/>
        <v>2.5350486138366879E-3</v>
      </c>
      <c r="G35" s="8">
        <f t="shared" si="5"/>
        <v>0.99746495138616331</v>
      </c>
      <c r="H35" s="13">
        <f t="shared" si="9"/>
        <v>5.1430128318229462E-3</v>
      </c>
      <c r="I35" s="8">
        <f t="shared" si="6"/>
        <v>0.99485698716817705</v>
      </c>
      <c r="J35" s="14">
        <f t="shared" si="7"/>
        <v>7.8284203424832111E-3</v>
      </c>
      <c r="K35" s="8">
        <f t="shared" si="8"/>
        <v>0.99217157965751679</v>
      </c>
      <c r="L35" s="21">
        <v>33</v>
      </c>
      <c r="M35" s="5">
        <f t="shared" si="12"/>
        <v>0.95431175031723559</v>
      </c>
      <c r="N35" s="5">
        <f t="shared" si="10"/>
        <v>0.90974169902952129</v>
      </c>
      <c r="O35" s="5">
        <f t="shared" si="11"/>
        <v>0.86628186496283233</v>
      </c>
    </row>
    <row r="36" spans="1:15" hidden="1">
      <c r="A36">
        <v>34</v>
      </c>
      <c r="B36">
        <f t="shared" si="0"/>
        <v>0.06</v>
      </c>
      <c r="C36" s="10">
        <f t="shared" si="1"/>
        <v>0.03</v>
      </c>
      <c r="D36" s="10">
        <f t="shared" si="2"/>
        <v>0.06</v>
      </c>
      <c r="E36" s="10">
        <f t="shared" si="3"/>
        <v>0.09</v>
      </c>
      <c r="F36" s="25">
        <f t="shared" si="4"/>
        <v>2.5350486138366879E-3</v>
      </c>
      <c r="G36" s="8">
        <f t="shared" si="5"/>
        <v>0.99746495138616331</v>
      </c>
      <c r="H36" s="13">
        <f t="shared" si="9"/>
        <v>5.1430128318229462E-3</v>
      </c>
      <c r="I36" s="8">
        <f t="shared" si="6"/>
        <v>0.99485698716817705</v>
      </c>
      <c r="J36" s="14">
        <f t="shared" si="7"/>
        <v>7.8284203424832111E-3</v>
      </c>
      <c r="K36" s="8">
        <f t="shared" si="8"/>
        <v>0.99217157965751679</v>
      </c>
      <c r="L36" s="21">
        <v>34</v>
      </c>
      <c r="M36" s="5">
        <f t="shared" si="12"/>
        <v>0.95189252363742582</v>
      </c>
      <c r="N36" s="5">
        <f t="shared" si="10"/>
        <v>0.90506288579776806</v>
      </c>
      <c r="O36" s="5">
        <f t="shared" si="11"/>
        <v>0.85950024638883304</v>
      </c>
    </row>
    <row r="37" spans="1:15" hidden="1">
      <c r="A37">
        <v>35</v>
      </c>
      <c r="B37">
        <f t="shared" si="0"/>
        <v>0.06</v>
      </c>
      <c r="C37" s="10">
        <f t="shared" si="1"/>
        <v>0.03</v>
      </c>
      <c r="D37" s="10">
        <f t="shared" si="2"/>
        <v>0.06</v>
      </c>
      <c r="E37" s="10">
        <f t="shared" si="3"/>
        <v>0.09</v>
      </c>
      <c r="F37" s="25">
        <f t="shared" si="4"/>
        <v>2.5350486138366879E-3</v>
      </c>
      <c r="G37" s="8">
        <f t="shared" si="5"/>
        <v>0.99746495138616331</v>
      </c>
      <c r="H37" s="13">
        <f t="shared" si="9"/>
        <v>5.1430128318229462E-3</v>
      </c>
      <c r="I37" s="8">
        <f t="shared" si="6"/>
        <v>0.99485698716817705</v>
      </c>
      <c r="J37" s="14">
        <f t="shared" si="7"/>
        <v>7.8284203424832111E-3</v>
      </c>
      <c r="K37" s="8">
        <f t="shared" si="8"/>
        <v>0.99217157965751679</v>
      </c>
      <c r="L37" s="21">
        <v>35</v>
      </c>
      <c r="M37" s="5">
        <f t="shared" si="12"/>
        <v>0.94947942981485722</v>
      </c>
      <c r="N37" s="5">
        <f t="shared" si="10"/>
        <v>0.90040813576250345</v>
      </c>
      <c r="O37" s="5">
        <f t="shared" si="11"/>
        <v>0.85277171717563338</v>
      </c>
    </row>
    <row r="38" spans="1:15" hidden="1">
      <c r="A38">
        <v>36</v>
      </c>
      <c r="B38">
        <f t="shared" si="0"/>
        <v>0.06</v>
      </c>
      <c r="C38" s="10">
        <f t="shared" si="1"/>
        <v>0.03</v>
      </c>
      <c r="D38" s="10">
        <f t="shared" si="2"/>
        <v>0.06</v>
      </c>
      <c r="E38" s="10">
        <f t="shared" si="3"/>
        <v>0.09</v>
      </c>
      <c r="F38" s="25">
        <f t="shared" si="4"/>
        <v>2.5350486138366879E-3</v>
      </c>
      <c r="G38" s="8">
        <f t="shared" si="5"/>
        <v>0.99746495138616331</v>
      </c>
      <c r="H38" s="13">
        <f t="shared" si="9"/>
        <v>5.1430128318229462E-3</v>
      </c>
      <c r="I38" s="8">
        <f t="shared" si="6"/>
        <v>0.99485698716817705</v>
      </c>
      <c r="J38" s="14">
        <f t="shared" si="7"/>
        <v>7.8284203424832111E-3</v>
      </c>
      <c r="K38" s="8">
        <f t="shared" si="8"/>
        <v>0.99217157965751679</v>
      </c>
      <c r="L38" s="21">
        <v>36</v>
      </c>
      <c r="M38" s="5">
        <f t="shared" si="12"/>
        <v>0.94707245330243861</v>
      </c>
      <c r="N38" s="5">
        <f t="shared" si="10"/>
        <v>0.89577732516639907</v>
      </c>
      <c r="O38" s="5">
        <f t="shared" si="11"/>
        <v>0.84609586171740137</v>
      </c>
    </row>
    <row r="39" spans="1:15" hidden="1">
      <c r="A39">
        <v>37</v>
      </c>
      <c r="B39">
        <f t="shared" si="0"/>
        <v>0.06</v>
      </c>
      <c r="C39" s="10">
        <f t="shared" si="1"/>
        <v>0.03</v>
      </c>
      <c r="D39" s="10">
        <f t="shared" si="2"/>
        <v>0.06</v>
      </c>
      <c r="E39" s="10">
        <f t="shared" si="3"/>
        <v>0.09</v>
      </c>
      <c r="F39" s="25">
        <f t="shared" si="4"/>
        <v>2.5350486138366879E-3</v>
      </c>
      <c r="G39" s="8">
        <f t="shared" si="5"/>
        <v>0.99746495138616331</v>
      </c>
      <c r="H39" s="13">
        <f t="shared" si="9"/>
        <v>5.1430128318229462E-3</v>
      </c>
      <c r="I39" s="8">
        <f t="shared" si="6"/>
        <v>0.99485698716817705</v>
      </c>
      <c r="J39" s="14">
        <f t="shared" si="7"/>
        <v>7.8284203424832111E-3</v>
      </c>
      <c r="K39" s="8">
        <f t="shared" si="8"/>
        <v>0.99217157965751679</v>
      </c>
      <c r="L39" s="21">
        <v>37</v>
      </c>
      <c r="M39" s="5">
        <f t="shared" si="12"/>
        <v>0.9446715785924914</v>
      </c>
      <c r="N39" s="5">
        <f t="shared" si="10"/>
        <v>0.89117033088861219</v>
      </c>
      <c r="O39" s="5">
        <f t="shared" si="11"/>
        <v>0.83947226766184202</v>
      </c>
    </row>
    <row r="40" spans="1:15" hidden="1">
      <c r="A40">
        <v>38</v>
      </c>
      <c r="B40">
        <f t="shared" si="0"/>
        <v>0.06</v>
      </c>
      <c r="C40" s="10">
        <f t="shared" si="1"/>
        <v>0.03</v>
      </c>
      <c r="D40" s="10">
        <f t="shared" si="2"/>
        <v>0.06</v>
      </c>
      <c r="E40" s="10">
        <f t="shared" si="3"/>
        <v>0.09</v>
      </c>
      <c r="F40" s="25">
        <f t="shared" si="4"/>
        <v>2.5350486138366879E-3</v>
      </c>
      <c r="G40" s="8">
        <f t="shared" si="5"/>
        <v>0.99746495138616331</v>
      </c>
      <c r="H40" s="13">
        <f t="shared" si="9"/>
        <v>5.1430128318229462E-3</v>
      </c>
      <c r="I40" s="8">
        <f t="shared" si="6"/>
        <v>0.99485698716817705</v>
      </c>
      <c r="J40" s="14">
        <f t="shared" si="7"/>
        <v>7.8284203424832111E-3</v>
      </c>
      <c r="K40" s="8">
        <f t="shared" si="8"/>
        <v>0.99217157965751679</v>
      </c>
      <c r="L40" s="21">
        <v>38</v>
      </c>
      <c r="M40" s="5">
        <f t="shared" si="12"/>
        <v>0.94227679021664956</v>
      </c>
      <c r="N40" s="5">
        <f t="shared" si="10"/>
        <v>0.88658703044151221</v>
      </c>
      <c r="O40" s="5">
        <f t="shared" si="11"/>
        <v>0.83290052588472752</v>
      </c>
    </row>
    <row r="41" spans="1:15" hidden="1">
      <c r="A41">
        <v>39</v>
      </c>
      <c r="B41">
        <f t="shared" si="0"/>
        <v>0.06</v>
      </c>
      <c r="C41" s="10">
        <f t="shared" si="1"/>
        <v>0.03</v>
      </c>
      <c r="D41" s="10">
        <f t="shared" si="2"/>
        <v>0.06</v>
      </c>
      <c r="E41" s="10">
        <f t="shared" si="3"/>
        <v>0.09</v>
      </c>
      <c r="F41" s="25">
        <f t="shared" si="4"/>
        <v>2.5350486138366879E-3</v>
      </c>
      <c r="G41" s="8">
        <f t="shared" si="5"/>
        <v>0.99746495138616331</v>
      </c>
      <c r="H41" s="13">
        <f t="shared" si="9"/>
        <v>5.1430128318229462E-3</v>
      </c>
      <c r="I41" s="8">
        <f t="shared" si="6"/>
        <v>0.99485698716817705</v>
      </c>
      <c r="J41" s="14">
        <f t="shared" si="7"/>
        <v>7.8284203424832111E-3</v>
      </c>
      <c r="K41" s="8">
        <f t="shared" si="8"/>
        <v>0.99217157965751679</v>
      </c>
      <c r="L41" s="21">
        <v>39</v>
      </c>
      <c r="M41" s="5">
        <f t="shared" si="12"/>
        <v>0.93988807274576036</v>
      </c>
      <c r="N41" s="5">
        <f t="shared" si="10"/>
        <v>0.88202730196742374</v>
      </c>
      <c r="O41" s="5">
        <f t="shared" si="11"/>
        <v>0.8263802304646265</v>
      </c>
    </row>
    <row r="42" spans="1:15" hidden="1">
      <c r="A42">
        <v>40</v>
      </c>
      <c r="B42">
        <f t="shared" si="0"/>
        <v>0.06</v>
      </c>
      <c r="C42" s="10">
        <f t="shared" si="1"/>
        <v>0.03</v>
      </c>
      <c r="D42" s="10">
        <f t="shared" si="2"/>
        <v>0.06</v>
      </c>
      <c r="E42" s="10">
        <f t="shared" si="3"/>
        <v>0.09</v>
      </c>
      <c r="F42" s="25">
        <f t="shared" si="4"/>
        <v>2.5350486138366879E-3</v>
      </c>
      <c r="G42" s="8">
        <f t="shared" si="5"/>
        <v>0.99746495138616331</v>
      </c>
      <c r="H42" s="13">
        <f t="shared" si="9"/>
        <v>5.1430128318229462E-3</v>
      </c>
      <c r="I42" s="8">
        <f t="shared" si="6"/>
        <v>0.99485698716817705</v>
      </c>
      <c r="J42" s="14">
        <f t="shared" si="7"/>
        <v>7.8284203424832111E-3</v>
      </c>
      <c r="K42" s="8">
        <f t="shared" si="8"/>
        <v>0.99217157965751679</v>
      </c>
      <c r="L42" s="21">
        <v>40</v>
      </c>
      <c r="M42" s="5">
        <f t="shared" si="12"/>
        <v>0.93750541078978455</v>
      </c>
      <c r="N42" s="5">
        <f t="shared" si="10"/>
        <v>0.87749102423538705</v>
      </c>
      <c r="O42" s="5">
        <f t="shared" si="11"/>
        <v>0.81991097865783125</v>
      </c>
    </row>
    <row r="43" spans="1:15" hidden="1">
      <c r="A43">
        <v>41</v>
      </c>
      <c r="B43">
        <f t="shared" si="0"/>
        <v>0.06</v>
      </c>
      <c r="C43" s="10">
        <f t="shared" si="1"/>
        <v>0.03</v>
      </c>
      <c r="D43" s="10">
        <f t="shared" si="2"/>
        <v>0.06</v>
      </c>
      <c r="E43" s="10">
        <f t="shared" si="3"/>
        <v>0.09</v>
      </c>
      <c r="F43" s="25">
        <f t="shared" si="4"/>
        <v>2.5350486138366879E-3</v>
      </c>
      <c r="G43" s="8">
        <f t="shared" si="5"/>
        <v>0.99746495138616331</v>
      </c>
      <c r="H43" s="13">
        <f t="shared" si="9"/>
        <v>5.1430128318229462E-3</v>
      </c>
      <c r="I43" s="8">
        <f t="shared" si="6"/>
        <v>0.99485698716817705</v>
      </c>
      <c r="J43" s="14">
        <f t="shared" si="7"/>
        <v>7.8284203424832111E-3</v>
      </c>
      <c r="K43" s="8">
        <f t="shared" si="8"/>
        <v>0.99217157965751679</v>
      </c>
      <c r="L43" s="21">
        <v>41</v>
      </c>
      <c r="M43" s="5">
        <f t="shared" si="12"/>
        <v>0.93512878899769747</v>
      </c>
      <c r="N43" s="5">
        <f t="shared" si="10"/>
        <v>0.87297807663793503</v>
      </c>
      <c r="O43" s="5">
        <f t="shared" si="11"/>
        <v>0.81349237087348092</v>
      </c>
    </row>
    <row r="44" spans="1:15" hidden="1">
      <c r="A44">
        <v>42</v>
      </c>
      <c r="B44">
        <f t="shared" si="0"/>
        <v>0.06</v>
      </c>
      <c r="C44" s="10">
        <f t="shared" si="1"/>
        <v>0.03</v>
      </c>
      <c r="D44" s="10">
        <f t="shared" si="2"/>
        <v>0.06</v>
      </c>
      <c r="E44" s="10">
        <f t="shared" si="3"/>
        <v>0.09</v>
      </c>
      <c r="F44" s="25">
        <f t="shared" si="4"/>
        <v>2.5350486138366879E-3</v>
      </c>
      <c r="G44" s="8">
        <f t="shared" si="5"/>
        <v>0.99746495138616331</v>
      </c>
      <c r="H44" s="13">
        <f t="shared" si="9"/>
        <v>5.1430128318229462E-3</v>
      </c>
      <c r="I44" s="8">
        <f t="shared" si="6"/>
        <v>0.99485698716817705</v>
      </c>
      <c r="J44" s="14">
        <f t="shared" si="7"/>
        <v>7.8284203424832111E-3</v>
      </c>
      <c r="K44" s="8">
        <f t="shared" si="8"/>
        <v>0.99217157965751679</v>
      </c>
      <c r="L44" s="21">
        <v>42</v>
      </c>
      <c r="M44" s="5">
        <f t="shared" si="12"/>
        <v>0.93275819205739008</v>
      </c>
      <c r="N44" s="5">
        <f t="shared" si="10"/>
        <v>0.86848833918788604</v>
      </c>
      <c r="O44" s="5">
        <f t="shared" si="11"/>
        <v>0.80712401064888006</v>
      </c>
    </row>
    <row r="45" spans="1:15" hidden="1">
      <c r="A45">
        <v>43</v>
      </c>
      <c r="B45">
        <f t="shared" si="0"/>
        <v>0.06</v>
      </c>
      <c r="C45" s="10">
        <f t="shared" si="1"/>
        <v>0.03</v>
      </c>
      <c r="D45" s="10">
        <f t="shared" si="2"/>
        <v>0.06</v>
      </c>
      <c r="E45" s="10">
        <f t="shared" si="3"/>
        <v>0.09</v>
      </c>
      <c r="F45" s="25">
        <f t="shared" si="4"/>
        <v>2.5350486138366879E-3</v>
      </c>
      <c r="G45" s="8">
        <f t="shared" si="5"/>
        <v>0.99746495138616331</v>
      </c>
      <c r="H45" s="13">
        <f t="shared" si="9"/>
        <v>5.1430128318229462E-3</v>
      </c>
      <c r="I45" s="8">
        <f t="shared" si="6"/>
        <v>0.99485698716817705</v>
      </c>
      <c r="J45" s="14">
        <f t="shared" si="7"/>
        <v>7.8284203424832111E-3</v>
      </c>
      <c r="K45" s="8">
        <f t="shared" si="8"/>
        <v>0.99217157965751679</v>
      </c>
      <c r="L45" s="21">
        <v>43</v>
      </c>
      <c r="M45" s="5">
        <f t="shared" si="12"/>
        <v>0.9303936046955702</v>
      </c>
      <c r="N45" s="5">
        <f t="shared" si="10"/>
        <v>0.86402169251515415</v>
      </c>
      <c r="O45" s="5">
        <f t="shared" si="11"/>
        <v>0.80080550462500977</v>
      </c>
    </row>
    <row r="46" spans="1:15" hidden="1">
      <c r="A46">
        <v>44</v>
      </c>
      <c r="B46">
        <f t="shared" si="0"/>
        <v>0.06</v>
      </c>
      <c r="C46" s="10">
        <f t="shared" si="1"/>
        <v>0.03</v>
      </c>
      <c r="D46" s="10">
        <f t="shared" si="2"/>
        <v>0.06</v>
      </c>
      <c r="E46" s="10">
        <f t="shared" si="3"/>
        <v>0.09</v>
      </c>
      <c r="F46" s="25">
        <f t="shared" si="4"/>
        <v>2.5350486138366879E-3</v>
      </c>
      <c r="G46" s="8">
        <f t="shared" si="5"/>
        <v>0.99746495138616331</v>
      </c>
      <c r="H46" s="13">
        <f t="shared" si="9"/>
        <v>5.1430128318229462E-3</v>
      </c>
      <c r="I46" s="8">
        <f t="shared" si="6"/>
        <v>0.99485698716817705</v>
      </c>
      <c r="J46" s="14">
        <f t="shared" si="7"/>
        <v>7.8284203424832111E-3</v>
      </c>
      <c r="K46" s="8">
        <f t="shared" si="8"/>
        <v>0.99217157965751679</v>
      </c>
      <c r="L46" s="21">
        <v>44</v>
      </c>
      <c r="M46" s="5">
        <f t="shared" si="12"/>
        <v>0.92803501167766422</v>
      </c>
      <c r="N46" s="5">
        <f t="shared" si="10"/>
        <v>0.85957801786357535</v>
      </c>
      <c r="O46" s="5">
        <f t="shared" si="11"/>
        <v>0.79453646252223076</v>
      </c>
    </row>
    <row r="47" spans="1:15" hidden="1">
      <c r="A47">
        <v>45</v>
      </c>
      <c r="B47">
        <f t="shared" si="0"/>
        <v>0.06</v>
      </c>
      <c r="C47" s="10">
        <f t="shared" si="1"/>
        <v>0.03</v>
      </c>
      <c r="D47" s="10">
        <f t="shared" si="2"/>
        <v>0.06</v>
      </c>
      <c r="E47" s="10">
        <f t="shared" si="3"/>
        <v>0.09</v>
      </c>
      <c r="F47" s="25">
        <f t="shared" si="4"/>
        <v>2.5350486138366879E-3</v>
      </c>
      <c r="G47" s="8">
        <f t="shared" si="5"/>
        <v>0.99746495138616331</v>
      </c>
      <c r="H47" s="13">
        <f t="shared" si="9"/>
        <v>5.1430128318229462E-3</v>
      </c>
      <c r="I47" s="8">
        <f t="shared" si="6"/>
        <v>0.99485698716817705</v>
      </c>
      <c r="J47" s="14">
        <f t="shared" si="7"/>
        <v>7.8284203424832111E-3</v>
      </c>
      <c r="K47" s="8">
        <f t="shared" si="8"/>
        <v>0.99217157965751679</v>
      </c>
      <c r="L47" s="21">
        <v>45</v>
      </c>
      <c r="M47" s="5">
        <f t="shared" si="12"/>
        <v>0.92568239780771888</v>
      </c>
      <c r="N47" s="5">
        <f t="shared" si="10"/>
        <v>0.85515719708775007</v>
      </c>
      <c r="O47" s="5">
        <f t="shared" si="11"/>
        <v>0.78831649711617713</v>
      </c>
    </row>
    <row r="48" spans="1:15" hidden="1">
      <c r="A48">
        <v>46</v>
      </c>
      <c r="B48">
        <f t="shared" si="0"/>
        <v>0.06</v>
      </c>
      <c r="C48" s="10">
        <f t="shared" si="1"/>
        <v>0.03</v>
      </c>
      <c r="D48" s="10">
        <f t="shared" si="2"/>
        <v>0.06</v>
      </c>
      <c r="E48" s="10">
        <f t="shared" si="3"/>
        <v>0.09</v>
      </c>
      <c r="F48" s="25">
        <f t="shared" si="4"/>
        <v>2.5350486138366879E-3</v>
      </c>
      <c r="G48" s="8">
        <f t="shared" si="5"/>
        <v>0.99746495138616331</v>
      </c>
      <c r="H48" s="13">
        <f t="shared" si="9"/>
        <v>5.1430128318229462E-3</v>
      </c>
      <c r="I48" s="8">
        <f t="shared" si="6"/>
        <v>0.99485698716817705</v>
      </c>
      <c r="J48" s="14">
        <f t="shared" si="7"/>
        <v>7.8284203424832111E-3</v>
      </c>
      <c r="K48" s="8">
        <f t="shared" si="8"/>
        <v>0.99217157965751679</v>
      </c>
      <c r="L48" s="21">
        <v>46</v>
      </c>
      <c r="M48" s="5">
        <f t="shared" si="12"/>
        <v>0.92333574792830342</v>
      </c>
      <c r="N48" s="5">
        <f t="shared" si="10"/>
        <v>0.85075911264990201</v>
      </c>
      <c r="O48" s="5">
        <f t="shared" si="11"/>
        <v>0.7821452242138377</v>
      </c>
    </row>
    <row r="49" spans="1:15" hidden="1">
      <c r="A49">
        <v>47</v>
      </c>
      <c r="B49">
        <f t="shared" si="0"/>
        <v>0.06</v>
      </c>
      <c r="C49" s="10">
        <f t="shared" si="1"/>
        <v>0.03</v>
      </c>
      <c r="D49" s="10">
        <f t="shared" si="2"/>
        <v>0.06</v>
      </c>
      <c r="E49" s="10">
        <f t="shared" si="3"/>
        <v>0.09</v>
      </c>
      <c r="F49" s="25">
        <f t="shared" si="4"/>
        <v>2.5350486138366879E-3</v>
      </c>
      <c r="G49" s="8">
        <f t="shared" si="5"/>
        <v>0.99746495138616331</v>
      </c>
      <c r="H49" s="13">
        <f t="shared" si="9"/>
        <v>5.1430128318229462E-3</v>
      </c>
      <c r="I49" s="8">
        <f t="shared" si="6"/>
        <v>0.99485698716817705</v>
      </c>
      <c r="J49" s="14">
        <f t="shared" si="7"/>
        <v>7.8284203424832111E-3</v>
      </c>
      <c r="K49" s="8">
        <f t="shared" si="8"/>
        <v>0.99217157965751679</v>
      </c>
      <c r="L49" s="21">
        <v>47</v>
      </c>
      <c r="M49" s="5">
        <f t="shared" si="12"/>
        <v>0.9209950469204119</v>
      </c>
      <c r="N49" s="5">
        <f t="shared" si="10"/>
        <v>0.84638364761675322</v>
      </c>
      <c r="O49" s="5">
        <f t="shared" si="11"/>
        <v>0.77602226262982599</v>
      </c>
    </row>
    <row r="50" spans="1:15" hidden="1">
      <c r="A50">
        <v>48</v>
      </c>
      <c r="B50">
        <f t="shared" si="0"/>
        <v>0.06</v>
      </c>
      <c r="C50" s="10">
        <f t="shared" si="1"/>
        <v>0.03</v>
      </c>
      <c r="D50" s="10">
        <f t="shared" si="2"/>
        <v>0.06</v>
      </c>
      <c r="E50" s="10">
        <f t="shared" si="3"/>
        <v>0.09</v>
      </c>
      <c r="F50" s="25">
        <f t="shared" si="4"/>
        <v>2.5350486138366879E-3</v>
      </c>
      <c r="G50" s="8">
        <f t="shared" si="5"/>
        <v>0.99746495138616331</v>
      </c>
      <c r="H50" s="13">
        <f t="shared" si="9"/>
        <v>5.1430128318229462E-3</v>
      </c>
      <c r="I50" s="8">
        <f t="shared" si="6"/>
        <v>0.99485698716817705</v>
      </c>
      <c r="J50" s="14">
        <f t="shared" si="7"/>
        <v>7.8284203424832111E-3</v>
      </c>
      <c r="K50" s="8">
        <f t="shared" si="8"/>
        <v>0.99217157965751679</v>
      </c>
      <c r="L50" s="21">
        <v>48</v>
      </c>
      <c r="M50" s="5">
        <f t="shared" si="12"/>
        <v>0.91866027970336583</v>
      </c>
      <c r="N50" s="5">
        <f t="shared" si="10"/>
        <v>0.84203068565641515</v>
      </c>
      <c r="O50" s="5">
        <f t="shared" si="11"/>
        <v>0.76994723416283484</v>
      </c>
    </row>
    <row r="51" spans="1:15" hidden="1">
      <c r="A51">
        <v>49</v>
      </c>
      <c r="B51">
        <f t="shared" si="0"/>
        <v>0.06</v>
      </c>
      <c r="C51" s="10">
        <f t="shared" si="1"/>
        <v>0.03</v>
      </c>
      <c r="D51" s="10">
        <f t="shared" si="2"/>
        <v>0.06</v>
      </c>
      <c r="E51" s="10">
        <f t="shared" si="3"/>
        <v>0.09</v>
      </c>
      <c r="F51" s="25">
        <f t="shared" si="4"/>
        <v>2.5350486138366879E-3</v>
      </c>
      <c r="G51" s="8">
        <f t="shared" si="5"/>
        <v>0.99746495138616331</v>
      </c>
      <c r="H51" s="13">
        <f t="shared" si="9"/>
        <v>5.1430128318229462E-3</v>
      </c>
      <c r="I51" s="8">
        <f t="shared" si="6"/>
        <v>0.99485698716817705</v>
      </c>
      <c r="J51" s="14">
        <f t="shared" si="7"/>
        <v>7.8284203424832111E-3</v>
      </c>
      <c r="K51" s="8">
        <f t="shared" si="8"/>
        <v>0.99217157965751679</v>
      </c>
      <c r="L51" s="21">
        <v>49</v>
      </c>
      <c r="M51" s="5">
        <f t="shared" si="12"/>
        <v>0.91633143123471694</v>
      </c>
      <c r="N51" s="5">
        <f t="shared" si="10"/>
        <v>0.83770011103529551</v>
      </c>
      <c r="O51" s="5">
        <f t="shared" si="11"/>
        <v>0.76391976357227587</v>
      </c>
    </row>
    <row r="52" spans="1:15" hidden="1">
      <c r="A52">
        <v>50</v>
      </c>
      <c r="B52">
        <f t="shared" si="0"/>
        <v>0.06</v>
      </c>
      <c r="C52" s="10">
        <f t="shared" si="1"/>
        <v>0.03</v>
      </c>
      <c r="D52" s="10">
        <f t="shared" si="2"/>
        <v>0.06</v>
      </c>
      <c r="E52" s="10">
        <f t="shared" si="3"/>
        <v>0.09</v>
      </c>
      <c r="F52" s="25">
        <f t="shared" si="4"/>
        <v>2.5350486138366879E-3</v>
      </c>
      <c r="G52" s="8">
        <f t="shared" si="5"/>
        <v>0.99746495138616331</v>
      </c>
      <c r="H52" s="13">
        <f t="shared" si="9"/>
        <v>5.1430128318229462E-3</v>
      </c>
      <c r="I52" s="8">
        <f t="shared" si="6"/>
        <v>0.99485698716817705</v>
      </c>
      <c r="J52" s="14">
        <f t="shared" si="7"/>
        <v>7.8284203424832111E-3</v>
      </c>
      <c r="K52" s="8">
        <f t="shared" si="8"/>
        <v>0.99217157965751679</v>
      </c>
      <c r="L52" s="21">
        <v>50</v>
      </c>
      <c r="M52" s="5">
        <f t="shared" si="12"/>
        <v>0.91400848651015043</v>
      </c>
      <c r="N52" s="5">
        <f t="shared" si="10"/>
        <v>0.83339180861502149</v>
      </c>
      <c r="O52" s="5">
        <f t="shared" si="11"/>
        <v>0.75793947855510169</v>
      </c>
    </row>
    <row r="53" spans="1:15" hidden="1">
      <c r="A53">
        <v>51</v>
      </c>
      <c r="B53">
        <f t="shared" si="0"/>
        <v>0.06</v>
      </c>
      <c r="C53" s="10">
        <f t="shared" si="1"/>
        <v>0.03</v>
      </c>
      <c r="D53" s="10">
        <f t="shared" si="2"/>
        <v>0.06</v>
      </c>
      <c r="E53" s="10">
        <f t="shared" si="3"/>
        <v>0.09</v>
      </c>
      <c r="F53" s="25">
        <f t="shared" si="4"/>
        <v>2.5350486138366879E-3</v>
      </c>
      <c r="G53" s="8">
        <f t="shared" si="5"/>
        <v>0.99746495138616331</v>
      </c>
      <c r="H53" s="13">
        <f t="shared" si="9"/>
        <v>5.1430128318229462E-3</v>
      </c>
      <c r="I53" s="8">
        <f t="shared" si="6"/>
        <v>0.99485698716817705</v>
      </c>
      <c r="J53" s="14">
        <f t="shared" si="7"/>
        <v>7.8284203424832111E-3</v>
      </c>
      <c r="K53" s="8">
        <f t="shared" si="8"/>
        <v>0.99217157965751679</v>
      </c>
      <c r="L53" s="21">
        <v>51</v>
      </c>
      <c r="M53" s="5">
        <f t="shared" si="12"/>
        <v>0.91169143056338786</v>
      </c>
      <c r="N53" s="5">
        <f t="shared" si="10"/>
        <v>0.82910566384937834</v>
      </c>
      <c r="O53" s="5">
        <f t="shared" si="11"/>
        <v>0.75200600972280984</v>
      </c>
    </row>
    <row r="54" spans="1:15" hidden="1">
      <c r="A54">
        <v>52</v>
      </c>
      <c r="B54">
        <f t="shared" si="0"/>
        <v>0.06</v>
      </c>
      <c r="C54" s="10">
        <f t="shared" si="1"/>
        <v>0.03</v>
      </c>
      <c r="D54" s="10">
        <f t="shared" si="2"/>
        <v>0.06</v>
      </c>
      <c r="E54" s="10">
        <f t="shared" si="3"/>
        <v>0.09</v>
      </c>
      <c r="F54" s="25">
        <f t="shared" si="4"/>
        <v>2.5350486138366879E-3</v>
      </c>
      <c r="G54" s="8">
        <f t="shared" si="5"/>
        <v>0.99746495138616331</v>
      </c>
      <c r="H54" s="13">
        <f t="shared" si="9"/>
        <v>5.1430128318229462E-3</v>
      </c>
      <c r="I54" s="8">
        <f t="shared" si="6"/>
        <v>0.99485698716817705</v>
      </c>
      <c r="J54" s="14">
        <f t="shared" si="7"/>
        <v>7.8284203424832111E-3</v>
      </c>
      <c r="K54" s="8">
        <f t="shared" si="8"/>
        <v>0.99217157965751679</v>
      </c>
      <c r="L54" s="21">
        <v>52</v>
      </c>
      <c r="M54" s="5">
        <f t="shared" si="12"/>
        <v>0.90938024846609133</v>
      </c>
      <c r="N54" s="5">
        <f t="shared" si="10"/>
        <v>0.82484156278126386</v>
      </c>
      <c r="O54" s="5">
        <f t="shared" si="11"/>
        <v>0.74611899057862618</v>
      </c>
    </row>
    <row r="55" spans="1:15" hidden="1">
      <c r="A55">
        <v>53</v>
      </c>
      <c r="B55">
        <f t="shared" si="0"/>
        <v>0.06</v>
      </c>
      <c r="C55" s="10">
        <f t="shared" si="1"/>
        <v>0.03</v>
      </c>
      <c r="D55" s="10">
        <f t="shared" si="2"/>
        <v>0.06</v>
      </c>
      <c r="E55" s="10">
        <f t="shared" si="3"/>
        <v>0.09</v>
      </c>
      <c r="F55" s="25">
        <f t="shared" si="4"/>
        <v>2.5350486138366879E-3</v>
      </c>
      <c r="G55" s="8">
        <f t="shared" si="5"/>
        <v>0.99746495138616331</v>
      </c>
      <c r="H55" s="13">
        <f t="shared" si="9"/>
        <v>5.1430128318229462E-3</v>
      </c>
      <c r="I55" s="8">
        <f t="shared" si="6"/>
        <v>0.99485698716817705</v>
      </c>
      <c r="J55" s="14">
        <f t="shared" si="7"/>
        <v>7.8284203424832111E-3</v>
      </c>
      <c r="K55" s="8">
        <f t="shared" si="8"/>
        <v>0.99217157965751679</v>
      </c>
      <c r="L55" s="21">
        <v>53</v>
      </c>
      <c r="M55" s="5">
        <f t="shared" si="12"/>
        <v>0.9070749253277669</v>
      </c>
      <c r="N55" s="5">
        <f t="shared" si="10"/>
        <v>0.82059939203965893</v>
      </c>
      <c r="O55" s="5">
        <f t="shared" si="11"/>
        <v>0.74027805749486741</v>
      </c>
    </row>
    <row r="56" spans="1:15" hidden="1">
      <c r="A56">
        <v>54</v>
      </c>
      <c r="B56">
        <f t="shared" si="0"/>
        <v>0.06</v>
      </c>
      <c r="C56" s="10">
        <f t="shared" si="1"/>
        <v>0.03</v>
      </c>
      <c r="D56" s="10">
        <f t="shared" si="2"/>
        <v>0.06</v>
      </c>
      <c r="E56" s="10">
        <f t="shared" si="3"/>
        <v>0.09</v>
      </c>
      <c r="F56" s="25">
        <f t="shared" si="4"/>
        <v>2.5350486138366879E-3</v>
      </c>
      <c r="G56" s="8">
        <f t="shared" si="5"/>
        <v>0.99746495138616331</v>
      </c>
      <c r="H56" s="13">
        <f t="shared" si="9"/>
        <v>5.1430128318229462E-3</v>
      </c>
      <c r="I56" s="8">
        <f t="shared" si="6"/>
        <v>0.99485698716817705</v>
      </c>
      <c r="J56" s="14">
        <f t="shared" si="7"/>
        <v>7.8284203424832111E-3</v>
      </c>
      <c r="K56" s="8">
        <f t="shared" si="8"/>
        <v>0.99217157965751679</v>
      </c>
      <c r="L56" s="21">
        <v>54</v>
      </c>
      <c r="M56" s="5">
        <f t="shared" si="12"/>
        <v>0.90477544629566875</v>
      </c>
      <c r="N56" s="5">
        <f t="shared" si="10"/>
        <v>0.81637903883661289</v>
      </c>
      <c r="O56" s="5">
        <f t="shared" si="11"/>
        <v>0.73448284969048061</v>
      </c>
    </row>
    <row r="57" spans="1:15" hidden="1">
      <c r="A57">
        <v>55</v>
      </c>
      <c r="B57">
        <f t="shared" si="0"/>
        <v>0.06</v>
      </c>
      <c r="C57" s="10">
        <f t="shared" si="1"/>
        <v>0.03</v>
      </c>
      <c r="D57" s="10">
        <f t="shared" si="2"/>
        <v>0.06</v>
      </c>
      <c r="E57" s="10">
        <f t="shared" si="3"/>
        <v>0.09</v>
      </c>
      <c r="F57" s="25">
        <f t="shared" si="4"/>
        <v>2.5350486138366879E-3</v>
      </c>
      <c r="G57" s="8">
        <f t="shared" si="5"/>
        <v>0.99746495138616331</v>
      </c>
      <c r="H57" s="13">
        <f t="shared" si="9"/>
        <v>5.1430128318229462E-3</v>
      </c>
      <c r="I57" s="8">
        <f t="shared" si="6"/>
        <v>0.99485698716817705</v>
      </c>
      <c r="J57" s="14">
        <f t="shared" si="7"/>
        <v>7.8284203424832111E-3</v>
      </c>
      <c r="K57" s="8">
        <f t="shared" si="8"/>
        <v>0.99217157965751679</v>
      </c>
      <c r="L57" s="21">
        <v>55</v>
      </c>
      <c r="M57" s="5">
        <f t="shared" si="12"/>
        <v>0.9024817965547034</v>
      </c>
      <c r="N57" s="5">
        <f t="shared" si="10"/>
        <v>0.81218039096424488</v>
      </c>
      <c r="O57" s="5">
        <f t="shared" si="11"/>
        <v>0.72873300920875861</v>
      </c>
    </row>
    <row r="58" spans="1:15" hidden="1">
      <c r="A58">
        <v>56</v>
      </c>
      <c r="B58">
        <f t="shared" si="0"/>
        <v>0.06</v>
      </c>
      <c r="C58" s="10">
        <f t="shared" si="1"/>
        <v>0.03</v>
      </c>
      <c r="D58" s="10">
        <f t="shared" si="2"/>
        <v>0.06</v>
      </c>
      <c r="E58" s="10">
        <f t="shared" si="3"/>
        <v>0.09</v>
      </c>
      <c r="F58" s="25">
        <f t="shared" si="4"/>
        <v>2.5350486138366879E-3</v>
      </c>
      <c r="G58" s="8">
        <f t="shared" si="5"/>
        <v>0.99746495138616331</v>
      </c>
      <c r="H58" s="13">
        <f t="shared" si="9"/>
        <v>5.1430128318229462E-3</v>
      </c>
      <c r="I58" s="8">
        <f t="shared" si="6"/>
        <v>0.99485698716817705</v>
      </c>
      <c r="J58" s="14">
        <f t="shared" si="7"/>
        <v>7.8284203424832111E-3</v>
      </c>
      <c r="K58" s="8">
        <f t="shared" si="8"/>
        <v>0.99217157965751679</v>
      </c>
      <c r="L58" s="21">
        <v>56</v>
      </c>
      <c r="M58" s="5">
        <f t="shared" si="12"/>
        <v>0.90019396132733454</v>
      </c>
      <c r="N58" s="5">
        <f t="shared" si="10"/>
        <v>0.80800333679176084</v>
      </c>
      <c r="O58" s="5">
        <f t="shared" si="11"/>
        <v>0.7230281808952298</v>
      </c>
    </row>
    <row r="59" spans="1:15" hidden="1">
      <c r="A59">
        <v>57</v>
      </c>
      <c r="B59">
        <f t="shared" si="0"/>
        <v>0.06</v>
      </c>
      <c r="C59" s="10">
        <f t="shared" si="1"/>
        <v>0.03</v>
      </c>
      <c r="D59" s="10">
        <f t="shared" si="2"/>
        <v>0.06</v>
      </c>
      <c r="E59" s="10">
        <f t="shared" si="3"/>
        <v>0.09</v>
      </c>
      <c r="F59" s="25">
        <f t="shared" si="4"/>
        <v>2.5350486138366879E-3</v>
      </c>
      <c r="G59" s="8">
        <f t="shared" si="5"/>
        <v>0.99746495138616331</v>
      </c>
      <c r="H59" s="13">
        <f t="shared" si="9"/>
        <v>5.1430128318229462E-3</v>
      </c>
      <c r="I59" s="8">
        <f t="shared" si="6"/>
        <v>0.99485698716817705</v>
      </c>
      <c r="J59" s="14">
        <f t="shared" si="7"/>
        <v>7.8284203424832111E-3</v>
      </c>
      <c r="K59" s="8">
        <f t="shared" si="8"/>
        <v>0.99217157965751679</v>
      </c>
      <c r="L59" s="21">
        <v>57</v>
      </c>
      <c r="M59" s="5">
        <f t="shared" si="12"/>
        <v>0.89791192587348756</v>
      </c>
      <c r="N59" s="5">
        <f t="shared" si="10"/>
        <v>0.80384776526248503</v>
      </c>
      <c r="O59" s="5">
        <f t="shared" si="11"/>
        <v>0.7173680123757209</v>
      </c>
    </row>
    <row r="60" spans="1:15" hidden="1">
      <c r="A60">
        <v>58</v>
      </c>
      <c r="B60">
        <f t="shared" si="0"/>
        <v>0.06</v>
      </c>
      <c r="C60" s="10">
        <f t="shared" si="1"/>
        <v>0.03</v>
      </c>
      <c r="D60" s="10">
        <f t="shared" si="2"/>
        <v>0.06</v>
      </c>
      <c r="E60" s="10">
        <f t="shared" si="3"/>
        <v>0.09</v>
      </c>
      <c r="F60" s="25">
        <f t="shared" si="4"/>
        <v>2.5350486138366879E-3</v>
      </c>
      <c r="G60" s="8">
        <f t="shared" si="5"/>
        <v>0.99746495138616331</v>
      </c>
      <c r="H60" s="13">
        <f t="shared" si="9"/>
        <v>5.1430128318229462E-3</v>
      </c>
      <c r="I60" s="8">
        <f t="shared" si="6"/>
        <v>0.99485698716817705</v>
      </c>
      <c r="J60" s="14">
        <f t="shared" si="7"/>
        <v>7.8284203424832111E-3</v>
      </c>
      <c r="K60" s="8">
        <f t="shared" si="8"/>
        <v>0.99217157965751679</v>
      </c>
      <c r="L60" s="21">
        <v>58</v>
      </c>
      <c r="M60" s="5">
        <f t="shared" si="12"/>
        <v>0.89563567549045453</v>
      </c>
      <c r="N60" s="5">
        <f t="shared" si="10"/>
        <v>0.79971356589090792</v>
      </c>
      <c r="O60" s="5">
        <f t="shared" si="11"/>
        <v>0.71175215403459202</v>
      </c>
    </row>
    <row r="61" spans="1:15" hidden="1">
      <c r="A61">
        <v>59</v>
      </c>
      <c r="B61">
        <f t="shared" si="0"/>
        <v>0.06</v>
      </c>
      <c r="C61" s="10">
        <f t="shared" si="1"/>
        <v>0.03</v>
      </c>
      <c r="D61" s="10">
        <f t="shared" si="2"/>
        <v>0.06</v>
      </c>
      <c r="E61" s="10">
        <f t="shared" si="3"/>
        <v>0.09</v>
      </c>
      <c r="F61" s="25">
        <f t="shared" si="4"/>
        <v>2.5350486138366879E-3</v>
      </c>
      <c r="G61" s="8">
        <f t="shared" si="5"/>
        <v>0.99746495138616331</v>
      </c>
      <c r="H61" s="13">
        <f t="shared" si="9"/>
        <v>5.1430128318229462E-3</v>
      </c>
      <c r="I61" s="8">
        <f t="shared" si="6"/>
        <v>0.99485698716817705</v>
      </c>
      <c r="J61" s="14">
        <f t="shared" si="7"/>
        <v>7.8284203424832111E-3</v>
      </c>
      <c r="K61" s="8">
        <f t="shared" si="8"/>
        <v>0.99217157965751679</v>
      </c>
      <c r="L61" s="21">
        <v>59</v>
      </c>
      <c r="M61" s="5">
        <f t="shared" si="12"/>
        <v>0.8933651955127998</v>
      </c>
      <c r="N61" s="5">
        <f t="shared" si="10"/>
        <v>0.79560062875974813</v>
      </c>
      <c r="O61" s="5">
        <f t="shared" si="11"/>
        <v>0.70618025899314141</v>
      </c>
    </row>
    <row r="62" spans="1:15" hidden="1">
      <c r="A62">
        <v>60</v>
      </c>
      <c r="B62">
        <f t="shared" si="0"/>
        <v>0.06</v>
      </c>
      <c r="C62" s="10">
        <f t="shared" si="1"/>
        <v>0.03</v>
      </c>
      <c r="D62" s="10">
        <f t="shared" si="2"/>
        <v>0.06</v>
      </c>
      <c r="E62" s="10">
        <f t="shared" si="3"/>
        <v>0.09</v>
      </c>
      <c r="F62" s="25">
        <f t="shared" si="4"/>
        <v>2.5350486138366879E-3</v>
      </c>
      <c r="G62" s="8">
        <f t="shared" si="5"/>
        <v>0.99746495138616331</v>
      </c>
      <c r="H62" s="13">
        <f t="shared" si="9"/>
        <v>5.1430128318229462E-3</v>
      </c>
      <c r="I62" s="8">
        <f t="shared" si="6"/>
        <v>0.99485698716817705</v>
      </c>
      <c r="J62" s="14">
        <f t="shared" si="7"/>
        <v>7.8284203424832111E-3</v>
      </c>
      <c r="K62" s="8">
        <f t="shared" si="8"/>
        <v>0.99217157965751679</v>
      </c>
      <c r="L62" s="21">
        <v>60</v>
      </c>
      <c r="M62" s="5">
        <f t="shared" si="12"/>
        <v>0.89110047131226511</v>
      </c>
      <c r="N62" s="5">
        <f t="shared" si="10"/>
        <v>0.7915088445170303</v>
      </c>
      <c r="O62" s="5">
        <f t="shared" si="11"/>
        <v>0.70065198308817944</v>
      </c>
    </row>
    <row r="63" spans="1:15" hidden="1">
      <c r="A63">
        <v>61</v>
      </c>
      <c r="B63">
        <f t="shared" si="0"/>
        <v>0.06</v>
      </c>
      <c r="C63" s="10">
        <f t="shared" si="1"/>
        <v>0.03</v>
      </c>
      <c r="D63" s="10">
        <f t="shared" si="2"/>
        <v>0.06</v>
      </c>
      <c r="E63" s="10">
        <f t="shared" si="3"/>
        <v>0.09</v>
      </c>
      <c r="F63" s="25">
        <f t="shared" si="4"/>
        <v>2.5350486138366879E-3</v>
      </c>
      <c r="G63" s="8">
        <f t="shared" si="5"/>
        <v>0.99746495138616331</v>
      </c>
      <c r="H63" s="13">
        <f t="shared" si="9"/>
        <v>5.1430128318229462E-3</v>
      </c>
      <c r="I63" s="8">
        <f t="shared" si="6"/>
        <v>0.99485698716817705</v>
      </c>
      <c r="J63" s="14">
        <f t="shared" si="7"/>
        <v>7.8284203424832111E-3</v>
      </c>
      <c r="K63" s="8">
        <f t="shared" si="8"/>
        <v>0.99217157965751679</v>
      </c>
      <c r="L63" s="21">
        <v>61</v>
      </c>
      <c r="M63" s="5">
        <f t="shared" si="12"/>
        <v>0.88884148829767573</v>
      </c>
      <c r="N63" s="5">
        <f t="shared" si="10"/>
        <v>0.78743810437317785</v>
      </c>
      <c r="O63" s="5">
        <f t="shared" si="11"/>
        <v>0.69516698485077077</v>
      </c>
    </row>
    <row r="64" spans="1:15" hidden="1">
      <c r="A64">
        <v>62</v>
      </c>
      <c r="B64">
        <f t="shared" si="0"/>
        <v>0.06</v>
      </c>
      <c r="C64" s="10">
        <f t="shared" si="1"/>
        <v>0.03</v>
      </c>
      <c r="D64" s="10">
        <f t="shared" si="2"/>
        <v>0.06</v>
      </c>
      <c r="E64" s="10">
        <f t="shared" si="3"/>
        <v>0.09</v>
      </c>
      <c r="F64" s="25">
        <f t="shared" si="4"/>
        <v>2.5350486138366879E-3</v>
      </c>
      <c r="G64" s="8">
        <f t="shared" si="5"/>
        <v>0.99746495138616331</v>
      </c>
      <c r="H64" s="13">
        <f t="shared" si="9"/>
        <v>5.1430128318229462E-3</v>
      </c>
      <c r="I64" s="8">
        <f t="shared" si="6"/>
        <v>0.99485698716817705</v>
      </c>
      <c r="J64" s="14">
        <f t="shared" si="7"/>
        <v>7.8284203424832111E-3</v>
      </c>
      <c r="K64" s="8">
        <f t="shared" si="8"/>
        <v>0.99217157965751679</v>
      </c>
      <c r="L64" s="21">
        <v>62</v>
      </c>
      <c r="M64" s="5">
        <f t="shared" si="12"/>
        <v>0.88658823191484615</v>
      </c>
      <c r="N64" s="5">
        <f t="shared" si="10"/>
        <v>0.78338830009812022</v>
      </c>
      <c r="O64" s="5">
        <f t="shared" si="11"/>
        <v>0.6897249254851423</v>
      </c>
    </row>
    <row r="65" spans="1:15" hidden="1">
      <c r="A65">
        <v>63</v>
      </c>
      <c r="B65">
        <f t="shared" si="0"/>
        <v>0.06</v>
      </c>
      <c r="C65" s="10">
        <f t="shared" si="1"/>
        <v>0.03</v>
      </c>
      <c r="D65" s="10">
        <f t="shared" si="2"/>
        <v>0.06</v>
      </c>
      <c r="E65" s="10">
        <f t="shared" si="3"/>
        <v>0.09</v>
      </c>
      <c r="F65" s="25">
        <f t="shared" si="4"/>
        <v>2.5350486138366879E-3</v>
      </c>
      <c r="G65" s="8">
        <f t="shared" si="5"/>
        <v>0.99746495138616331</v>
      </c>
      <c r="H65" s="13">
        <f t="shared" si="9"/>
        <v>5.1430128318229462E-3</v>
      </c>
      <c r="I65" s="8">
        <f t="shared" si="6"/>
        <v>0.99485698716817705</v>
      </c>
      <c r="J65" s="14">
        <f t="shared" si="7"/>
        <v>7.8284203424832111E-3</v>
      </c>
      <c r="K65" s="8">
        <f t="shared" si="8"/>
        <v>0.99217157965751679</v>
      </c>
      <c r="L65" s="21">
        <v>63</v>
      </c>
      <c r="M65" s="5">
        <f t="shared" si="12"/>
        <v>0.88434068764648655</v>
      </c>
      <c r="N65" s="5">
        <f t="shared" si="10"/>
        <v>0.77935932401841557</v>
      </c>
      <c r="O65" s="5">
        <f t="shared" si="11"/>
        <v>0.68432546884775669</v>
      </c>
    </row>
    <row r="66" spans="1:15" hidden="1">
      <c r="A66">
        <v>64</v>
      </c>
      <c r="B66">
        <f t="shared" si="0"/>
        <v>0.06</v>
      </c>
      <c r="C66" s="10">
        <f t="shared" si="1"/>
        <v>0.03</v>
      </c>
      <c r="D66" s="10">
        <f t="shared" si="2"/>
        <v>0.06</v>
      </c>
      <c r="E66" s="10">
        <f t="shared" si="3"/>
        <v>0.09</v>
      </c>
      <c r="F66" s="25">
        <f t="shared" si="4"/>
        <v>2.5350486138366879E-3</v>
      </c>
      <c r="G66" s="8">
        <f t="shared" si="5"/>
        <v>0.99746495138616331</v>
      </c>
      <c r="H66" s="13">
        <f t="shared" si="9"/>
        <v>5.1430128318229462E-3</v>
      </c>
      <c r="I66" s="8">
        <f t="shared" si="6"/>
        <v>0.99485698716817705</v>
      </c>
      <c r="J66" s="14">
        <f t="shared" si="7"/>
        <v>7.8284203424832111E-3</v>
      </c>
      <c r="K66" s="8">
        <f t="shared" si="8"/>
        <v>0.99217157965751679</v>
      </c>
      <c r="L66" s="21">
        <v>64</v>
      </c>
      <c r="M66" s="5">
        <f t="shared" si="12"/>
        <v>0.88209884101210889</v>
      </c>
      <c r="N66" s="5">
        <f t="shared" si="10"/>
        <v>0.77535106901438799</v>
      </c>
      <c r="O66" s="5">
        <f t="shared" si="11"/>
        <v>0.67896828142654952</v>
      </c>
    </row>
    <row r="67" spans="1:15" hidden="1">
      <c r="A67">
        <v>65</v>
      </c>
      <c r="B67">
        <f t="shared" si="0"/>
        <v>0.06</v>
      </c>
      <c r="C67" s="10">
        <f t="shared" si="1"/>
        <v>0.03</v>
      </c>
      <c r="D67" s="10">
        <f t="shared" si="2"/>
        <v>0.06</v>
      </c>
      <c r="E67" s="10">
        <f t="shared" si="3"/>
        <v>0.09</v>
      </c>
      <c r="F67" s="25">
        <f t="shared" si="4"/>
        <v>2.5350486138366879E-3</v>
      </c>
      <c r="G67" s="8">
        <f t="shared" si="5"/>
        <v>0.99746495138616331</v>
      </c>
      <c r="H67" s="13">
        <f t="shared" si="9"/>
        <v>5.1430128318229462E-3</v>
      </c>
      <c r="I67" s="8">
        <f t="shared" si="6"/>
        <v>0.99485698716817705</v>
      </c>
      <c r="J67" s="14">
        <f t="shared" si="7"/>
        <v>7.8284203424832111E-3</v>
      </c>
      <c r="K67" s="8">
        <f t="shared" si="8"/>
        <v>0.99217157965751679</v>
      </c>
      <c r="L67" s="21">
        <v>65</v>
      </c>
      <c r="M67" s="5">
        <f t="shared" si="12"/>
        <v>0.87986267756793424</v>
      </c>
      <c r="N67" s="5">
        <f t="shared" si="10"/>
        <v>0.77136342851727935</v>
      </c>
      <c r="O67" s="5">
        <f t="shared" si="11"/>
        <v>0.67365303232032903</v>
      </c>
    </row>
    <row r="68" spans="1:15" hidden="1">
      <c r="A68">
        <v>66</v>
      </c>
      <c r="B68">
        <f t="shared" ref="B68:B131" si="13">IF(A68&lt;=30,0.06*(A68/30),0.06)</f>
        <v>0.06</v>
      </c>
      <c r="C68" s="10">
        <f t="shared" ref="C68:C131" si="14">50/100*B68</f>
        <v>0.03</v>
      </c>
      <c r="D68" s="10">
        <f t="shared" ref="D68:D131" si="15">100/100*B68</f>
        <v>0.06</v>
      </c>
      <c r="E68" s="10">
        <f t="shared" ref="E68:E131" si="16">150/100*B68</f>
        <v>0.09</v>
      </c>
      <c r="F68" s="25">
        <f t="shared" ref="F68:F131" si="17">1-(1-C68)^(1/12)</f>
        <v>2.5350486138366879E-3</v>
      </c>
      <c r="G68" s="8">
        <f t="shared" ref="G68:G131" si="18">1-F68</f>
        <v>0.99746495138616331</v>
      </c>
      <c r="H68" s="13">
        <f t="shared" ref="H68:H131" si="19">1-(1-D68)^(1/12)</f>
        <v>5.1430128318229462E-3</v>
      </c>
      <c r="I68" s="8">
        <f t="shared" ref="I68:I131" si="20">1-H68</f>
        <v>0.99485698716817705</v>
      </c>
      <c r="J68" s="14">
        <f t="shared" ref="J68:J131" si="21">1-(1-E68)^(1/12)</f>
        <v>7.8284203424832111E-3</v>
      </c>
      <c r="K68" s="8">
        <f t="shared" ref="K68:K131" si="22">1-J68</f>
        <v>0.99217157965751679</v>
      </c>
      <c r="L68" s="21">
        <v>66</v>
      </c>
      <c r="M68" s="5">
        <f t="shared" si="12"/>
        <v>0.87763218290679901</v>
      </c>
      <c r="N68" s="5">
        <f t="shared" si="10"/>
        <v>0.76739629650641605</v>
      </c>
      <c r="O68" s="5">
        <f t="shared" si="11"/>
        <v>0.66837939321833706</v>
      </c>
    </row>
    <row r="69" spans="1:15" hidden="1">
      <c r="A69">
        <v>67</v>
      </c>
      <c r="B69">
        <f t="shared" si="13"/>
        <v>0.06</v>
      </c>
      <c r="C69" s="10">
        <f t="shared" si="14"/>
        <v>0.03</v>
      </c>
      <c r="D69" s="10">
        <f t="shared" si="15"/>
        <v>0.06</v>
      </c>
      <c r="E69" s="10">
        <f t="shared" si="16"/>
        <v>0.09</v>
      </c>
      <c r="F69" s="25">
        <f t="shared" si="17"/>
        <v>2.5350486138366879E-3</v>
      </c>
      <c r="G69" s="8">
        <f t="shared" si="18"/>
        <v>0.99746495138616331</v>
      </c>
      <c r="H69" s="13">
        <f t="shared" si="19"/>
        <v>5.1430128318229462E-3</v>
      </c>
      <c r="I69" s="8">
        <f t="shared" si="20"/>
        <v>0.99485698716817705</v>
      </c>
      <c r="J69" s="14">
        <f t="shared" si="21"/>
        <v>7.8284203424832111E-3</v>
      </c>
      <c r="K69" s="8">
        <f t="shared" si="22"/>
        <v>0.99217157965751679</v>
      </c>
      <c r="L69" s="21">
        <v>67</v>
      </c>
      <c r="M69" s="5">
        <f t="shared" ref="M69:M132" si="23">M68*G69</f>
        <v>0.87540734265806264</v>
      </c>
      <c r="N69" s="5">
        <f t="shared" ref="N69:N132" si="24">N68*I69</f>
        <v>0.76344956750639015</v>
      </c>
      <c r="O69" s="5">
        <f t="shared" ref="O69:O132" si="25">O68*K69</f>
        <v>0.66314703837997002</v>
      </c>
    </row>
    <row r="70" spans="1:15" hidden="1">
      <c r="A70">
        <v>68</v>
      </c>
      <c r="B70">
        <f t="shared" si="13"/>
        <v>0.06</v>
      </c>
      <c r="C70" s="10">
        <f t="shared" si="14"/>
        <v>0.03</v>
      </c>
      <c r="D70" s="10">
        <f t="shared" si="15"/>
        <v>0.06</v>
      </c>
      <c r="E70" s="10">
        <f t="shared" si="16"/>
        <v>0.09</v>
      </c>
      <c r="F70" s="25">
        <f t="shared" si="17"/>
        <v>2.5350486138366879E-3</v>
      </c>
      <c r="G70" s="8">
        <f t="shared" si="18"/>
        <v>0.99746495138616331</v>
      </c>
      <c r="H70" s="13">
        <f t="shared" si="19"/>
        <v>5.1430128318229462E-3</v>
      </c>
      <c r="I70" s="8">
        <f t="shared" si="20"/>
        <v>0.99485698716817705</v>
      </c>
      <c r="J70" s="14">
        <f t="shared" si="21"/>
        <v>7.8284203424832111E-3</v>
      </c>
      <c r="K70" s="8">
        <f t="shared" si="22"/>
        <v>0.99217157965751679</v>
      </c>
      <c r="L70" s="21">
        <v>68</v>
      </c>
      <c r="M70" s="5">
        <f t="shared" si="23"/>
        <v>0.87318814248751486</v>
      </c>
      <c r="N70" s="5">
        <f t="shared" si="24"/>
        <v>0.75952313658425508</v>
      </c>
      <c r="O70" s="5">
        <f t="shared" si="25"/>
        <v>0.65795564461465872</v>
      </c>
    </row>
    <row r="71" spans="1:15" hidden="1">
      <c r="A71">
        <v>69</v>
      </c>
      <c r="B71">
        <f t="shared" si="13"/>
        <v>0.06</v>
      </c>
      <c r="C71" s="10">
        <f t="shared" si="14"/>
        <v>0.03</v>
      </c>
      <c r="D71" s="10">
        <f t="shared" si="15"/>
        <v>0.06</v>
      </c>
      <c r="E71" s="10">
        <f t="shared" si="16"/>
        <v>0.09</v>
      </c>
      <c r="F71" s="25">
        <f t="shared" si="17"/>
        <v>2.5350486138366879E-3</v>
      </c>
      <c r="G71" s="8">
        <f t="shared" si="18"/>
        <v>0.99746495138616331</v>
      </c>
      <c r="H71" s="13">
        <f t="shared" si="19"/>
        <v>5.1430128318229462E-3</v>
      </c>
      <c r="I71" s="8">
        <f t="shared" si="20"/>
        <v>0.99485698716817705</v>
      </c>
      <c r="J71" s="14">
        <f t="shared" si="21"/>
        <v>7.8284203424832111E-3</v>
      </c>
      <c r="K71" s="8">
        <f t="shared" si="22"/>
        <v>0.99217157965751679</v>
      </c>
      <c r="L71" s="21">
        <v>69</v>
      </c>
      <c r="M71" s="5">
        <f t="shared" si="23"/>
        <v>0.87097456809728324</v>
      </c>
      <c r="N71" s="5">
        <f t="shared" si="24"/>
        <v>0.75561689934673582</v>
      </c>
      <c r="O71" s="5">
        <f t="shared" si="25"/>
        <v>0.65280489126190566</v>
      </c>
    </row>
    <row r="72" spans="1:15" hidden="1">
      <c r="A72">
        <v>70</v>
      </c>
      <c r="B72">
        <f t="shared" si="13"/>
        <v>0.06</v>
      </c>
      <c r="C72" s="10">
        <f t="shared" si="14"/>
        <v>0.03</v>
      </c>
      <c r="D72" s="10">
        <f t="shared" si="15"/>
        <v>0.06</v>
      </c>
      <c r="E72" s="10">
        <f t="shared" si="16"/>
        <v>0.09</v>
      </c>
      <c r="F72" s="25">
        <f t="shared" si="17"/>
        <v>2.5350486138366879E-3</v>
      </c>
      <c r="G72" s="8">
        <f t="shared" si="18"/>
        <v>0.99746495138616331</v>
      </c>
      <c r="H72" s="13">
        <f t="shared" si="19"/>
        <v>5.1430128318229462E-3</v>
      </c>
      <c r="I72" s="8">
        <f t="shared" si="20"/>
        <v>0.99485698716817705</v>
      </c>
      <c r="J72" s="14">
        <f t="shared" si="21"/>
        <v>7.8284203424832111E-3</v>
      </c>
      <c r="K72" s="8">
        <f t="shared" si="22"/>
        <v>0.99217157965751679</v>
      </c>
      <c r="L72" s="21">
        <v>70</v>
      </c>
      <c r="M72" s="5">
        <f t="shared" si="23"/>
        <v>0.86876660522574123</v>
      </c>
      <c r="N72" s="5">
        <f t="shared" si="24"/>
        <v>0.75173075193745331</v>
      </c>
      <c r="O72" s="5">
        <f t="shared" si="25"/>
        <v>0.64769446017147847</v>
      </c>
    </row>
    <row r="73" spans="1:15" hidden="1">
      <c r="A73">
        <v>71</v>
      </c>
      <c r="B73">
        <f t="shared" si="13"/>
        <v>0.06</v>
      </c>
      <c r="C73" s="10">
        <f t="shared" si="14"/>
        <v>0.03</v>
      </c>
      <c r="D73" s="10">
        <f t="shared" si="15"/>
        <v>0.06</v>
      </c>
      <c r="E73" s="10">
        <f t="shared" si="16"/>
        <v>0.09</v>
      </c>
      <c r="F73" s="25">
        <f t="shared" si="17"/>
        <v>2.5350486138366879E-3</v>
      </c>
      <c r="G73" s="8">
        <f t="shared" si="18"/>
        <v>0.99746495138616331</v>
      </c>
      <c r="H73" s="13">
        <f t="shared" si="19"/>
        <v>5.1430128318229462E-3</v>
      </c>
      <c r="I73" s="8">
        <f t="shared" si="20"/>
        <v>0.99485698716817705</v>
      </c>
      <c r="J73" s="14">
        <f t="shared" si="21"/>
        <v>7.8284203424832111E-3</v>
      </c>
      <c r="K73" s="8">
        <f t="shared" si="22"/>
        <v>0.99217157965751679</v>
      </c>
      <c r="L73" s="21">
        <v>71</v>
      </c>
      <c r="M73" s="5">
        <f t="shared" si="23"/>
        <v>0.86656423964741613</v>
      </c>
      <c r="N73" s="5">
        <f t="shared" si="24"/>
        <v>0.74786459103416303</v>
      </c>
      <c r="O73" s="5">
        <f t="shared" si="25"/>
        <v>0.64262403568375837</v>
      </c>
    </row>
    <row r="74" spans="1:15" hidden="1">
      <c r="A74">
        <v>72</v>
      </c>
      <c r="B74">
        <f t="shared" si="13"/>
        <v>0.06</v>
      </c>
      <c r="C74" s="10">
        <f t="shared" si="14"/>
        <v>0.03</v>
      </c>
      <c r="D74" s="10">
        <f t="shared" si="15"/>
        <v>0.06</v>
      </c>
      <c r="E74" s="10">
        <f t="shared" si="16"/>
        <v>0.09</v>
      </c>
      <c r="F74" s="25">
        <f t="shared" si="17"/>
        <v>2.5350486138366879E-3</v>
      </c>
      <c r="G74" s="8">
        <f t="shared" si="18"/>
        <v>0.99746495138616331</v>
      </c>
      <c r="H74" s="13">
        <f t="shared" si="19"/>
        <v>5.1430128318229462E-3</v>
      </c>
      <c r="I74" s="8">
        <f t="shared" si="20"/>
        <v>0.99485698716817705</v>
      </c>
      <c r="J74" s="14">
        <f t="shared" si="21"/>
        <v>7.8284203424832111E-3</v>
      </c>
      <c r="K74" s="8">
        <f t="shared" si="22"/>
        <v>0.99217157965751679</v>
      </c>
      <c r="L74" s="21">
        <v>72</v>
      </c>
      <c r="M74" s="5">
        <f t="shared" si="23"/>
        <v>0.86436745717289754</v>
      </c>
      <c r="N74" s="5">
        <f t="shared" si="24"/>
        <v>0.74401831384600836</v>
      </c>
      <c r="O74" s="5">
        <f t="shared" si="25"/>
        <v>0.63759330461024299</v>
      </c>
    </row>
    <row r="75" spans="1:15" hidden="1">
      <c r="A75">
        <v>73</v>
      </c>
      <c r="B75">
        <f t="shared" si="13"/>
        <v>0.06</v>
      </c>
      <c r="C75" s="10">
        <f t="shared" si="14"/>
        <v>0.03</v>
      </c>
      <c r="D75" s="10">
        <f t="shared" si="15"/>
        <v>0.06</v>
      </c>
      <c r="E75" s="10">
        <f t="shared" si="16"/>
        <v>0.09</v>
      </c>
      <c r="F75" s="25">
        <f t="shared" si="17"/>
        <v>2.5350486138366879E-3</v>
      </c>
      <c r="G75" s="8">
        <f t="shared" si="18"/>
        <v>0.99746495138616331</v>
      </c>
      <c r="H75" s="13">
        <f t="shared" si="19"/>
        <v>5.1430128318229462E-3</v>
      </c>
      <c r="I75" s="8">
        <f t="shared" si="20"/>
        <v>0.99485698716817705</v>
      </c>
      <c r="J75" s="14">
        <f t="shared" si="21"/>
        <v>7.8284203424832111E-3</v>
      </c>
      <c r="K75" s="8">
        <f t="shared" si="22"/>
        <v>0.99217157965751679</v>
      </c>
      <c r="L75" s="21">
        <v>73</v>
      </c>
      <c r="M75" s="5">
        <f t="shared" si="23"/>
        <v>0.86217624364874579</v>
      </c>
      <c r="N75" s="5">
        <f t="shared" si="24"/>
        <v>0.74019181811078705</v>
      </c>
      <c r="O75" s="5">
        <f t="shared" si="25"/>
        <v>0.63260195621420112</v>
      </c>
    </row>
    <row r="76" spans="1:15" hidden="1">
      <c r="A76">
        <v>74</v>
      </c>
      <c r="B76">
        <f t="shared" si="13"/>
        <v>0.06</v>
      </c>
      <c r="C76" s="10">
        <f t="shared" si="14"/>
        <v>0.03</v>
      </c>
      <c r="D76" s="10">
        <f t="shared" si="15"/>
        <v>0.06</v>
      </c>
      <c r="E76" s="10">
        <f t="shared" si="16"/>
        <v>0.09</v>
      </c>
      <c r="F76" s="25">
        <f t="shared" si="17"/>
        <v>2.5350486138366879E-3</v>
      </c>
      <c r="G76" s="8">
        <f t="shared" si="18"/>
        <v>0.99746495138616331</v>
      </c>
      <c r="H76" s="13">
        <f t="shared" si="19"/>
        <v>5.1430128318229462E-3</v>
      </c>
      <c r="I76" s="8">
        <f t="shared" si="20"/>
        <v>0.99485698716817705</v>
      </c>
      <c r="J76" s="14">
        <f t="shared" si="21"/>
        <v>7.8284203424832111E-3</v>
      </c>
      <c r="K76" s="8">
        <f t="shared" si="22"/>
        <v>0.99217157965751679</v>
      </c>
      <c r="L76" s="21">
        <v>74</v>
      </c>
      <c r="M76" s="5">
        <f t="shared" si="23"/>
        <v>0.85999058495740111</v>
      </c>
      <c r="N76" s="5">
        <f t="shared" si="24"/>
        <v>0.7363850020922329</v>
      </c>
      <c r="O76" s="5">
        <f t="shared" si="25"/>
        <v>0.62764968219147921</v>
      </c>
    </row>
    <row r="77" spans="1:15" hidden="1">
      <c r="A77">
        <v>75</v>
      </c>
      <c r="B77">
        <f t="shared" si="13"/>
        <v>0.06</v>
      </c>
      <c r="C77" s="10">
        <f t="shared" si="14"/>
        <v>0.03</v>
      </c>
      <c r="D77" s="10">
        <f t="shared" si="15"/>
        <v>0.06</v>
      </c>
      <c r="E77" s="10">
        <f t="shared" si="16"/>
        <v>0.09</v>
      </c>
      <c r="F77" s="25">
        <f t="shared" si="17"/>
        <v>2.5350486138366879E-3</v>
      </c>
      <c r="G77" s="8">
        <f t="shared" si="18"/>
        <v>0.99746495138616331</v>
      </c>
      <c r="H77" s="13">
        <f t="shared" si="19"/>
        <v>5.1430128318229462E-3</v>
      </c>
      <c r="I77" s="8">
        <f t="shared" si="20"/>
        <v>0.99485698716817705</v>
      </c>
      <c r="J77" s="14">
        <f t="shared" si="21"/>
        <v>7.8284203424832111E-3</v>
      </c>
      <c r="K77" s="8">
        <f t="shared" si="22"/>
        <v>0.99217157965751679</v>
      </c>
      <c r="L77" s="21">
        <v>75</v>
      </c>
      <c r="M77" s="5">
        <f t="shared" si="23"/>
        <v>0.85781046701709229</v>
      </c>
      <c r="N77" s="5">
        <f t="shared" si="24"/>
        <v>0.73259776457731063</v>
      </c>
      <c r="O77" s="5">
        <f t="shared" si="25"/>
        <v>0.62273617665145831</v>
      </c>
    </row>
    <row r="78" spans="1:15" hidden="1">
      <c r="A78">
        <v>76</v>
      </c>
      <c r="B78">
        <f t="shared" si="13"/>
        <v>0.06</v>
      </c>
      <c r="C78" s="10">
        <f t="shared" si="14"/>
        <v>0.03</v>
      </c>
      <c r="D78" s="10">
        <f t="shared" si="15"/>
        <v>0.06</v>
      </c>
      <c r="E78" s="10">
        <f t="shared" si="16"/>
        <v>0.09</v>
      </c>
      <c r="F78" s="25">
        <f t="shared" si="17"/>
        <v>2.5350486138366879E-3</v>
      </c>
      <c r="G78" s="8">
        <f t="shared" si="18"/>
        <v>0.99746495138616331</v>
      </c>
      <c r="H78" s="13">
        <f t="shared" si="19"/>
        <v>5.1430128318229462E-3</v>
      </c>
      <c r="I78" s="8">
        <f t="shared" si="20"/>
        <v>0.99485698716817705</v>
      </c>
      <c r="J78" s="14">
        <f t="shared" si="21"/>
        <v>7.8284203424832111E-3</v>
      </c>
      <c r="K78" s="8">
        <f t="shared" si="22"/>
        <v>0.99217157965751679</v>
      </c>
      <c r="L78" s="21">
        <v>76</v>
      </c>
      <c r="M78" s="5">
        <f t="shared" si="23"/>
        <v>0.85563587578174605</v>
      </c>
      <c r="N78" s="5">
        <f t="shared" si="24"/>
        <v>0.72883000487352467</v>
      </c>
      <c r="O78" s="5">
        <f t="shared" si="25"/>
        <v>0.61786113609815985</v>
      </c>
    </row>
    <row r="79" spans="1:15" hidden="1">
      <c r="A79">
        <v>77</v>
      </c>
      <c r="B79">
        <f t="shared" si="13"/>
        <v>0.06</v>
      </c>
      <c r="C79" s="10">
        <f t="shared" si="14"/>
        <v>0.03</v>
      </c>
      <c r="D79" s="10">
        <f t="shared" si="15"/>
        <v>0.06</v>
      </c>
      <c r="E79" s="10">
        <f t="shared" si="16"/>
        <v>0.09</v>
      </c>
      <c r="F79" s="25">
        <f t="shared" si="17"/>
        <v>2.5350486138366879E-3</v>
      </c>
      <c r="G79" s="8">
        <f t="shared" si="18"/>
        <v>0.99746495138616331</v>
      </c>
      <c r="H79" s="13">
        <f t="shared" si="19"/>
        <v>5.1430128318229462E-3</v>
      </c>
      <c r="I79" s="8">
        <f t="shared" si="20"/>
        <v>0.99485698716817705</v>
      </c>
      <c r="J79" s="14">
        <f t="shared" si="21"/>
        <v>7.8284203424832111E-3</v>
      </c>
      <c r="K79" s="8">
        <f t="shared" si="22"/>
        <v>0.99217157965751679</v>
      </c>
      <c r="L79" s="21">
        <v>77</v>
      </c>
      <c r="M79" s="5">
        <f t="shared" si="23"/>
        <v>0.85346679724089658</v>
      </c>
      <c r="N79" s="5">
        <f t="shared" si="24"/>
        <v>0.72508162280624255</v>
      </c>
      <c r="O79" s="5">
        <f t="shared" si="25"/>
        <v>0.61302425941149918</v>
      </c>
    </row>
    <row r="80" spans="1:15" hidden="1">
      <c r="A80">
        <v>78</v>
      </c>
      <c r="B80">
        <f t="shared" si="13"/>
        <v>0.06</v>
      </c>
      <c r="C80" s="10">
        <f t="shared" si="14"/>
        <v>0.03</v>
      </c>
      <c r="D80" s="10">
        <f t="shared" si="15"/>
        <v>0.06</v>
      </c>
      <c r="E80" s="10">
        <f t="shared" si="16"/>
        <v>0.09</v>
      </c>
      <c r="F80" s="25">
        <f t="shared" si="17"/>
        <v>2.5350486138366879E-3</v>
      </c>
      <c r="G80" s="8">
        <f t="shared" si="18"/>
        <v>0.99746495138616331</v>
      </c>
      <c r="H80" s="13">
        <f t="shared" si="19"/>
        <v>5.1430128318229462E-3</v>
      </c>
      <c r="I80" s="8">
        <f t="shared" si="20"/>
        <v>0.99485698716817705</v>
      </c>
      <c r="J80" s="14">
        <f t="shared" si="21"/>
        <v>7.8284203424832111E-3</v>
      </c>
      <c r="K80" s="8">
        <f t="shared" si="22"/>
        <v>0.99217157965751679</v>
      </c>
      <c r="L80" s="21">
        <v>78</v>
      </c>
      <c r="M80" s="5">
        <f t="shared" si="23"/>
        <v>0.85130321741959536</v>
      </c>
      <c r="N80" s="5">
        <f t="shared" si="24"/>
        <v>0.72135251871603101</v>
      </c>
      <c r="O80" s="5">
        <f t="shared" si="25"/>
        <v>0.60822524782868648</v>
      </c>
    </row>
    <row r="81" spans="1:15" hidden="1">
      <c r="A81">
        <v>79</v>
      </c>
      <c r="B81">
        <f t="shared" si="13"/>
        <v>0.06</v>
      </c>
      <c r="C81" s="10">
        <f t="shared" si="14"/>
        <v>0.03</v>
      </c>
      <c r="D81" s="10">
        <f t="shared" si="15"/>
        <v>0.06</v>
      </c>
      <c r="E81" s="10">
        <f t="shared" si="16"/>
        <v>0.09</v>
      </c>
      <c r="F81" s="25">
        <f t="shared" si="17"/>
        <v>2.5350486138366879E-3</v>
      </c>
      <c r="G81" s="8">
        <f t="shared" si="18"/>
        <v>0.99746495138616331</v>
      </c>
      <c r="H81" s="13">
        <f t="shared" si="19"/>
        <v>5.1430128318229462E-3</v>
      </c>
      <c r="I81" s="8">
        <f t="shared" si="20"/>
        <v>0.99485698716817705</v>
      </c>
      <c r="J81" s="14">
        <f t="shared" si="21"/>
        <v>7.8284203424832111E-3</v>
      </c>
      <c r="K81" s="8">
        <f t="shared" si="22"/>
        <v>0.99217157965751679</v>
      </c>
      <c r="L81" s="21">
        <v>79</v>
      </c>
      <c r="M81" s="5">
        <f t="shared" si="23"/>
        <v>0.84914512237832107</v>
      </c>
      <c r="N81" s="5">
        <f t="shared" si="24"/>
        <v>0.71764259345600667</v>
      </c>
      <c r="O81" s="5">
        <f t="shared" si="25"/>
        <v>0.60346380492577245</v>
      </c>
    </row>
    <row r="82" spans="1:15" hidden="1">
      <c r="A82">
        <v>80</v>
      </c>
      <c r="B82">
        <f t="shared" si="13"/>
        <v>0.06</v>
      </c>
      <c r="C82" s="10">
        <f t="shared" si="14"/>
        <v>0.03</v>
      </c>
      <c r="D82" s="10">
        <f t="shared" si="15"/>
        <v>0.06</v>
      </c>
      <c r="E82" s="10">
        <f t="shared" si="16"/>
        <v>0.09</v>
      </c>
      <c r="F82" s="25">
        <f t="shared" si="17"/>
        <v>2.5350486138366879E-3</v>
      </c>
      <c r="G82" s="8">
        <f t="shared" si="18"/>
        <v>0.99746495138616331</v>
      </c>
      <c r="H82" s="13">
        <f t="shared" si="19"/>
        <v>5.1430128318229462E-3</v>
      </c>
      <c r="I82" s="8">
        <f t="shared" si="20"/>
        <v>0.99485698716817705</v>
      </c>
      <c r="J82" s="14">
        <f t="shared" si="21"/>
        <v>7.8284203424832111E-3</v>
      </c>
      <c r="K82" s="8">
        <f t="shared" si="22"/>
        <v>0.99217157965751679</v>
      </c>
      <c r="L82" s="21">
        <v>80</v>
      </c>
      <c r="M82" s="5">
        <f t="shared" si="23"/>
        <v>0.84699249821288969</v>
      </c>
      <c r="N82" s="5">
        <f t="shared" si="24"/>
        <v>0.71395174838919973</v>
      </c>
      <c r="O82" s="5">
        <f t="shared" si="25"/>
        <v>0.59873963659933926</v>
      </c>
    </row>
    <row r="83" spans="1:15" hidden="1">
      <c r="A83">
        <v>81</v>
      </c>
      <c r="B83">
        <f t="shared" si="13"/>
        <v>0.06</v>
      </c>
      <c r="C83" s="10">
        <f t="shared" si="14"/>
        <v>0.03</v>
      </c>
      <c r="D83" s="10">
        <f t="shared" si="15"/>
        <v>0.06</v>
      </c>
      <c r="E83" s="10">
        <f t="shared" si="16"/>
        <v>0.09</v>
      </c>
      <c r="F83" s="25">
        <f t="shared" si="17"/>
        <v>2.5350486138366879E-3</v>
      </c>
      <c r="G83" s="8">
        <f t="shared" si="18"/>
        <v>0.99746495138616331</v>
      </c>
      <c r="H83" s="13">
        <f t="shared" si="19"/>
        <v>5.1430128318229462E-3</v>
      </c>
      <c r="I83" s="8">
        <f t="shared" si="20"/>
        <v>0.99485698716817705</v>
      </c>
      <c r="J83" s="14">
        <f t="shared" si="21"/>
        <v>7.8284203424832111E-3</v>
      </c>
      <c r="K83" s="8">
        <f t="shared" si="22"/>
        <v>0.99217157965751679</v>
      </c>
      <c r="L83" s="21">
        <v>81</v>
      </c>
      <c r="M83" s="5">
        <f t="shared" si="23"/>
        <v>0.84484533105436499</v>
      </c>
      <c r="N83" s="5">
        <f t="shared" si="24"/>
        <v>0.71027988538593168</v>
      </c>
      <c r="O83" s="5">
        <f t="shared" si="25"/>
        <v>0.59405245104833404</v>
      </c>
    </row>
    <row r="84" spans="1:15" hidden="1">
      <c r="A84">
        <v>82</v>
      </c>
      <c r="B84">
        <f t="shared" si="13"/>
        <v>0.06</v>
      </c>
      <c r="C84" s="10">
        <f t="shared" si="14"/>
        <v>0.03</v>
      </c>
      <c r="D84" s="10">
        <f t="shared" si="15"/>
        <v>0.06</v>
      </c>
      <c r="E84" s="10">
        <f t="shared" si="16"/>
        <v>0.09</v>
      </c>
      <c r="F84" s="25">
        <f t="shared" si="17"/>
        <v>2.5350486138366879E-3</v>
      </c>
      <c r="G84" s="8">
        <f t="shared" si="18"/>
        <v>0.99746495138616331</v>
      </c>
      <c r="H84" s="13">
        <f t="shared" si="19"/>
        <v>5.1430128318229462E-3</v>
      </c>
      <c r="I84" s="8">
        <f t="shared" si="20"/>
        <v>0.99485698716817705</v>
      </c>
      <c r="J84" s="14">
        <f t="shared" si="21"/>
        <v>7.8284203424832111E-3</v>
      </c>
      <c r="K84" s="8">
        <f t="shared" si="22"/>
        <v>0.99217157965751679</v>
      </c>
      <c r="L84" s="21">
        <v>82</v>
      </c>
      <c r="M84" s="5">
        <f t="shared" si="23"/>
        <v>0.84270360706896918</v>
      </c>
      <c r="N84" s="5">
        <f t="shared" si="24"/>
        <v>0.7066269068212061</v>
      </c>
      <c r="O84" s="5">
        <f t="shared" si="25"/>
        <v>0.58940195875604529</v>
      </c>
    </row>
    <row r="85" spans="1:15" hidden="1">
      <c r="A85">
        <v>83</v>
      </c>
      <c r="B85">
        <f t="shared" si="13"/>
        <v>0.06</v>
      </c>
      <c r="C85" s="10">
        <f t="shared" si="14"/>
        <v>0.03</v>
      </c>
      <c r="D85" s="10">
        <f t="shared" si="15"/>
        <v>0.06</v>
      </c>
      <c r="E85" s="10">
        <f t="shared" si="16"/>
        <v>0.09</v>
      </c>
      <c r="F85" s="25">
        <f t="shared" si="17"/>
        <v>2.5350486138366879E-3</v>
      </c>
      <c r="G85" s="8">
        <f t="shared" si="18"/>
        <v>0.99746495138616331</v>
      </c>
      <c r="H85" s="13">
        <f t="shared" si="19"/>
        <v>5.1430128318229462E-3</v>
      </c>
      <c r="I85" s="8">
        <f t="shared" si="20"/>
        <v>0.99485698716817705</v>
      </c>
      <c r="J85" s="14">
        <f t="shared" si="21"/>
        <v>7.8284203424832111E-3</v>
      </c>
      <c r="K85" s="8">
        <f t="shared" si="22"/>
        <v>0.99217157965751679</v>
      </c>
      <c r="L85" s="21">
        <v>83</v>
      </c>
      <c r="M85" s="5">
        <f t="shared" si="23"/>
        <v>0.84056731245799376</v>
      </c>
      <c r="N85" s="5">
        <f t="shared" si="24"/>
        <v>0.70299271557211329</v>
      </c>
      <c r="O85" s="5">
        <f t="shared" si="25"/>
        <v>0.58478787247221997</v>
      </c>
    </row>
    <row r="86" spans="1:15" hidden="1">
      <c r="A86">
        <v>84</v>
      </c>
      <c r="B86">
        <f t="shared" si="13"/>
        <v>0.06</v>
      </c>
      <c r="C86" s="10">
        <f t="shared" si="14"/>
        <v>0.03</v>
      </c>
      <c r="D86" s="10">
        <f t="shared" si="15"/>
        <v>0.06</v>
      </c>
      <c r="E86" s="10">
        <f t="shared" si="16"/>
        <v>0.09</v>
      </c>
      <c r="F86" s="25">
        <f t="shared" si="17"/>
        <v>2.5350486138366879E-3</v>
      </c>
      <c r="G86" s="8">
        <f t="shared" si="18"/>
        <v>0.99746495138616331</v>
      </c>
      <c r="H86" s="13">
        <f t="shared" si="19"/>
        <v>5.1430128318229462E-3</v>
      </c>
      <c r="I86" s="8">
        <f t="shared" si="20"/>
        <v>0.99485698716817705</v>
      </c>
      <c r="J86" s="14">
        <f t="shared" si="21"/>
        <v>7.8284203424832111E-3</v>
      </c>
      <c r="K86" s="8">
        <f t="shared" si="22"/>
        <v>0.99217157965751679</v>
      </c>
      <c r="L86" s="21">
        <v>84</v>
      </c>
      <c r="M86" s="5">
        <f t="shared" si="23"/>
        <v>0.83843643345771068</v>
      </c>
      <c r="N86" s="5">
        <f t="shared" si="24"/>
        <v>0.69937721501524786</v>
      </c>
      <c r="O86" s="5">
        <f t="shared" si="25"/>
        <v>0.58020990719532095</v>
      </c>
    </row>
    <row r="87" spans="1:15" hidden="1">
      <c r="A87">
        <v>85</v>
      </c>
      <c r="B87">
        <f t="shared" si="13"/>
        <v>0.06</v>
      </c>
      <c r="C87" s="10">
        <f t="shared" si="14"/>
        <v>0.03</v>
      </c>
      <c r="D87" s="10">
        <f t="shared" si="15"/>
        <v>0.06</v>
      </c>
      <c r="E87" s="10">
        <f t="shared" si="16"/>
        <v>0.09</v>
      </c>
      <c r="F87" s="25">
        <f t="shared" si="17"/>
        <v>2.5350486138366879E-3</v>
      </c>
      <c r="G87" s="8">
        <f t="shared" si="18"/>
        <v>0.99746495138616331</v>
      </c>
      <c r="H87" s="13">
        <f t="shared" si="19"/>
        <v>5.1430128318229462E-3</v>
      </c>
      <c r="I87" s="8">
        <f t="shared" si="20"/>
        <v>0.99485698716817705</v>
      </c>
      <c r="J87" s="14">
        <f t="shared" si="21"/>
        <v>7.8284203424832111E-3</v>
      </c>
      <c r="K87" s="8">
        <f t="shared" si="22"/>
        <v>0.99217157965751679</v>
      </c>
      <c r="L87" s="21">
        <v>85</v>
      </c>
      <c r="M87" s="5">
        <f t="shared" si="23"/>
        <v>0.83631095633928354</v>
      </c>
      <c r="N87" s="5">
        <f t="shared" si="24"/>
        <v>0.69578030902413979</v>
      </c>
      <c r="O87" s="5">
        <f t="shared" si="25"/>
        <v>0.57566778015492281</v>
      </c>
    </row>
    <row r="88" spans="1:15" hidden="1">
      <c r="A88">
        <v>86</v>
      </c>
      <c r="B88">
        <f t="shared" si="13"/>
        <v>0.06</v>
      </c>
      <c r="C88" s="10">
        <f t="shared" si="14"/>
        <v>0.03</v>
      </c>
      <c r="D88" s="10">
        <f t="shared" si="15"/>
        <v>0.06</v>
      </c>
      <c r="E88" s="10">
        <f t="shared" si="16"/>
        <v>0.09</v>
      </c>
      <c r="F88" s="25">
        <f t="shared" si="17"/>
        <v>2.5350486138366879E-3</v>
      </c>
      <c r="G88" s="8">
        <f t="shared" si="18"/>
        <v>0.99746495138616331</v>
      </c>
      <c r="H88" s="13">
        <f t="shared" si="19"/>
        <v>5.1430128318229462E-3</v>
      </c>
      <c r="I88" s="8">
        <f t="shared" si="20"/>
        <v>0.99485698716817705</v>
      </c>
      <c r="J88" s="14">
        <f t="shared" si="21"/>
        <v>7.8284203424832111E-3</v>
      </c>
      <c r="K88" s="8">
        <f t="shared" si="22"/>
        <v>0.99217157965751679</v>
      </c>
      <c r="L88" s="21">
        <v>86</v>
      </c>
      <c r="M88" s="5">
        <f t="shared" si="23"/>
        <v>0.8341908674086792</v>
      </c>
      <c r="N88" s="5">
        <f t="shared" si="24"/>
        <v>0.69220190196669895</v>
      </c>
      <c r="O88" s="5">
        <f t="shared" si="25"/>
        <v>0.57116121079424587</v>
      </c>
    </row>
    <row r="89" spans="1:15" hidden="1">
      <c r="A89">
        <v>87</v>
      </c>
      <c r="B89">
        <f t="shared" si="13"/>
        <v>0.06</v>
      </c>
      <c r="C89" s="10">
        <f t="shared" si="14"/>
        <v>0.03</v>
      </c>
      <c r="D89" s="10">
        <f t="shared" si="15"/>
        <v>0.06</v>
      </c>
      <c r="E89" s="10">
        <f t="shared" si="16"/>
        <v>0.09</v>
      </c>
      <c r="F89" s="25">
        <f t="shared" si="17"/>
        <v>2.5350486138366879E-3</v>
      </c>
      <c r="G89" s="8">
        <f t="shared" si="18"/>
        <v>0.99746495138616331</v>
      </c>
      <c r="H89" s="13">
        <f t="shared" si="19"/>
        <v>5.1430128318229462E-3</v>
      </c>
      <c r="I89" s="8">
        <f t="shared" si="20"/>
        <v>0.99485698716817705</v>
      </c>
      <c r="J89" s="14">
        <f t="shared" si="21"/>
        <v>7.8284203424832111E-3</v>
      </c>
      <c r="K89" s="8">
        <f t="shared" si="22"/>
        <v>0.99217157965751679</v>
      </c>
      <c r="L89" s="21">
        <v>87</v>
      </c>
      <c r="M89" s="5">
        <f t="shared" si="23"/>
        <v>0.83207615300657956</v>
      </c>
      <c r="N89" s="5">
        <f t="shared" si="24"/>
        <v>0.68864189870267201</v>
      </c>
      <c r="O89" s="5">
        <f t="shared" si="25"/>
        <v>0.56668992075282687</v>
      </c>
    </row>
    <row r="90" spans="1:15" hidden="1">
      <c r="A90">
        <v>88</v>
      </c>
      <c r="B90">
        <f t="shared" si="13"/>
        <v>0.06</v>
      </c>
      <c r="C90" s="10">
        <f t="shared" si="14"/>
        <v>0.03</v>
      </c>
      <c r="D90" s="10">
        <f t="shared" si="15"/>
        <v>0.06</v>
      </c>
      <c r="E90" s="10">
        <f t="shared" si="16"/>
        <v>0.09</v>
      </c>
      <c r="F90" s="25">
        <f t="shared" si="17"/>
        <v>2.5350486138366879E-3</v>
      </c>
      <c r="G90" s="8">
        <f t="shared" si="18"/>
        <v>0.99746495138616331</v>
      </c>
      <c r="H90" s="13">
        <f t="shared" si="19"/>
        <v>5.1430128318229462E-3</v>
      </c>
      <c r="I90" s="8">
        <f t="shared" si="20"/>
        <v>0.99485698716817705</v>
      </c>
      <c r="J90" s="14">
        <f t="shared" si="21"/>
        <v>7.8284203424832111E-3</v>
      </c>
      <c r="K90" s="8">
        <f t="shared" si="22"/>
        <v>0.99217157965751679</v>
      </c>
      <c r="L90" s="21">
        <v>88</v>
      </c>
      <c r="M90" s="5">
        <f t="shared" si="23"/>
        <v>0.82996679950829366</v>
      </c>
      <c r="N90" s="5">
        <f t="shared" si="24"/>
        <v>0.6851002045811132</v>
      </c>
      <c r="O90" s="5">
        <f t="shared" si="25"/>
        <v>0.56225363384932525</v>
      </c>
    </row>
    <row r="91" spans="1:15" hidden="1">
      <c r="A91">
        <v>89</v>
      </c>
      <c r="B91">
        <f t="shared" si="13"/>
        <v>0.06</v>
      </c>
      <c r="C91" s="10">
        <f t="shared" si="14"/>
        <v>0.03</v>
      </c>
      <c r="D91" s="10">
        <f t="shared" si="15"/>
        <v>0.06</v>
      </c>
      <c r="E91" s="10">
        <f t="shared" si="16"/>
        <v>0.09</v>
      </c>
      <c r="F91" s="25">
        <f t="shared" si="17"/>
        <v>2.5350486138366879E-3</v>
      </c>
      <c r="G91" s="8">
        <f t="shared" si="18"/>
        <v>0.99746495138616331</v>
      </c>
      <c r="H91" s="13">
        <f t="shared" si="19"/>
        <v>5.1430128318229462E-3</v>
      </c>
      <c r="I91" s="8">
        <f t="shared" si="20"/>
        <v>0.99485698716817705</v>
      </c>
      <c r="J91" s="14">
        <f t="shared" si="21"/>
        <v>7.8284203424832111E-3</v>
      </c>
      <c r="K91" s="8">
        <f t="shared" si="22"/>
        <v>0.99217157965751679</v>
      </c>
      <c r="L91" s="21">
        <v>89</v>
      </c>
      <c r="M91" s="5">
        <f t="shared" si="23"/>
        <v>0.82786279332366974</v>
      </c>
      <c r="N91" s="5">
        <f t="shared" si="24"/>
        <v>0.68157672543786796</v>
      </c>
      <c r="O91" s="5">
        <f t="shared" si="25"/>
        <v>0.55785207606446408</v>
      </c>
    </row>
    <row r="92" spans="1:15" hidden="1">
      <c r="A92">
        <v>90</v>
      </c>
      <c r="B92">
        <f t="shared" si="13"/>
        <v>0.06</v>
      </c>
      <c r="C92" s="10">
        <f t="shared" si="14"/>
        <v>0.03</v>
      </c>
      <c r="D92" s="10">
        <f t="shared" si="15"/>
        <v>0.06</v>
      </c>
      <c r="E92" s="10">
        <f t="shared" si="16"/>
        <v>0.09</v>
      </c>
      <c r="F92" s="25">
        <f t="shared" si="17"/>
        <v>2.5350486138366879E-3</v>
      </c>
      <c r="G92" s="8">
        <f t="shared" si="18"/>
        <v>0.99746495138616331</v>
      </c>
      <c r="H92" s="13">
        <f t="shared" si="19"/>
        <v>5.1430128318229462E-3</v>
      </c>
      <c r="I92" s="8">
        <f t="shared" si="20"/>
        <v>0.99485698716817705</v>
      </c>
      <c r="J92" s="14">
        <f t="shared" si="21"/>
        <v>7.8284203424832111E-3</v>
      </c>
      <c r="K92" s="8">
        <f t="shared" si="22"/>
        <v>0.99217157965751679</v>
      </c>
      <c r="L92" s="21">
        <v>90</v>
      </c>
      <c r="M92" s="5">
        <f t="shared" si="23"/>
        <v>0.82576412089700757</v>
      </c>
      <c r="N92" s="5">
        <f t="shared" si="24"/>
        <v>0.67807136759306919</v>
      </c>
      <c r="O92" s="5">
        <f t="shared" si="25"/>
        <v>0.55348497552410458</v>
      </c>
    </row>
    <row r="93" spans="1:15" hidden="1">
      <c r="A93">
        <v>91</v>
      </c>
      <c r="B93">
        <f t="shared" si="13"/>
        <v>0.06</v>
      </c>
      <c r="C93" s="10">
        <f t="shared" si="14"/>
        <v>0.03</v>
      </c>
      <c r="D93" s="10">
        <f t="shared" si="15"/>
        <v>0.06</v>
      </c>
      <c r="E93" s="10">
        <f t="shared" si="16"/>
        <v>0.09</v>
      </c>
      <c r="F93" s="25">
        <f t="shared" si="17"/>
        <v>2.5350486138366879E-3</v>
      </c>
      <c r="G93" s="8">
        <f t="shared" si="18"/>
        <v>0.99746495138616331</v>
      </c>
      <c r="H93" s="13">
        <f t="shared" si="19"/>
        <v>5.1430128318229462E-3</v>
      </c>
      <c r="I93" s="8">
        <f t="shared" si="20"/>
        <v>0.99485698716817705</v>
      </c>
      <c r="J93" s="14">
        <f t="shared" si="21"/>
        <v>7.8284203424832111E-3</v>
      </c>
      <c r="K93" s="8">
        <f t="shared" si="22"/>
        <v>0.99217157965751679</v>
      </c>
      <c r="L93" s="21">
        <v>91</v>
      </c>
      <c r="M93" s="5">
        <f t="shared" si="23"/>
        <v>0.82367076870697153</v>
      </c>
      <c r="N93" s="5">
        <f t="shared" si="24"/>
        <v>0.67458403784864629</v>
      </c>
      <c r="O93" s="5">
        <f t="shared" si="25"/>
        <v>0.54915206248245285</v>
      </c>
    </row>
    <row r="94" spans="1:15" hidden="1">
      <c r="A94">
        <v>92</v>
      </c>
      <c r="B94">
        <f t="shared" si="13"/>
        <v>0.06</v>
      </c>
      <c r="C94" s="10">
        <f t="shared" si="14"/>
        <v>0.03</v>
      </c>
      <c r="D94" s="10">
        <f t="shared" si="15"/>
        <v>0.06</v>
      </c>
      <c r="E94" s="10">
        <f t="shared" si="16"/>
        <v>0.09</v>
      </c>
      <c r="F94" s="25">
        <f t="shared" si="17"/>
        <v>2.5350486138366879E-3</v>
      </c>
      <c r="G94" s="8">
        <f t="shared" si="18"/>
        <v>0.99746495138616331</v>
      </c>
      <c r="H94" s="13">
        <f t="shared" si="19"/>
        <v>5.1430128318229462E-3</v>
      </c>
      <c r="I94" s="8">
        <f t="shared" si="20"/>
        <v>0.99485698716817705</v>
      </c>
      <c r="J94" s="14">
        <f t="shared" si="21"/>
        <v>7.8284203424832111E-3</v>
      </c>
      <c r="K94" s="8">
        <f t="shared" si="22"/>
        <v>0.99217157965751679</v>
      </c>
      <c r="L94" s="21">
        <v>92</v>
      </c>
      <c r="M94" s="5">
        <f t="shared" si="23"/>
        <v>0.82158272326650317</v>
      </c>
      <c r="N94" s="5">
        <f t="shared" si="24"/>
        <v>0.67111464348584782</v>
      </c>
      <c r="O94" s="5">
        <f t="shared" si="25"/>
        <v>0.54485306930539856</v>
      </c>
    </row>
    <row r="95" spans="1:15" hidden="1">
      <c r="A95">
        <v>93</v>
      </c>
      <c r="B95">
        <f t="shared" si="13"/>
        <v>0.06</v>
      </c>
      <c r="C95" s="10">
        <f t="shared" si="14"/>
        <v>0.03</v>
      </c>
      <c r="D95" s="10">
        <f t="shared" si="15"/>
        <v>0.06</v>
      </c>
      <c r="E95" s="10">
        <f t="shared" si="16"/>
        <v>0.09</v>
      </c>
      <c r="F95" s="25">
        <f t="shared" si="17"/>
        <v>2.5350486138366879E-3</v>
      </c>
      <c r="G95" s="8">
        <f t="shared" si="18"/>
        <v>0.99746495138616331</v>
      </c>
      <c r="H95" s="13">
        <f t="shared" si="19"/>
        <v>5.1430128318229462E-3</v>
      </c>
      <c r="I95" s="8">
        <f t="shared" si="20"/>
        <v>0.99485698716817705</v>
      </c>
      <c r="J95" s="14">
        <f t="shared" si="21"/>
        <v>7.8284203424832111E-3</v>
      </c>
      <c r="K95" s="8">
        <f t="shared" si="22"/>
        <v>0.99217157965751679</v>
      </c>
      <c r="L95" s="21">
        <v>93</v>
      </c>
      <c r="M95" s="5">
        <f t="shared" si="23"/>
        <v>0.81949997112273421</v>
      </c>
      <c r="N95" s="5">
        <f t="shared" si="24"/>
        <v>0.66766309226277587</v>
      </c>
      <c r="O95" s="5">
        <f t="shared" si="25"/>
        <v>0.54058773045398378</v>
      </c>
    </row>
    <row r="96" spans="1:15" hidden="1">
      <c r="A96">
        <v>94</v>
      </c>
      <c r="B96">
        <f t="shared" si="13"/>
        <v>0.06</v>
      </c>
      <c r="C96" s="10">
        <f t="shared" si="14"/>
        <v>0.03</v>
      </c>
      <c r="D96" s="10">
        <f t="shared" si="15"/>
        <v>0.06</v>
      </c>
      <c r="E96" s="10">
        <f t="shared" si="16"/>
        <v>0.09</v>
      </c>
      <c r="F96" s="25">
        <f t="shared" si="17"/>
        <v>2.5350486138366879E-3</v>
      </c>
      <c r="G96" s="8">
        <f t="shared" si="18"/>
        <v>0.99746495138616331</v>
      </c>
      <c r="H96" s="13">
        <f t="shared" si="19"/>
        <v>5.1430128318229462E-3</v>
      </c>
      <c r="I96" s="8">
        <f t="shared" si="20"/>
        <v>0.99485698716817705</v>
      </c>
      <c r="J96" s="14">
        <f t="shared" si="21"/>
        <v>7.8284203424832111E-3</v>
      </c>
      <c r="K96" s="8">
        <f t="shared" si="22"/>
        <v>0.99217157965751679</v>
      </c>
      <c r="L96" s="21">
        <v>94</v>
      </c>
      <c r="M96" s="5">
        <f t="shared" si="23"/>
        <v>0.81742249885690033</v>
      </c>
      <c r="N96" s="5">
        <f t="shared" si="24"/>
        <v>0.66422929241193385</v>
      </c>
      <c r="O96" s="5">
        <f t="shared" si="25"/>
        <v>0.53635578246800097</v>
      </c>
    </row>
    <row r="97" spans="1:15" hidden="1">
      <c r="A97">
        <v>95</v>
      </c>
      <c r="B97">
        <f t="shared" si="13"/>
        <v>0.06</v>
      </c>
      <c r="C97" s="10">
        <f t="shared" si="14"/>
        <v>0.03</v>
      </c>
      <c r="D97" s="10">
        <f t="shared" si="15"/>
        <v>0.06</v>
      </c>
      <c r="E97" s="10">
        <f t="shared" si="16"/>
        <v>0.09</v>
      </c>
      <c r="F97" s="25">
        <f t="shared" si="17"/>
        <v>2.5350486138366879E-3</v>
      </c>
      <c r="G97" s="8">
        <f t="shared" si="18"/>
        <v>0.99746495138616331</v>
      </c>
      <c r="H97" s="13">
        <f t="shared" si="19"/>
        <v>5.1430128318229462E-3</v>
      </c>
      <c r="I97" s="8">
        <f t="shared" si="20"/>
        <v>0.99485698716817705</v>
      </c>
      <c r="J97" s="14">
        <f t="shared" si="21"/>
        <v>7.8284203424832111E-3</v>
      </c>
      <c r="K97" s="8">
        <f t="shared" si="22"/>
        <v>0.99217157965751679</v>
      </c>
      <c r="L97" s="21">
        <v>95</v>
      </c>
      <c r="M97" s="5">
        <f t="shared" si="23"/>
        <v>0.81535029308425422</v>
      </c>
      <c r="N97" s="5">
        <f t="shared" si="24"/>
        <v>0.66081315263778662</v>
      </c>
      <c r="O97" s="5">
        <f t="shared" si="25"/>
        <v>0.53215696394972001</v>
      </c>
    </row>
    <row r="98" spans="1:15" hidden="1">
      <c r="A98">
        <v>96</v>
      </c>
      <c r="B98">
        <f t="shared" si="13"/>
        <v>0.06</v>
      </c>
      <c r="C98" s="10">
        <f t="shared" si="14"/>
        <v>0.03</v>
      </c>
      <c r="D98" s="10">
        <f t="shared" si="15"/>
        <v>0.06</v>
      </c>
      <c r="E98" s="10">
        <f t="shared" si="16"/>
        <v>0.09</v>
      </c>
      <c r="F98" s="25">
        <f t="shared" si="17"/>
        <v>2.5350486138366879E-3</v>
      </c>
      <c r="G98" s="8">
        <f t="shared" si="18"/>
        <v>0.99746495138616331</v>
      </c>
      <c r="H98" s="13">
        <f t="shared" si="19"/>
        <v>5.1430128318229462E-3</v>
      </c>
      <c r="I98" s="8">
        <f t="shared" si="20"/>
        <v>0.99485698716817705</v>
      </c>
      <c r="J98" s="14">
        <f t="shared" si="21"/>
        <v>7.8284203424832111E-3</v>
      </c>
      <c r="K98" s="8">
        <f t="shared" si="22"/>
        <v>0.99217157965751679</v>
      </c>
      <c r="L98" s="21">
        <v>96</v>
      </c>
      <c r="M98" s="5">
        <f t="shared" si="23"/>
        <v>0.81328334045397965</v>
      </c>
      <c r="N98" s="5">
        <f t="shared" si="24"/>
        <v>0.65741458211433312</v>
      </c>
      <c r="O98" s="5">
        <f t="shared" si="25"/>
        <v>0.52799101554774186</v>
      </c>
    </row>
    <row r="99" spans="1:15" hidden="1">
      <c r="A99">
        <v>97</v>
      </c>
      <c r="B99">
        <f t="shared" si="13"/>
        <v>0.06</v>
      </c>
      <c r="C99" s="10">
        <f t="shared" si="14"/>
        <v>0.03</v>
      </c>
      <c r="D99" s="10">
        <f t="shared" si="15"/>
        <v>0.06</v>
      </c>
      <c r="E99" s="10">
        <f t="shared" si="16"/>
        <v>0.09</v>
      </c>
      <c r="F99" s="25">
        <f t="shared" si="17"/>
        <v>2.5350486138366879E-3</v>
      </c>
      <c r="G99" s="8">
        <f t="shared" si="18"/>
        <v>0.99746495138616331</v>
      </c>
      <c r="H99" s="13">
        <f t="shared" si="19"/>
        <v>5.1430128318229462E-3</v>
      </c>
      <c r="I99" s="8">
        <f t="shared" si="20"/>
        <v>0.99485698716817705</v>
      </c>
      <c r="J99" s="14">
        <f t="shared" si="21"/>
        <v>7.8284203424832111E-3</v>
      </c>
      <c r="K99" s="8">
        <f t="shared" si="22"/>
        <v>0.99217157965751679</v>
      </c>
      <c r="L99" s="21">
        <v>97</v>
      </c>
      <c r="M99" s="5">
        <f t="shared" si="23"/>
        <v>0.81122162764910533</v>
      </c>
      <c r="N99" s="5">
        <f t="shared" si="24"/>
        <v>0.65403349048269155</v>
      </c>
      <c r="O99" s="5">
        <f t="shared" si="25"/>
        <v>0.52385767994097954</v>
      </c>
    </row>
    <row r="100" spans="1:15" hidden="1">
      <c r="A100">
        <v>98</v>
      </c>
      <c r="B100">
        <f t="shared" si="13"/>
        <v>0.06</v>
      </c>
      <c r="C100" s="10">
        <f t="shared" si="14"/>
        <v>0.03</v>
      </c>
      <c r="D100" s="10">
        <f t="shared" si="15"/>
        <v>0.06</v>
      </c>
      <c r="E100" s="10">
        <f t="shared" si="16"/>
        <v>0.09</v>
      </c>
      <c r="F100" s="25">
        <f t="shared" si="17"/>
        <v>2.5350486138366879E-3</v>
      </c>
      <c r="G100" s="8">
        <f t="shared" si="18"/>
        <v>0.99746495138616331</v>
      </c>
      <c r="H100" s="13">
        <f t="shared" si="19"/>
        <v>5.1430128318229462E-3</v>
      </c>
      <c r="I100" s="8">
        <f t="shared" si="20"/>
        <v>0.99485698716817705</v>
      </c>
      <c r="J100" s="14">
        <f t="shared" si="21"/>
        <v>7.8284203424832111E-3</v>
      </c>
      <c r="K100" s="8">
        <f t="shared" si="22"/>
        <v>0.99217157965751679</v>
      </c>
      <c r="L100" s="21">
        <v>98</v>
      </c>
      <c r="M100" s="5">
        <f t="shared" si="23"/>
        <v>0.80916514138641915</v>
      </c>
      <c r="N100" s="5">
        <f t="shared" si="24"/>
        <v>0.65066978784869711</v>
      </c>
      <c r="O100" s="5">
        <f t="shared" si="25"/>
        <v>0.51975670182276357</v>
      </c>
    </row>
    <row r="101" spans="1:15" hidden="1">
      <c r="A101">
        <v>99</v>
      </c>
      <c r="B101">
        <f t="shared" si="13"/>
        <v>0.06</v>
      </c>
      <c r="C101" s="10">
        <f t="shared" si="14"/>
        <v>0.03</v>
      </c>
      <c r="D101" s="10">
        <f t="shared" si="15"/>
        <v>0.06</v>
      </c>
      <c r="E101" s="10">
        <f t="shared" si="16"/>
        <v>0.09</v>
      </c>
      <c r="F101" s="25">
        <f t="shared" si="17"/>
        <v>2.5350486138366879E-3</v>
      </c>
      <c r="G101" s="8">
        <f t="shared" si="18"/>
        <v>0.99746495138616331</v>
      </c>
      <c r="H101" s="13">
        <f t="shared" si="19"/>
        <v>5.1430128318229462E-3</v>
      </c>
      <c r="I101" s="8">
        <f t="shared" si="20"/>
        <v>0.99485698716817705</v>
      </c>
      <c r="J101" s="14">
        <f t="shared" si="21"/>
        <v>7.8284203424832111E-3</v>
      </c>
      <c r="K101" s="8">
        <f t="shared" si="22"/>
        <v>0.99217157965751679</v>
      </c>
      <c r="L101" s="21">
        <v>99</v>
      </c>
      <c r="M101" s="5">
        <f t="shared" si="23"/>
        <v>0.80711386841638255</v>
      </c>
      <c r="N101" s="5">
        <f t="shared" si="24"/>
        <v>0.64732338478051177</v>
      </c>
      <c r="O101" s="5">
        <f t="shared" si="25"/>
        <v>0.51568782788507228</v>
      </c>
    </row>
    <row r="102" spans="1:15" hidden="1">
      <c r="A102">
        <v>100</v>
      </c>
      <c r="B102">
        <f t="shared" si="13"/>
        <v>0.06</v>
      </c>
      <c r="C102" s="10">
        <f t="shared" si="14"/>
        <v>0.03</v>
      </c>
      <c r="D102" s="10">
        <f t="shared" si="15"/>
        <v>0.06</v>
      </c>
      <c r="E102" s="10">
        <f t="shared" si="16"/>
        <v>0.09</v>
      </c>
      <c r="F102" s="25">
        <f t="shared" si="17"/>
        <v>2.5350486138366879E-3</v>
      </c>
      <c r="G102" s="8">
        <f t="shared" si="18"/>
        <v>0.99746495138616331</v>
      </c>
      <c r="H102" s="13">
        <f t="shared" si="19"/>
        <v>5.1430128318229462E-3</v>
      </c>
      <c r="I102" s="8">
        <f t="shared" si="20"/>
        <v>0.99485698716817705</v>
      </c>
      <c r="J102" s="14">
        <f t="shared" si="21"/>
        <v>7.8284203424832111E-3</v>
      </c>
      <c r="K102" s="8">
        <f t="shared" si="22"/>
        <v>0.99217157965751679</v>
      </c>
      <c r="L102" s="21">
        <v>100</v>
      </c>
      <c r="M102" s="5">
        <f t="shared" si="23"/>
        <v>0.80506779552304519</v>
      </c>
      <c r="N102" s="5">
        <f t="shared" si="24"/>
        <v>0.64399419230624655</v>
      </c>
      <c r="O102" s="5">
        <f t="shared" si="25"/>
        <v>0.51165080680288577</v>
      </c>
    </row>
    <row r="103" spans="1:15" hidden="1">
      <c r="A103">
        <v>101</v>
      </c>
      <c r="B103">
        <f t="shared" si="13"/>
        <v>0.06</v>
      </c>
      <c r="C103" s="10">
        <f t="shared" si="14"/>
        <v>0.03</v>
      </c>
      <c r="D103" s="10">
        <f t="shared" si="15"/>
        <v>0.06</v>
      </c>
      <c r="E103" s="10">
        <f t="shared" si="16"/>
        <v>0.09</v>
      </c>
      <c r="F103" s="25">
        <f t="shared" si="17"/>
        <v>2.5350486138366879E-3</v>
      </c>
      <c r="G103" s="8">
        <f t="shared" si="18"/>
        <v>0.99746495138616331</v>
      </c>
      <c r="H103" s="13">
        <f t="shared" si="19"/>
        <v>5.1430128318229462E-3</v>
      </c>
      <c r="I103" s="8">
        <f t="shared" si="20"/>
        <v>0.99485698716817705</v>
      </c>
      <c r="J103" s="14">
        <f t="shared" si="21"/>
        <v>7.8284203424832111E-3</v>
      </c>
      <c r="K103" s="8">
        <f t="shared" si="22"/>
        <v>0.99217157965751679</v>
      </c>
      <c r="L103" s="21">
        <v>101</v>
      </c>
      <c r="M103" s="5">
        <f t="shared" si="23"/>
        <v>0.80302690952395994</v>
      </c>
      <c r="N103" s="5">
        <f t="shared" si="24"/>
        <v>0.64068212191159601</v>
      </c>
      <c r="O103" s="5">
        <f t="shared" si="25"/>
        <v>0.50764538921866209</v>
      </c>
    </row>
    <row r="104" spans="1:15" hidden="1">
      <c r="A104">
        <v>102</v>
      </c>
      <c r="B104">
        <f t="shared" si="13"/>
        <v>0.06</v>
      </c>
      <c r="C104" s="10">
        <f t="shared" si="14"/>
        <v>0.03</v>
      </c>
      <c r="D104" s="10">
        <f t="shared" si="15"/>
        <v>0.06</v>
      </c>
      <c r="E104" s="10">
        <f t="shared" si="16"/>
        <v>0.09</v>
      </c>
      <c r="F104" s="25">
        <f t="shared" si="17"/>
        <v>2.5350486138366879E-3</v>
      </c>
      <c r="G104" s="8">
        <f t="shared" si="18"/>
        <v>0.99746495138616331</v>
      </c>
      <c r="H104" s="13">
        <f t="shared" si="19"/>
        <v>5.1430128318229462E-3</v>
      </c>
      <c r="I104" s="8">
        <f t="shared" si="20"/>
        <v>0.99485698716817705</v>
      </c>
      <c r="J104" s="14">
        <f t="shared" si="21"/>
        <v>7.8284203424832111E-3</v>
      </c>
      <c r="K104" s="8">
        <f t="shared" si="22"/>
        <v>0.99217157965751679</v>
      </c>
      <c r="L104" s="21">
        <v>102</v>
      </c>
      <c r="M104" s="5">
        <f t="shared" si="23"/>
        <v>0.80099119727009771</v>
      </c>
      <c r="N104" s="5">
        <f t="shared" si="24"/>
        <v>0.63738708553748513</v>
      </c>
      <c r="O104" s="5">
        <f t="shared" si="25"/>
        <v>0.5036713277269349</v>
      </c>
    </row>
    <row r="105" spans="1:15" hidden="1">
      <c r="A105">
        <v>103</v>
      </c>
      <c r="B105">
        <f t="shared" si="13"/>
        <v>0.06</v>
      </c>
      <c r="C105" s="10">
        <f t="shared" si="14"/>
        <v>0.03</v>
      </c>
      <c r="D105" s="10">
        <f t="shared" si="15"/>
        <v>0.06</v>
      </c>
      <c r="E105" s="10">
        <f t="shared" si="16"/>
        <v>0.09</v>
      </c>
      <c r="F105" s="25">
        <f t="shared" si="17"/>
        <v>2.5350486138366879E-3</v>
      </c>
      <c r="G105" s="8">
        <f t="shared" si="18"/>
        <v>0.99746495138616331</v>
      </c>
      <c r="H105" s="13">
        <f t="shared" si="19"/>
        <v>5.1430128318229462E-3</v>
      </c>
      <c r="I105" s="8">
        <f t="shared" si="20"/>
        <v>0.99485698716817705</v>
      </c>
      <c r="J105" s="14">
        <f t="shared" si="21"/>
        <v>7.8284203424832111E-3</v>
      </c>
      <c r="K105" s="8">
        <f t="shared" si="22"/>
        <v>0.99217157965751679</v>
      </c>
      <c r="L105" s="21">
        <v>103</v>
      </c>
      <c r="M105" s="5">
        <f t="shared" si="23"/>
        <v>0.79896064564576275</v>
      </c>
      <c r="N105" s="5">
        <f t="shared" si="24"/>
        <v>0.6341089955777276</v>
      </c>
      <c r="O105" s="5">
        <f t="shared" si="25"/>
        <v>0.49972837685903182</v>
      </c>
    </row>
    <row r="106" spans="1:15" hidden="1">
      <c r="A106">
        <v>104</v>
      </c>
      <c r="B106">
        <f t="shared" si="13"/>
        <v>0.06</v>
      </c>
      <c r="C106" s="10">
        <f t="shared" si="14"/>
        <v>0.03</v>
      </c>
      <c r="D106" s="10">
        <f t="shared" si="15"/>
        <v>0.06</v>
      </c>
      <c r="E106" s="10">
        <f t="shared" si="16"/>
        <v>0.09</v>
      </c>
      <c r="F106" s="25">
        <f t="shared" si="17"/>
        <v>2.5350486138366879E-3</v>
      </c>
      <c r="G106" s="8">
        <f t="shared" si="18"/>
        <v>0.99746495138616331</v>
      </c>
      <c r="H106" s="13">
        <f t="shared" si="19"/>
        <v>5.1430128318229462E-3</v>
      </c>
      <c r="I106" s="8">
        <f t="shared" si="20"/>
        <v>0.99485698716817705</v>
      </c>
      <c r="J106" s="14">
        <f t="shared" si="21"/>
        <v>7.8284203424832111E-3</v>
      </c>
      <c r="K106" s="8">
        <f t="shared" si="22"/>
        <v>0.99217157965751679</v>
      </c>
      <c r="L106" s="21">
        <v>104</v>
      </c>
      <c r="M106" s="5">
        <f t="shared" si="23"/>
        <v>0.79693524156850837</v>
      </c>
      <c r="N106" s="5">
        <f t="shared" si="24"/>
        <v>0.63084776487669703</v>
      </c>
      <c r="O106" s="5">
        <f t="shared" si="25"/>
        <v>0.49581629306791247</v>
      </c>
    </row>
    <row r="107" spans="1:15" hidden="1">
      <c r="A107">
        <v>105</v>
      </c>
      <c r="B107">
        <f t="shared" si="13"/>
        <v>0.06</v>
      </c>
      <c r="C107" s="10">
        <f t="shared" si="14"/>
        <v>0.03</v>
      </c>
      <c r="D107" s="10">
        <f t="shared" si="15"/>
        <v>0.06</v>
      </c>
      <c r="E107" s="10">
        <f t="shared" si="16"/>
        <v>0.09</v>
      </c>
      <c r="F107" s="25">
        <f t="shared" si="17"/>
        <v>2.5350486138366879E-3</v>
      </c>
      <c r="G107" s="8">
        <f t="shared" si="18"/>
        <v>0.99746495138616331</v>
      </c>
      <c r="H107" s="13">
        <f t="shared" si="19"/>
        <v>5.1430128318229462E-3</v>
      </c>
      <c r="I107" s="8">
        <f t="shared" si="20"/>
        <v>0.99485698716817705</v>
      </c>
      <c r="J107" s="14">
        <f t="shared" si="21"/>
        <v>7.8284203424832111E-3</v>
      </c>
      <c r="K107" s="8">
        <f t="shared" si="22"/>
        <v>0.99217157965751679</v>
      </c>
      <c r="L107" s="21">
        <v>105</v>
      </c>
      <c r="M107" s="5">
        <f t="shared" si="23"/>
        <v>0.79491497198905248</v>
      </c>
      <c r="N107" s="5">
        <f t="shared" si="24"/>
        <v>0.62760330672700937</v>
      </c>
      <c r="O107" s="5">
        <f t="shared" si="25"/>
        <v>0.49193483471312499</v>
      </c>
    </row>
    <row r="108" spans="1:15" hidden="1">
      <c r="A108">
        <v>106</v>
      </c>
      <c r="B108">
        <f t="shared" si="13"/>
        <v>0.06</v>
      </c>
      <c r="C108" s="10">
        <f t="shared" si="14"/>
        <v>0.03</v>
      </c>
      <c r="D108" s="10">
        <f t="shared" si="15"/>
        <v>0.06</v>
      </c>
      <c r="E108" s="10">
        <f t="shared" si="16"/>
        <v>0.09</v>
      </c>
      <c r="F108" s="25">
        <f t="shared" si="17"/>
        <v>2.5350486138366879E-3</v>
      </c>
      <c r="G108" s="8">
        <f t="shared" si="18"/>
        <v>0.99746495138616331</v>
      </c>
      <c r="H108" s="13">
        <f t="shared" si="19"/>
        <v>5.1430128318229462E-3</v>
      </c>
      <c r="I108" s="8">
        <f t="shared" si="20"/>
        <v>0.99485698716817705</v>
      </c>
      <c r="J108" s="14">
        <f t="shared" si="21"/>
        <v>7.8284203424832111E-3</v>
      </c>
      <c r="K108" s="8">
        <f t="shared" si="22"/>
        <v>0.99217157965751679</v>
      </c>
      <c r="L108" s="21">
        <v>106</v>
      </c>
      <c r="M108" s="5">
        <f t="shared" si="23"/>
        <v>0.79289982389119362</v>
      </c>
      <c r="N108" s="5">
        <f t="shared" si="24"/>
        <v>0.62437553486721786</v>
      </c>
      <c r="O108" s="5">
        <f t="shared" si="25"/>
        <v>0.48808376204588066</v>
      </c>
    </row>
    <row r="109" spans="1:15" hidden="1">
      <c r="A109">
        <v>107</v>
      </c>
      <c r="B109">
        <f t="shared" si="13"/>
        <v>0.06</v>
      </c>
      <c r="C109" s="10">
        <f t="shared" si="14"/>
        <v>0.03</v>
      </c>
      <c r="D109" s="10">
        <f t="shared" si="15"/>
        <v>0.06</v>
      </c>
      <c r="E109" s="10">
        <f t="shared" si="16"/>
        <v>0.09</v>
      </c>
      <c r="F109" s="25">
        <f t="shared" si="17"/>
        <v>2.5350486138366879E-3</v>
      </c>
      <c r="G109" s="8">
        <f t="shared" si="18"/>
        <v>0.99746495138616331</v>
      </c>
      <c r="H109" s="13">
        <f t="shared" si="19"/>
        <v>5.1430128318229462E-3</v>
      </c>
      <c r="I109" s="8">
        <f t="shared" si="20"/>
        <v>0.99485698716817705</v>
      </c>
      <c r="J109" s="14">
        <f t="shared" si="21"/>
        <v>7.8284203424832111E-3</v>
      </c>
      <c r="K109" s="8">
        <f t="shared" si="22"/>
        <v>0.99217157965751679</v>
      </c>
      <c r="L109" s="21">
        <v>107</v>
      </c>
      <c r="M109" s="5">
        <f t="shared" si="23"/>
        <v>0.79088978429172685</v>
      </c>
      <c r="N109" s="5">
        <f t="shared" si="24"/>
        <v>0.62116436347951942</v>
      </c>
      <c r="O109" s="5">
        <f t="shared" si="25"/>
        <v>0.48426283719424495</v>
      </c>
    </row>
    <row r="110" spans="1:15" hidden="1">
      <c r="A110">
        <v>108</v>
      </c>
      <c r="B110">
        <f t="shared" si="13"/>
        <v>0.06</v>
      </c>
      <c r="C110" s="10">
        <f t="shared" si="14"/>
        <v>0.03</v>
      </c>
      <c r="D110" s="10">
        <f t="shared" si="15"/>
        <v>0.06</v>
      </c>
      <c r="E110" s="10">
        <f t="shared" si="16"/>
        <v>0.09</v>
      </c>
      <c r="F110" s="25">
        <f t="shared" si="17"/>
        <v>2.5350486138366879E-3</v>
      </c>
      <c r="G110" s="8">
        <f t="shared" si="18"/>
        <v>0.99746495138616331</v>
      </c>
      <c r="H110" s="13">
        <f t="shared" si="19"/>
        <v>5.1430128318229462E-3</v>
      </c>
      <c r="I110" s="8">
        <f t="shared" si="20"/>
        <v>0.99485698716817705</v>
      </c>
      <c r="J110" s="14">
        <f t="shared" si="21"/>
        <v>7.8284203424832111E-3</v>
      </c>
      <c r="K110" s="8">
        <f t="shared" si="22"/>
        <v>0.99217157965751679</v>
      </c>
      <c r="L110" s="21">
        <v>108</v>
      </c>
      <c r="M110" s="5">
        <f t="shared" si="23"/>
        <v>0.78888484024036054</v>
      </c>
      <c r="N110" s="5">
        <f t="shared" si="24"/>
        <v>0.61796970718747313</v>
      </c>
      <c r="O110" s="5">
        <f t="shared" si="25"/>
        <v>0.48047182414844491</v>
      </c>
    </row>
    <row r="111" spans="1:15" hidden="1">
      <c r="A111">
        <v>109</v>
      </c>
      <c r="B111">
        <f t="shared" si="13"/>
        <v>0.06</v>
      </c>
      <c r="C111" s="10">
        <f t="shared" si="14"/>
        <v>0.03</v>
      </c>
      <c r="D111" s="10">
        <f t="shared" si="15"/>
        <v>0.06</v>
      </c>
      <c r="E111" s="10">
        <f t="shared" si="16"/>
        <v>0.09</v>
      </c>
      <c r="F111" s="25">
        <f t="shared" si="17"/>
        <v>2.5350486138366879E-3</v>
      </c>
      <c r="G111" s="8">
        <f t="shared" si="18"/>
        <v>0.99746495138616331</v>
      </c>
      <c r="H111" s="13">
        <f t="shared" si="19"/>
        <v>5.1430128318229462E-3</v>
      </c>
      <c r="I111" s="8">
        <f t="shared" si="20"/>
        <v>0.99485698716817705</v>
      </c>
      <c r="J111" s="14">
        <f t="shared" si="21"/>
        <v>7.8284203424832111E-3</v>
      </c>
      <c r="K111" s="8">
        <f t="shared" si="22"/>
        <v>0.99217157965751679</v>
      </c>
      <c r="L111" s="21">
        <v>109</v>
      </c>
      <c r="M111" s="5">
        <f t="shared" si="23"/>
        <v>0.78688497881963249</v>
      </c>
      <c r="N111" s="5">
        <f t="shared" si="24"/>
        <v>0.61479148105373005</v>
      </c>
      <c r="O111" s="5">
        <f t="shared" si="25"/>
        <v>0.47671048874629124</v>
      </c>
    </row>
    <row r="112" spans="1:15" hidden="1">
      <c r="A112">
        <v>110</v>
      </c>
      <c r="B112">
        <f t="shared" si="13"/>
        <v>0.06</v>
      </c>
      <c r="C112" s="10">
        <f t="shared" si="14"/>
        <v>0.03</v>
      </c>
      <c r="D112" s="10">
        <f t="shared" si="15"/>
        <v>0.06</v>
      </c>
      <c r="E112" s="10">
        <f t="shared" si="16"/>
        <v>0.09</v>
      </c>
      <c r="F112" s="25">
        <f t="shared" si="17"/>
        <v>2.5350486138366879E-3</v>
      </c>
      <c r="G112" s="8">
        <f t="shared" si="18"/>
        <v>0.99746495138616331</v>
      </c>
      <c r="H112" s="13">
        <f t="shared" si="19"/>
        <v>5.1430128318229462E-3</v>
      </c>
      <c r="I112" s="8">
        <f t="shared" si="20"/>
        <v>0.99485698716817705</v>
      </c>
      <c r="J112" s="14">
        <f t="shared" si="21"/>
        <v>7.8284203424832111E-3</v>
      </c>
      <c r="K112" s="8">
        <f t="shared" si="22"/>
        <v>0.99217157965751679</v>
      </c>
      <c r="L112" s="21">
        <v>110</v>
      </c>
      <c r="M112" s="5">
        <f t="shared" si="23"/>
        <v>0.78489018714482683</v>
      </c>
      <c r="N112" s="5">
        <f t="shared" si="24"/>
        <v>0.61162960057777527</v>
      </c>
      <c r="O112" s="5">
        <f t="shared" si="25"/>
        <v>0.47297859865871467</v>
      </c>
    </row>
    <row r="113" spans="1:15" hidden="1">
      <c r="A113">
        <v>111</v>
      </c>
      <c r="B113">
        <f t="shared" si="13"/>
        <v>0.06</v>
      </c>
      <c r="C113" s="10">
        <f t="shared" si="14"/>
        <v>0.03</v>
      </c>
      <c r="D113" s="10">
        <f t="shared" si="15"/>
        <v>0.06</v>
      </c>
      <c r="E113" s="10">
        <f t="shared" si="16"/>
        <v>0.09</v>
      </c>
      <c r="F113" s="25">
        <f t="shared" si="17"/>
        <v>2.5350486138366879E-3</v>
      </c>
      <c r="G113" s="8">
        <f t="shared" si="18"/>
        <v>0.99746495138616331</v>
      </c>
      <c r="H113" s="13">
        <f t="shared" si="19"/>
        <v>5.1430128318229462E-3</v>
      </c>
      <c r="I113" s="8">
        <f t="shared" si="20"/>
        <v>0.99485698716817705</v>
      </c>
      <c r="J113" s="14">
        <f t="shared" si="21"/>
        <v>7.8284203424832111E-3</v>
      </c>
      <c r="K113" s="8">
        <f t="shared" si="22"/>
        <v>0.99217157965751679</v>
      </c>
      <c r="L113" s="21">
        <v>111</v>
      </c>
      <c r="M113" s="5">
        <f t="shared" si="23"/>
        <v>0.78290045236389127</v>
      </c>
      <c r="N113" s="5">
        <f t="shared" si="24"/>
        <v>0.60848398169368101</v>
      </c>
      <c r="O113" s="5">
        <f t="shared" si="25"/>
        <v>0.46927592337541557</v>
      </c>
    </row>
    <row r="114" spans="1:15" hidden="1">
      <c r="A114">
        <v>112</v>
      </c>
      <c r="B114">
        <f t="shared" si="13"/>
        <v>0.06</v>
      </c>
      <c r="C114" s="10">
        <f t="shared" si="14"/>
        <v>0.03</v>
      </c>
      <c r="D114" s="10">
        <f t="shared" si="15"/>
        <v>0.06</v>
      </c>
      <c r="E114" s="10">
        <f t="shared" si="16"/>
        <v>0.09</v>
      </c>
      <c r="F114" s="25">
        <f t="shared" si="17"/>
        <v>2.5350486138366879E-3</v>
      </c>
      <c r="G114" s="8">
        <f t="shared" si="18"/>
        <v>0.99746495138616331</v>
      </c>
      <c r="H114" s="13">
        <f t="shared" si="19"/>
        <v>5.1430128318229462E-3</v>
      </c>
      <c r="I114" s="8">
        <f t="shared" si="20"/>
        <v>0.99485698716817705</v>
      </c>
      <c r="J114" s="14">
        <f t="shared" si="21"/>
        <v>7.8284203424832111E-3</v>
      </c>
      <c r="K114" s="8">
        <f t="shared" si="22"/>
        <v>0.99217157965751679</v>
      </c>
      <c r="L114" s="21">
        <v>112</v>
      </c>
      <c r="M114" s="5">
        <f t="shared" si="23"/>
        <v>0.7809157616573541</v>
      </c>
      <c r="N114" s="5">
        <f t="shared" si="24"/>
        <v>0.60535454076787165</v>
      </c>
      <c r="O114" s="5">
        <f t="shared" si="25"/>
        <v>0.46560223419062585</v>
      </c>
    </row>
    <row r="115" spans="1:15" hidden="1">
      <c r="A115">
        <v>113</v>
      </c>
      <c r="B115">
        <f t="shared" si="13"/>
        <v>0.06</v>
      </c>
      <c r="C115" s="10">
        <f t="shared" si="14"/>
        <v>0.03</v>
      </c>
      <c r="D115" s="10">
        <f t="shared" si="15"/>
        <v>0.06</v>
      </c>
      <c r="E115" s="10">
        <f t="shared" si="16"/>
        <v>0.09</v>
      </c>
      <c r="F115" s="25">
        <f t="shared" si="17"/>
        <v>2.5350486138366879E-3</v>
      </c>
      <c r="G115" s="8">
        <f t="shared" si="18"/>
        <v>0.99746495138616331</v>
      </c>
      <c r="H115" s="13">
        <f t="shared" si="19"/>
        <v>5.1430128318229462E-3</v>
      </c>
      <c r="I115" s="8">
        <f t="shared" si="20"/>
        <v>0.99485698716817705</v>
      </c>
      <c r="J115" s="14">
        <f t="shared" si="21"/>
        <v>7.8284203424832111E-3</v>
      </c>
      <c r="K115" s="8">
        <f t="shared" si="22"/>
        <v>0.99217157965751679</v>
      </c>
      <c r="L115" s="21">
        <v>113</v>
      </c>
      <c r="M115" s="5">
        <f t="shared" si="23"/>
        <v>0.77893610223824139</v>
      </c>
      <c r="N115" s="5">
        <f t="shared" si="24"/>
        <v>0.60224119459690018</v>
      </c>
      <c r="O115" s="5">
        <f t="shared" si="25"/>
        <v>0.46195730418898234</v>
      </c>
    </row>
    <row r="116" spans="1:15" hidden="1">
      <c r="A116">
        <v>114</v>
      </c>
      <c r="B116">
        <f t="shared" si="13"/>
        <v>0.06</v>
      </c>
      <c r="C116" s="10">
        <f t="shared" si="14"/>
        <v>0.03</v>
      </c>
      <c r="D116" s="10">
        <f t="shared" si="15"/>
        <v>0.06</v>
      </c>
      <c r="E116" s="10">
        <f t="shared" si="16"/>
        <v>0.09</v>
      </c>
      <c r="F116" s="25">
        <f t="shared" si="17"/>
        <v>2.5350486138366879E-3</v>
      </c>
      <c r="G116" s="8">
        <f t="shared" si="18"/>
        <v>0.99746495138616331</v>
      </c>
      <c r="H116" s="13">
        <f t="shared" si="19"/>
        <v>5.1430128318229462E-3</v>
      </c>
      <c r="I116" s="8">
        <f t="shared" si="20"/>
        <v>0.99485698716817705</v>
      </c>
      <c r="J116" s="14">
        <f t="shared" si="21"/>
        <v>7.8284203424832111E-3</v>
      </c>
      <c r="K116" s="8">
        <f t="shared" si="22"/>
        <v>0.99217157965751679</v>
      </c>
      <c r="L116" s="21">
        <v>114</v>
      </c>
      <c r="M116" s="5">
        <f t="shared" si="23"/>
        <v>0.77696146135199495</v>
      </c>
      <c r="N116" s="5">
        <f t="shared" si="24"/>
        <v>0.59914386040523593</v>
      </c>
      <c r="O116" s="5">
        <f t="shared" si="25"/>
        <v>0.45834090823151064</v>
      </c>
    </row>
    <row r="117" spans="1:15" hidden="1">
      <c r="A117">
        <v>115</v>
      </c>
      <c r="B117">
        <f t="shared" si="13"/>
        <v>0.06</v>
      </c>
      <c r="C117" s="10">
        <f t="shared" si="14"/>
        <v>0.03</v>
      </c>
      <c r="D117" s="10">
        <f t="shared" si="15"/>
        <v>0.06</v>
      </c>
      <c r="E117" s="10">
        <f t="shared" si="16"/>
        <v>0.09</v>
      </c>
      <c r="F117" s="25">
        <f t="shared" si="17"/>
        <v>2.5350486138366879E-3</v>
      </c>
      <c r="G117" s="8">
        <f t="shared" si="18"/>
        <v>0.99746495138616331</v>
      </c>
      <c r="H117" s="13">
        <f t="shared" si="19"/>
        <v>5.1430128318229462E-3</v>
      </c>
      <c r="I117" s="8">
        <f t="shared" si="20"/>
        <v>0.99485698716817705</v>
      </c>
      <c r="J117" s="14">
        <f t="shared" si="21"/>
        <v>7.8284203424832111E-3</v>
      </c>
      <c r="K117" s="8">
        <f t="shared" si="22"/>
        <v>0.99217157965751679</v>
      </c>
      <c r="L117" s="21">
        <v>115</v>
      </c>
      <c r="M117" s="5">
        <f t="shared" si="23"/>
        <v>0.77499182627639007</v>
      </c>
      <c r="N117" s="5">
        <f t="shared" si="24"/>
        <v>0.59606245584306383</v>
      </c>
      <c r="O117" s="5">
        <f t="shared" si="25"/>
        <v>0.45475282294171887</v>
      </c>
    </row>
    <row r="118" spans="1:15" hidden="1">
      <c r="A118">
        <v>116</v>
      </c>
      <c r="B118">
        <f t="shared" si="13"/>
        <v>0.06</v>
      </c>
      <c r="C118" s="10">
        <f t="shared" si="14"/>
        <v>0.03</v>
      </c>
      <c r="D118" s="10">
        <f t="shared" si="15"/>
        <v>0.06</v>
      </c>
      <c r="E118" s="10">
        <f t="shared" si="16"/>
        <v>0.09</v>
      </c>
      <c r="F118" s="25">
        <f t="shared" si="17"/>
        <v>2.5350486138366879E-3</v>
      </c>
      <c r="G118" s="8">
        <f t="shared" si="18"/>
        <v>0.99746495138616331</v>
      </c>
      <c r="H118" s="13">
        <f t="shared" si="19"/>
        <v>5.1430128318229462E-3</v>
      </c>
      <c r="I118" s="8">
        <f t="shared" si="20"/>
        <v>0.99485698716817705</v>
      </c>
      <c r="J118" s="14">
        <f t="shared" si="21"/>
        <v>7.8284203424832111E-3</v>
      </c>
      <c r="K118" s="8">
        <f t="shared" si="22"/>
        <v>0.99217157965751679</v>
      </c>
      <c r="L118" s="21">
        <v>116</v>
      </c>
      <c r="M118" s="5">
        <f t="shared" si="23"/>
        <v>0.77302718432145334</v>
      </c>
      <c r="N118" s="5">
        <f t="shared" si="24"/>
        <v>0.59299689898409502</v>
      </c>
      <c r="O118" s="5">
        <f t="shared" si="25"/>
        <v>0.45119282669180028</v>
      </c>
    </row>
    <row r="119" spans="1:15" hidden="1">
      <c r="A119">
        <v>117</v>
      </c>
      <c r="B119">
        <f t="shared" si="13"/>
        <v>0.06</v>
      </c>
      <c r="C119" s="10">
        <f t="shared" si="14"/>
        <v>0.03</v>
      </c>
      <c r="D119" s="10">
        <f t="shared" si="15"/>
        <v>0.06</v>
      </c>
      <c r="E119" s="10">
        <f t="shared" si="16"/>
        <v>0.09</v>
      </c>
      <c r="F119" s="25">
        <f t="shared" si="17"/>
        <v>2.5350486138366879E-3</v>
      </c>
      <c r="G119" s="8">
        <f t="shared" si="18"/>
        <v>0.99746495138616331</v>
      </c>
      <c r="H119" s="13">
        <f t="shared" si="19"/>
        <v>5.1430128318229462E-3</v>
      </c>
      <c r="I119" s="8">
        <f t="shared" si="20"/>
        <v>0.99485698716817705</v>
      </c>
      <c r="J119" s="14">
        <f t="shared" si="21"/>
        <v>7.8284203424832111E-3</v>
      </c>
      <c r="K119" s="8">
        <f t="shared" si="22"/>
        <v>0.99217157965751679</v>
      </c>
      <c r="L119" s="21">
        <v>117</v>
      </c>
      <c r="M119" s="5">
        <f t="shared" si="23"/>
        <v>0.77106752282938118</v>
      </c>
      <c r="N119" s="5">
        <f t="shared" si="24"/>
        <v>0.58994710832338859</v>
      </c>
      <c r="O119" s="5">
        <f t="shared" si="25"/>
        <v>0.44766069958894367</v>
      </c>
    </row>
    <row r="120" spans="1:15" hidden="1">
      <c r="A120">
        <v>118</v>
      </c>
      <c r="B120">
        <f t="shared" si="13"/>
        <v>0.06</v>
      </c>
      <c r="C120" s="10">
        <f t="shared" si="14"/>
        <v>0.03</v>
      </c>
      <c r="D120" s="10">
        <f t="shared" si="15"/>
        <v>0.06</v>
      </c>
      <c r="E120" s="10">
        <f t="shared" si="16"/>
        <v>0.09</v>
      </c>
      <c r="F120" s="25">
        <f t="shared" si="17"/>
        <v>2.5350486138366879E-3</v>
      </c>
      <c r="G120" s="8">
        <f t="shared" si="18"/>
        <v>0.99746495138616331</v>
      </c>
      <c r="H120" s="13">
        <f t="shared" si="19"/>
        <v>5.1430128318229462E-3</v>
      </c>
      <c r="I120" s="8">
        <f t="shared" si="20"/>
        <v>0.99485698716817705</v>
      </c>
      <c r="J120" s="14">
        <f t="shared" si="21"/>
        <v>7.8284203424832111E-3</v>
      </c>
      <c r="K120" s="8">
        <f t="shared" si="22"/>
        <v>0.99217157965751679</v>
      </c>
      <c r="L120" s="21">
        <v>118</v>
      </c>
      <c r="M120" s="5">
        <f t="shared" si="23"/>
        <v>0.76911282917445811</v>
      </c>
      <c r="N120" s="5">
        <f t="shared" si="24"/>
        <v>0.58691300277518454</v>
      </c>
      <c r="O120" s="5">
        <f t="shared" si="25"/>
        <v>0.44415622346175132</v>
      </c>
    </row>
    <row r="121" spans="1:15" hidden="1">
      <c r="A121">
        <v>119</v>
      </c>
      <c r="B121">
        <f t="shared" si="13"/>
        <v>0.06</v>
      </c>
      <c r="C121" s="10">
        <f t="shared" si="14"/>
        <v>0.03</v>
      </c>
      <c r="D121" s="10">
        <f t="shared" si="15"/>
        <v>0.06</v>
      </c>
      <c r="E121" s="10">
        <f t="shared" si="16"/>
        <v>0.09</v>
      </c>
      <c r="F121" s="25">
        <f t="shared" si="17"/>
        <v>2.5350486138366879E-3</v>
      </c>
      <c r="G121" s="8">
        <f t="shared" si="18"/>
        <v>0.99746495138616331</v>
      </c>
      <c r="H121" s="13">
        <f t="shared" si="19"/>
        <v>5.1430128318229462E-3</v>
      </c>
      <c r="I121" s="8">
        <f t="shared" si="20"/>
        <v>0.99485698716817705</v>
      </c>
      <c r="J121" s="14">
        <f t="shared" si="21"/>
        <v>7.8284203424832111E-3</v>
      </c>
      <c r="K121" s="8">
        <f t="shared" si="22"/>
        <v>0.99217157965751679</v>
      </c>
      <c r="L121" s="21">
        <v>119</v>
      </c>
      <c r="M121" s="5">
        <f t="shared" si="23"/>
        <v>0.7671630907629754</v>
      </c>
      <c r="N121" s="5">
        <f t="shared" si="24"/>
        <v>0.58389450167074808</v>
      </c>
      <c r="O121" s="5">
        <f t="shared" si="25"/>
        <v>0.4406791818467628</v>
      </c>
    </row>
    <row r="122" spans="1:15" hidden="1">
      <c r="A122">
        <v>120</v>
      </c>
      <c r="B122">
        <f t="shared" si="13"/>
        <v>0.06</v>
      </c>
      <c r="C122" s="10">
        <f t="shared" si="14"/>
        <v>0.03</v>
      </c>
      <c r="D122" s="10">
        <f t="shared" si="15"/>
        <v>0.06</v>
      </c>
      <c r="E122" s="10">
        <f t="shared" si="16"/>
        <v>0.09</v>
      </c>
      <c r="F122" s="25">
        <f t="shared" si="17"/>
        <v>2.5350486138366879E-3</v>
      </c>
      <c r="G122" s="8">
        <f t="shared" si="18"/>
        <v>0.99746495138616331</v>
      </c>
      <c r="H122" s="13">
        <f t="shared" si="19"/>
        <v>5.1430128318229462E-3</v>
      </c>
      <c r="I122" s="8">
        <f t="shared" si="20"/>
        <v>0.99485698716817705</v>
      </c>
      <c r="J122" s="14">
        <f t="shared" si="21"/>
        <v>7.8284203424832111E-3</v>
      </c>
      <c r="K122" s="8">
        <f t="shared" si="22"/>
        <v>0.99217157965751679</v>
      </c>
      <c r="L122" s="21">
        <v>120</v>
      </c>
      <c r="M122" s="5">
        <f t="shared" si="23"/>
        <v>0.76521829503315009</v>
      </c>
      <c r="N122" s="5">
        <f t="shared" si="24"/>
        <v>0.58089152475622452</v>
      </c>
      <c r="O122" s="5">
        <f t="shared" si="25"/>
        <v>0.43722935997508472</v>
      </c>
    </row>
    <row r="123" spans="1:15" hidden="1">
      <c r="A123">
        <v>121</v>
      </c>
      <c r="B123">
        <f t="shared" si="13"/>
        <v>0.06</v>
      </c>
      <c r="C123" s="10">
        <f t="shared" si="14"/>
        <v>0.03</v>
      </c>
      <c r="D123" s="10">
        <f t="shared" si="15"/>
        <v>0.06</v>
      </c>
      <c r="E123" s="10">
        <f t="shared" si="16"/>
        <v>0.09</v>
      </c>
      <c r="F123" s="25">
        <f t="shared" si="17"/>
        <v>2.5350486138366879E-3</v>
      </c>
      <c r="G123" s="8">
        <f t="shared" si="18"/>
        <v>0.99746495138616331</v>
      </c>
      <c r="H123" s="13">
        <f t="shared" si="19"/>
        <v>5.1430128318229462E-3</v>
      </c>
      <c r="I123" s="8">
        <f t="shared" si="20"/>
        <v>0.99485698716817705</v>
      </c>
      <c r="J123" s="14">
        <f t="shared" si="21"/>
        <v>7.8284203424832111E-3</v>
      </c>
      <c r="K123" s="8">
        <f t="shared" si="22"/>
        <v>0.99217157965751679</v>
      </c>
      <c r="L123" s="21">
        <v>121</v>
      </c>
      <c r="M123" s="5">
        <f t="shared" si="23"/>
        <v>0.76327842945504387</v>
      </c>
      <c r="N123" s="5">
        <f t="shared" si="24"/>
        <v>0.57790399219050603</v>
      </c>
      <c r="O123" s="5">
        <f t="shared" si="25"/>
        <v>0.43380654475912483</v>
      </c>
    </row>
    <row r="124" spans="1:15" hidden="1">
      <c r="A124">
        <v>122</v>
      </c>
      <c r="B124">
        <f t="shared" si="13"/>
        <v>0.06</v>
      </c>
      <c r="C124" s="10">
        <f t="shared" si="14"/>
        <v>0.03</v>
      </c>
      <c r="D124" s="10">
        <f t="shared" si="15"/>
        <v>0.06</v>
      </c>
      <c r="E124" s="10">
        <f t="shared" si="16"/>
        <v>0.09</v>
      </c>
      <c r="F124" s="25">
        <f t="shared" si="17"/>
        <v>2.5350486138366879E-3</v>
      </c>
      <c r="G124" s="8">
        <f t="shared" si="18"/>
        <v>0.99746495138616331</v>
      </c>
      <c r="H124" s="13">
        <f t="shared" si="19"/>
        <v>5.1430128318229462E-3</v>
      </c>
      <c r="I124" s="8">
        <f t="shared" si="20"/>
        <v>0.99485698716817705</v>
      </c>
      <c r="J124" s="14">
        <f t="shared" si="21"/>
        <v>7.8284203424832111E-3</v>
      </c>
      <c r="K124" s="8">
        <f t="shared" si="22"/>
        <v>0.99217157965751679</v>
      </c>
      <c r="L124" s="21">
        <v>122</v>
      </c>
      <c r="M124" s="5">
        <f t="shared" si="23"/>
        <v>0.76134348153048237</v>
      </c>
      <c r="N124" s="5">
        <f t="shared" si="24"/>
        <v>0.57493182454310854</v>
      </c>
      <c r="O124" s="5">
        <f t="shared" si="25"/>
        <v>0.43041052477943015</v>
      </c>
    </row>
    <row r="125" spans="1:15" hidden="1">
      <c r="A125">
        <v>123</v>
      </c>
      <c r="B125">
        <f t="shared" si="13"/>
        <v>0.06</v>
      </c>
      <c r="C125" s="10">
        <f t="shared" si="14"/>
        <v>0.03</v>
      </c>
      <c r="D125" s="10">
        <f t="shared" si="15"/>
        <v>0.06</v>
      </c>
      <c r="E125" s="10">
        <f t="shared" si="16"/>
        <v>0.09</v>
      </c>
      <c r="F125" s="25">
        <f t="shared" si="17"/>
        <v>2.5350486138366879E-3</v>
      </c>
      <c r="G125" s="8">
        <f t="shared" si="18"/>
        <v>0.99746495138616331</v>
      </c>
      <c r="H125" s="13">
        <f t="shared" si="19"/>
        <v>5.1430128318229462E-3</v>
      </c>
      <c r="I125" s="8">
        <f t="shared" si="20"/>
        <v>0.99485698716817705</v>
      </c>
      <c r="J125" s="14">
        <f t="shared" si="21"/>
        <v>7.8284203424832111E-3</v>
      </c>
      <c r="K125" s="8">
        <f t="shared" si="22"/>
        <v>0.99217157965751679</v>
      </c>
      <c r="L125" s="21">
        <v>123</v>
      </c>
      <c r="M125" s="5">
        <f t="shared" si="23"/>
        <v>0.75941343879297496</v>
      </c>
      <c r="N125" s="5">
        <f t="shared" si="24"/>
        <v>0.57197494279205996</v>
      </c>
      <c r="O125" s="5">
        <f t="shared" si="25"/>
        <v>0.42704109027162801</v>
      </c>
    </row>
    <row r="126" spans="1:15" hidden="1">
      <c r="A126">
        <v>124</v>
      </c>
      <c r="B126">
        <f t="shared" si="13"/>
        <v>0.06</v>
      </c>
      <c r="C126" s="10">
        <f t="shared" si="14"/>
        <v>0.03</v>
      </c>
      <c r="D126" s="10">
        <f t="shared" si="15"/>
        <v>0.06</v>
      </c>
      <c r="E126" s="10">
        <f t="shared" si="16"/>
        <v>0.09</v>
      </c>
      <c r="F126" s="25">
        <f t="shared" si="17"/>
        <v>2.5350486138366879E-3</v>
      </c>
      <c r="G126" s="8">
        <f t="shared" si="18"/>
        <v>0.99746495138616331</v>
      </c>
      <c r="H126" s="13">
        <f t="shared" si="19"/>
        <v>5.1430128318229462E-3</v>
      </c>
      <c r="I126" s="8">
        <f t="shared" si="20"/>
        <v>0.99485698716817705</v>
      </c>
      <c r="J126" s="14">
        <f t="shared" si="21"/>
        <v>7.8284203424832111E-3</v>
      </c>
      <c r="K126" s="8">
        <f t="shared" si="22"/>
        <v>0.99217157965751679</v>
      </c>
      <c r="L126" s="21">
        <v>124</v>
      </c>
      <c r="M126" s="5">
        <f t="shared" si="23"/>
        <v>0.75748828880763386</v>
      </c>
      <c r="N126" s="5">
        <f t="shared" si="24"/>
        <v>0.56903326832179923</v>
      </c>
      <c r="O126" s="5">
        <f t="shared" si="25"/>
        <v>0.42369803311346937</v>
      </c>
    </row>
    <row r="127" spans="1:15" hidden="1">
      <c r="A127">
        <v>125</v>
      </c>
      <c r="B127">
        <f t="shared" si="13"/>
        <v>0.06</v>
      </c>
      <c r="C127" s="10">
        <f t="shared" si="14"/>
        <v>0.03</v>
      </c>
      <c r="D127" s="10">
        <f t="shared" si="15"/>
        <v>0.06</v>
      </c>
      <c r="E127" s="10">
        <f t="shared" si="16"/>
        <v>0.09</v>
      </c>
      <c r="F127" s="25">
        <f t="shared" si="17"/>
        <v>2.5350486138366879E-3</v>
      </c>
      <c r="G127" s="8">
        <f t="shared" si="18"/>
        <v>0.99746495138616331</v>
      </c>
      <c r="H127" s="13">
        <f t="shared" si="19"/>
        <v>5.1430128318229462E-3</v>
      </c>
      <c r="I127" s="8">
        <f t="shared" si="20"/>
        <v>0.99485698716817705</v>
      </c>
      <c r="J127" s="14">
        <f t="shared" si="21"/>
        <v>7.8284203424832111E-3</v>
      </c>
      <c r="K127" s="8">
        <f t="shared" si="22"/>
        <v>0.99217157965751679</v>
      </c>
      <c r="L127" s="21">
        <v>125</v>
      </c>
      <c r="M127" s="5">
        <f t="shared" si="23"/>
        <v>0.75556801917109451</v>
      </c>
      <c r="N127" s="5">
        <f t="shared" si="24"/>
        <v>0.5661067229210861</v>
      </c>
      <c r="O127" s="5">
        <f t="shared" si="25"/>
        <v>0.42038114681197375</v>
      </c>
    </row>
    <row r="128" spans="1:15" hidden="1">
      <c r="A128">
        <v>126</v>
      </c>
      <c r="B128">
        <f t="shared" si="13"/>
        <v>0.06</v>
      </c>
      <c r="C128" s="10">
        <f t="shared" si="14"/>
        <v>0.03</v>
      </c>
      <c r="D128" s="10">
        <f t="shared" si="15"/>
        <v>0.06</v>
      </c>
      <c r="E128" s="10">
        <f t="shared" si="16"/>
        <v>0.09</v>
      </c>
      <c r="F128" s="25">
        <f t="shared" si="17"/>
        <v>2.5350486138366879E-3</v>
      </c>
      <c r="G128" s="8">
        <f t="shared" si="18"/>
        <v>0.99746495138616331</v>
      </c>
      <c r="H128" s="13">
        <f t="shared" si="19"/>
        <v>5.1430128318229462E-3</v>
      </c>
      <c r="I128" s="8">
        <f t="shared" si="20"/>
        <v>0.99485698716817705</v>
      </c>
      <c r="J128" s="14">
        <f t="shared" si="21"/>
        <v>7.8284203424832111E-3</v>
      </c>
      <c r="K128" s="8">
        <f t="shared" si="22"/>
        <v>0.99217157965751679</v>
      </c>
      <c r="L128" s="21">
        <v>126</v>
      </c>
      <c r="M128" s="5">
        <f t="shared" si="23"/>
        <v>0.75365261751143553</v>
      </c>
      <c r="N128" s="5">
        <f t="shared" si="24"/>
        <v>0.56319522878092176</v>
      </c>
      <c r="O128" s="5">
        <f t="shared" si="25"/>
        <v>0.41709022649067445</v>
      </c>
    </row>
    <row r="129" spans="1:15" hidden="1">
      <c r="A129">
        <v>127</v>
      </c>
      <c r="B129">
        <f t="shared" si="13"/>
        <v>0.06</v>
      </c>
      <c r="C129" s="10">
        <f t="shared" si="14"/>
        <v>0.03</v>
      </c>
      <c r="D129" s="10">
        <f t="shared" si="15"/>
        <v>0.06</v>
      </c>
      <c r="E129" s="10">
        <f t="shared" si="16"/>
        <v>0.09</v>
      </c>
      <c r="F129" s="25">
        <f t="shared" si="17"/>
        <v>2.5350486138366879E-3</v>
      </c>
      <c r="G129" s="8">
        <f t="shared" si="18"/>
        <v>0.99746495138616331</v>
      </c>
      <c r="H129" s="13">
        <f t="shared" si="19"/>
        <v>5.1430128318229462E-3</v>
      </c>
      <c r="I129" s="8">
        <f t="shared" si="20"/>
        <v>0.99485698716817705</v>
      </c>
      <c r="J129" s="14">
        <f t="shared" si="21"/>
        <v>7.8284203424832111E-3</v>
      </c>
      <c r="K129" s="8">
        <f t="shared" si="22"/>
        <v>0.99217157965751679</v>
      </c>
      <c r="L129" s="21">
        <v>127</v>
      </c>
      <c r="M129" s="5">
        <f t="shared" si="23"/>
        <v>0.7517420714880988</v>
      </c>
      <c r="N129" s="5">
        <f t="shared" si="24"/>
        <v>0.56029870849247998</v>
      </c>
      <c r="O129" s="5">
        <f t="shared" si="25"/>
        <v>0.41382506887696391</v>
      </c>
    </row>
    <row r="130" spans="1:15" hidden="1">
      <c r="A130">
        <v>128</v>
      </c>
      <c r="B130">
        <f t="shared" si="13"/>
        <v>0.06</v>
      </c>
      <c r="C130" s="10">
        <f t="shared" si="14"/>
        <v>0.03</v>
      </c>
      <c r="D130" s="10">
        <f t="shared" si="15"/>
        <v>0.06</v>
      </c>
      <c r="E130" s="10">
        <f t="shared" si="16"/>
        <v>0.09</v>
      </c>
      <c r="F130" s="25">
        <f t="shared" si="17"/>
        <v>2.5350486138366879E-3</v>
      </c>
      <c r="G130" s="8">
        <f t="shared" si="18"/>
        <v>0.99746495138616331</v>
      </c>
      <c r="H130" s="13">
        <f t="shared" si="19"/>
        <v>5.1430128318229462E-3</v>
      </c>
      <c r="I130" s="8">
        <f t="shared" si="20"/>
        <v>0.99485698716817705</v>
      </c>
      <c r="J130" s="14">
        <f t="shared" si="21"/>
        <v>7.8284203424832111E-3</v>
      </c>
      <c r="K130" s="8">
        <f t="shared" si="22"/>
        <v>0.99217157965751679</v>
      </c>
      <c r="L130" s="21">
        <v>128</v>
      </c>
      <c r="M130" s="5">
        <f t="shared" si="23"/>
        <v>0.74983636879181015</v>
      </c>
      <c r="N130" s="5">
        <f t="shared" si="24"/>
        <v>0.55741708504504928</v>
      </c>
      <c r="O130" s="5">
        <f t="shared" si="25"/>
        <v>0.41058547228953796</v>
      </c>
    </row>
    <row r="131" spans="1:15" hidden="1">
      <c r="A131">
        <v>129</v>
      </c>
      <c r="B131">
        <f t="shared" si="13"/>
        <v>0.06</v>
      </c>
      <c r="C131" s="10">
        <f t="shared" si="14"/>
        <v>0.03</v>
      </c>
      <c r="D131" s="10">
        <f t="shared" si="15"/>
        <v>0.06</v>
      </c>
      <c r="E131" s="10">
        <f t="shared" si="16"/>
        <v>0.09</v>
      </c>
      <c r="F131" s="25">
        <f t="shared" si="17"/>
        <v>2.5350486138366879E-3</v>
      </c>
      <c r="G131" s="8">
        <f t="shared" si="18"/>
        <v>0.99746495138616331</v>
      </c>
      <c r="H131" s="13">
        <f t="shared" si="19"/>
        <v>5.1430128318229462E-3</v>
      </c>
      <c r="I131" s="8">
        <f t="shared" si="20"/>
        <v>0.99485698716817705</v>
      </c>
      <c r="J131" s="14">
        <f t="shared" si="21"/>
        <v>7.8284203424832111E-3</v>
      </c>
      <c r="K131" s="8">
        <f t="shared" si="22"/>
        <v>0.99217157965751679</v>
      </c>
      <c r="L131" s="21">
        <v>129</v>
      </c>
      <c r="M131" s="5">
        <f t="shared" si="23"/>
        <v>0.74793549714450014</v>
      </c>
      <c r="N131" s="5">
        <f t="shared" si="24"/>
        <v>0.55455028182398525</v>
      </c>
      <c r="O131" s="5">
        <f t="shared" si="25"/>
        <v>0.40737123662593844</v>
      </c>
    </row>
    <row r="132" spans="1:15" hidden="1">
      <c r="A132">
        <v>130</v>
      </c>
      <c r="B132">
        <f t="shared" ref="B132:B195" si="26">IF(A132&lt;=30,0.06*(A132/30),0.06)</f>
        <v>0.06</v>
      </c>
      <c r="C132" s="10">
        <f t="shared" ref="C132:C195" si="27">50/100*B132</f>
        <v>0.03</v>
      </c>
      <c r="D132" s="10">
        <f t="shared" ref="D132:D195" si="28">100/100*B132</f>
        <v>0.06</v>
      </c>
      <c r="E132" s="10">
        <f t="shared" ref="E132:E195" si="29">150/100*B132</f>
        <v>0.09</v>
      </c>
      <c r="F132" s="25">
        <f t="shared" ref="F132:F195" si="30">1-(1-C132)^(1/12)</f>
        <v>2.5350486138366879E-3</v>
      </c>
      <c r="G132" s="8">
        <f t="shared" ref="G132:G195" si="31">1-F132</f>
        <v>0.99746495138616331</v>
      </c>
      <c r="H132" s="13">
        <f t="shared" ref="H132:H195" si="32">1-(1-D132)^(1/12)</f>
        <v>5.1430128318229462E-3</v>
      </c>
      <c r="I132" s="8">
        <f t="shared" ref="I132:I195" si="33">1-H132</f>
        <v>0.99485698716817705</v>
      </c>
      <c r="J132" s="14">
        <f t="shared" ref="J132:J195" si="34">1-(1-E132)^(1/12)</f>
        <v>7.8284203424832111E-3</v>
      </c>
      <c r="K132" s="8">
        <f t="shared" ref="K132:K195" si="35">1-J132</f>
        <v>0.99217157965751679</v>
      </c>
      <c r="L132" s="21">
        <v>130</v>
      </c>
      <c r="M132" s="5">
        <f t="shared" si="23"/>
        <v>0.74603944429922475</v>
      </c>
      <c r="N132" s="5">
        <f t="shared" si="24"/>
        <v>0.55169822260867341</v>
      </c>
      <c r="O132" s="5">
        <f t="shared" si="25"/>
        <v>0.40418216335019341</v>
      </c>
    </row>
    <row r="133" spans="1:15" hidden="1">
      <c r="A133">
        <v>131</v>
      </c>
      <c r="B133">
        <f t="shared" si="26"/>
        <v>0.06</v>
      </c>
      <c r="C133" s="10">
        <f t="shared" si="27"/>
        <v>0.03</v>
      </c>
      <c r="D133" s="10">
        <f t="shared" si="28"/>
        <v>0.06</v>
      </c>
      <c r="E133" s="10">
        <f t="shared" si="29"/>
        <v>0.09</v>
      </c>
      <c r="F133" s="25">
        <f t="shared" si="30"/>
        <v>2.5350486138366879E-3</v>
      </c>
      <c r="G133" s="8">
        <f t="shared" si="31"/>
        <v>0.99746495138616331</v>
      </c>
      <c r="H133" s="13">
        <f t="shared" si="32"/>
        <v>5.1430128318229462E-3</v>
      </c>
      <c r="I133" s="8">
        <f t="shared" si="33"/>
        <v>0.99485698716817705</v>
      </c>
      <c r="J133" s="14">
        <f t="shared" si="34"/>
        <v>7.8284203424832111E-3</v>
      </c>
      <c r="K133" s="8">
        <f t="shared" si="35"/>
        <v>0.99217157965751679</v>
      </c>
      <c r="L133" s="21">
        <v>131</v>
      </c>
      <c r="M133" s="5">
        <f t="shared" ref="M133:M196" si="36">M132*G133</f>
        <v>0.74414819804008647</v>
      </c>
      <c r="N133" s="5">
        <f t="shared" ref="N133:N196" si="37">N132*I133</f>
        <v>0.54886083157050314</v>
      </c>
      <c r="O133" s="5">
        <f t="shared" ref="O133:O196" si="38">O132*K133</f>
        <v>0.40101805548055391</v>
      </c>
    </row>
    <row r="134" spans="1:15" hidden="1">
      <c r="A134">
        <v>132</v>
      </c>
      <c r="B134">
        <f t="shared" si="26"/>
        <v>0.06</v>
      </c>
      <c r="C134" s="10">
        <f t="shared" si="27"/>
        <v>0.03</v>
      </c>
      <c r="D134" s="10">
        <f t="shared" si="28"/>
        <v>0.06</v>
      </c>
      <c r="E134" s="10">
        <f t="shared" si="29"/>
        <v>0.09</v>
      </c>
      <c r="F134" s="25">
        <f t="shared" si="30"/>
        <v>2.5350486138366879E-3</v>
      </c>
      <c r="G134" s="8">
        <f t="shared" si="31"/>
        <v>0.99746495138616331</v>
      </c>
      <c r="H134" s="13">
        <f t="shared" si="32"/>
        <v>5.1430128318229462E-3</v>
      </c>
      <c r="I134" s="8">
        <f t="shared" si="33"/>
        <v>0.99485698716817705</v>
      </c>
      <c r="J134" s="14">
        <f t="shared" si="34"/>
        <v>7.8284203424832111E-3</v>
      </c>
      <c r="K134" s="8">
        <f t="shared" si="35"/>
        <v>0.99217157965751679</v>
      </c>
      <c r="L134" s="21">
        <v>132</v>
      </c>
      <c r="M134" s="5">
        <f t="shared" si="36"/>
        <v>0.7422617461821559</v>
      </c>
      <c r="N134" s="5">
        <f t="shared" si="37"/>
        <v>0.54603803327085099</v>
      </c>
      <c r="O134" s="5">
        <f t="shared" si="38"/>
        <v>0.3978787175773269</v>
      </c>
    </row>
    <row r="135" spans="1:15" hidden="1">
      <c r="A135">
        <v>133</v>
      </c>
      <c r="B135">
        <f t="shared" si="26"/>
        <v>0.06</v>
      </c>
      <c r="C135" s="10">
        <f t="shared" si="27"/>
        <v>0.03</v>
      </c>
      <c r="D135" s="10">
        <f t="shared" si="28"/>
        <v>0.06</v>
      </c>
      <c r="E135" s="10">
        <f t="shared" si="29"/>
        <v>0.09</v>
      </c>
      <c r="F135" s="25">
        <f t="shared" si="30"/>
        <v>2.5350486138366879E-3</v>
      </c>
      <c r="G135" s="8">
        <f t="shared" si="31"/>
        <v>0.99746495138616331</v>
      </c>
      <c r="H135" s="13">
        <f t="shared" si="32"/>
        <v>5.1430128318229462E-3</v>
      </c>
      <c r="I135" s="8">
        <f t="shared" si="33"/>
        <v>0.99485698716817705</v>
      </c>
      <c r="J135" s="14">
        <f t="shared" si="34"/>
        <v>7.8284203424832111E-3</v>
      </c>
      <c r="K135" s="8">
        <f t="shared" si="35"/>
        <v>0.99217157965751679</v>
      </c>
      <c r="L135" s="21">
        <v>133</v>
      </c>
      <c r="M135" s="5">
        <f t="shared" si="36"/>
        <v>0.74038007657139282</v>
      </c>
      <c r="N135" s="5">
        <f t="shared" si="37"/>
        <v>0.54322975265907558</v>
      </c>
      <c r="O135" s="5">
        <f t="shared" si="38"/>
        <v>0.39476395573080342</v>
      </c>
    </row>
    <row r="136" spans="1:15" hidden="1">
      <c r="A136">
        <v>134</v>
      </c>
      <c r="B136">
        <f t="shared" si="26"/>
        <v>0.06</v>
      </c>
      <c r="C136" s="10">
        <f t="shared" si="27"/>
        <v>0.03</v>
      </c>
      <c r="D136" s="10">
        <f t="shared" si="28"/>
        <v>0.06</v>
      </c>
      <c r="E136" s="10">
        <f t="shared" si="29"/>
        <v>0.09</v>
      </c>
      <c r="F136" s="25">
        <f t="shared" si="30"/>
        <v>2.5350486138366879E-3</v>
      </c>
      <c r="G136" s="8">
        <f t="shared" si="31"/>
        <v>0.99746495138616331</v>
      </c>
      <c r="H136" s="13">
        <f t="shared" si="32"/>
        <v>5.1430128318229462E-3</v>
      </c>
      <c r="I136" s="8">
        <f t="shared" si="33"/>
        <v>0.99485698716817705</v>
      </c>
      <c r="J136" s="14">
        <f t="shared" si="34"/>
        <v>7.8284203424832111E-3</v>
      </c>
      <c r="K136" s="8">
        <f t="shared" si="35"/>
        <v>0.99217157965751679</v>
      </c>
      <c r="L136" s="21">
        <v>134</v>
      </c>
      <c r="M136" s="5">
        <f t="shared" si="36"/>
        <v>0.73850317708456825</v>
      </c>
      <c r="N136" s="5">
        <f t="shared" si="37"/>
        <v>0.54043591507052191</v>
      </c>
      <c r="O136" s="5">
        <f t="shared" si="38"/>
        <v>0.39167357754928123</v>
      </c>
    </row>
    <row r="137" spans="1:15" hidden="1">
      <c r="A137">
        <v>135</v>
      </c>
      <c r="B137">
        <f t="shared" si="26"/>
        <v>0.06</v>
      </c>
      <c r="C137" s="10">
        <f t="shared" si="27"/>
        <v>0.03</v>
      </c>
      <c r="D137" s="10">
        <f t="shared" si="28"/>
        <v>0.06</v>
      </c>
      <c r="E137" s="10">
        <f t="shared" si="29"/>
        <v>0.09</v>
      </c>
      <c r="F137" s="25">
        <f t="shared" si="30"/>
        <v>2.5350486138366879E-3</v>
      </c>
      <c r="G137" s="8">
        <f t="shared" si="31"/>
        <v>0.99746495138616331</v>
      </c>
      <c r="H137" s="13">
        <f t="shared" si="32"/>
        <v>5.1430128318229462E-3</v>
      </c>
      <c r="I137" s="8">
        <f t="shared" si="33"/>
        <v>0.99485698716817705</v>
      </c>
      <c r="J137" s="14">
        <f t="shared" si="34"/>
        <v>7.8284203424832111E-3</v>
      </c>
      <c r="K137" s="8">
        <f t="shared" si="35"/>
        <v>0.99217157965751679</v>
      </c>
      <c r="L137" s="21">
        <v>135</v>
      </c>
      <c r="M137" s="5">
        <f t="shared" si="36"/>
        <v>0.73663103562918608</v>
      </c>
      <c r="N137" s="5">
        <f t="shared" si="37"/>
        <v>0.53765644622453623</v>
      </c>
      <c r="O137" s="5">
        <f t="shared" si="38"/>
        <v>0.38860739214718126</v>
      </c>
    </row>
    <row r="138" spans="1:15" hidden="1">
      <c r="A138">
        <v>136</v>
      </c>
      <c r="B138">
        <f t="shared" si="26"/>
        <v>0.06</v>
      </c>
      <c r="C138" s="10">
        <f t="shared" si="27"/>
        <v>0.03</v>
      </c>
      <c r="D138" s="10">
        <f t="shared" si="28"/>
        <v>0.06</v>
      </c>
      <c r="E138" s="10">
        <f t="shared" si="29"/>
        <v>0.09</v>
      </c>
      <c r="F138" s="25">
        <f t="shared" si="30"/>
        <v>2.5350486138366879E-3</v>
      </c>
      <c r="G138" s="8">
        <f t="shared" si="31"/>
        <v>0.99746495138616331</v>
      </c>
      <c r="H138" s="13">
        <f t="shared" si="32"/>
        <v>5.1430128318229462E-3</v>
      </c>
      <c r="I138" s="8">
        <f t="shared" si="33"/>
        <v>0.99485698716817705</v>
      </c>
      <c r="J138" s="14">
        <f t="shared" si="34"/>
        <v>7.8284203424832111E-3</v>
      </c>
      <c r="K138" s="8">
        <f t="shared" si="35"/>
        <v>0.99217157965751679</v>
      </c>
      <c r="L138" s="21">
        <v>136</v>
      </c>
      <c r="M138" s="5">
        <f t="shared" si="36"/>
        <v>0.73476364014340523</v>
      </c>
      <c r="N138" s="5">
        <f t="shared" si="37"/>
        <v>0.53489127222249111</v>
      </c>
      <c r="O138" s="5">
        <f t="shared" si="38"/>
        <v>0.3855652101332569</v>
      </c>
    </row>
    <row r="139" spans="1:15" hidden="1">
      <c r="A139">
        <v>137</v>
      </c>
      <c r="B139">
        <f t="shared" si="26"/>
        <v>0.06</v>
      </c>
      <c r="C139" s="10">
        <f t="shared" si="27"/>
        <v>0.03</v>
      </c>
      <c r="D139" s="10">
        <f t="shared" si="28"/>
        <v>0.06</v>
      </c>
      <c r="E139" s="10">
        <f t="shared" si="29"/>
        <v>0.09</v>
      </c>
      <c r="F139" s="25">
        <f t="shared" si="30"/>
        <v>2.5350486138366879E-3</v>
      </c>
      <c r="G139" s="8">
        <f t="shared" si="31"/>
        <v>0.99746495138616331</v>
      </c>
      <c r="H139" s="13">
        <f t="shared" si="32"/>
        <v>5.1430128318229462E-3</v>
      </c>
      <c r="I139" s="8">
        <f t="shared" si="33"/>
        <v>0.99485698716817705</v>
      </c>
      <c r="J139" s="14">
        <f t="shared" si="34"/>
        <v>7.8284203424832111E-3</v>
      </c>
      <c r="K139" s="8">
        <f t="shared" si="35"/>
        <v>0.99217157965751679</v>
      </c>
      <c r="L139" s="21">
        <v>137</v>
      </c>
      <c r="M139" s="5">
        <f t="shared" si="36"/>
        <v>0.73290097859596204</v>
      </c>
      <c r="N139" s="5">
        <f t="shared" si="37"/>
        <v>0.53214031954582075</v>
      </c>
      <c r="O139" s="5">
        <f t="shared" si="38"/>
        <v>0.3825468435988959</v>
      </c>
    </row>
    <row r="140" spans="1:15" hidden="1">
      <c r="A140">
        <v>138</v>
      </c>
      <c r="B140">
        <f t="shared" si="26"/>
        <v>0.06</v>
      </c>
      <c r="C140" s="10">
        <f t="shared" si="27"/>
        <v>0.03</v>
      </c>
      <c r="D140" s="10">
        <f t="shared" si="28"/>
        <v>0.06</v>
      </c>
      <c r="E140" s="10">
        <f t="shared" si="29"/>
        <v>0.09</v>
      </c>
      <c r="F140" s="25">
        <f t="shared" si="30"/>
        <v>2.5350486138366879E-3</v>
      </c>
      <c r="G140" s="8">
        <f t="shared" si="31"/>
        <v>0.99746495138616331</v>
      </c>
      <c r="H140" s="13">
        <f t="shared" si="32"/>
        <v>5.1430128318229462E-3</v>
      </c>
      <c r="I140" s="8">
        <f t="shared" si="33"/>
        <v>0.99485698716817705</v>
      </c>
      <c r="J140" s="14">
        <f t="shared" si="34"/>
        <v>7.8284203424832111E-3</v>
      </c>
      <c r="K140" s="8">
        <f t="shared" si="35"/>
        <v>0.99217157965751679</v>
      </c>
      <c r="L140" s="21">
        <v>138</v>
      </c>
      <c r="M140" s="5">
        <f t="shared" si="36"/>
        <v>0.7310430389860928</v>
      </c>
      <c r="N140" s="5">
        <f t="shared" si="37"/>
        <v>0.52940351505406624</v>
      </c>
      <c r="O140" s="5">
        <f t="shared" si="38"/>
        <v>0.37955210610651358</v>
      </c>
    </row>
    <row r="141" spans="1:15" hidden="1">
      <c r="A141">
        <v>139</v>
      </c>
      <c r="B141">
        <f t="shared" si="26"/>
        <v>0.06</v>
      </c>
      <c r="C141" s="10">
        <f t="shared" si="27"/>
        <v>0.03</v>
      </c>
      <c r="D141" s="10">
        <f t="shared" si="28"/>
        <v>0.06</v>
      </c>
      <c r="E141" s="10">
        <f t="shared" si="29"/>
        <v>0.09</v>
      </c>
      <c r="F141" s="25">
        <f t="shared" si="30"/>
        <v>2.5350486138366879E-3</v>
      </c>
      <c r="G141" s="8">
        <f t="shared" si="31"/>
        <v>0.99746495138616331</v>
      </c>
      <c r="H141" s="13">
        <f t="shared" si="32"/>
        <v>5.1430128318229462E-3</v>
      </c>
      <c r="I141" s="8">
        <f t="shared" si="33"/>
        <v>0.99485698716817705</v>
      </c>
      <c r="J141" s="14">
        <f t="shared" si="34"/>
        <v>7.8284203424832111E-3</v>
      </c>
      <c r="K141" s="8">
        <f t="shared" si="35"/>
        <v>0.99217157965751679</v>
      </c>
      <c r="L141" s="21">
        <v>139</v>
      </c>
      <c r="M141" s="5">
        <f t="shared" si="36"/>
        <v>0.72918980934345612</v>
      </c>
      <c r="N141" s="5">
        <f t="shared" si="37"/>
        <v>0.526680785982931</v>
      </c>
      <c r="O141" s="5">
        <f t="shared" si="38"/>
        <v>0.376580812678037</v>
      </c>
    </row>
    <row r="142" spans="1:15" hidden="1">
      <c r="A142">
        <v>140</v>
      </c>
      <c r="B142">
        <f t="shared" si="26"/>
        <v>0.06</v>
      </c>
      <c r="C142" s="10">
        <f t="shared" si="27"/>
        <v>0.03</v>
      </c>
      <c r="D142" s="10">
        <f t="shared" si="28"/>
        <v>0.06</v>
      </c>
      <c r="E142" s="10">
        <f t="shared" si="29"/>
        <v>0.09</v>
      </c>
      <c r="F142" s="25">
        <f t="shared" si="30"/>
        <v>2.5350486138366879E-3</v>
      </c>
      <c r="G142" s="8">
        <f t="shared" si="31"/>
        <v>0.99746495138616331</v>
      </c>
      <c r="H142" s="13">
        <f t="shared" si="32"/>
        <v>5.1430128318229462E-3</v>
      </c>
      <c r="I142" s="8">
        <f t="shared" si="33"/>
        <v>0.99485698716817705</v>
      </c>
      <c r="J142" s="14">
        <f t="shared" si="34"/>
        <v>7.8284203424832111E-3</v>
      </c>
      <c r="K142" s="8">
        <f t="shared" si="35"/>
        <v>0.99217157965751679</v>
      </c>
      <c r="L142" s="21">
        <v>140</v>
      </c>
      <c r="M142" s="5">
        <f t="shared" si="36"/>
        <v>0.72734127772805612</v>
      </c>
      <c r="N142" s="5">
        <f t="shared" si="37"/>
        <v>0.52397205994234619</v>
      </c>
      <c r="O142" s="5">
        <f t="shared" si="38"/>
        <v>0.37363277978347942</v>
      </c>
    </row>
    <row r="143" spans="1:15" hidden="1">
      <c r="A143">
        <v>141</v>
      </c>
      <c r="B143">
        <f t="shared" si="26"/>
        <v>0.06</v>
      </c>
      <c r="C143" s="10">
        <f t="shared" si="27"/>
        <v>0.03</v>
      </c>
      <c r="D143" s="10">
        <f t="shared" si="28"/>
        <v>0.06</v>
      </c>
      <c r="E143" s="10">
        <f t="shared" si="29"/>
        <v>0.09</v>
      </c>
      <c r="F143" s="25">
        <f t="shared" si="30"/>
        <v>2.5350486138366879E-3</v>
      </c>
      <c r="G143" s="8">
        <f t="shared" si="31"/>
        <v>0.99746495138616331</v>
      </c>
      <c r="H143" s="13">
        <f t="shared" si="32"/>
        <v>5.1430128318229462E-3</v>
      </c>
      <c r="I143" s="8">
        <f t="shared" si="33"/>
        <v>0.99485698716817705</v>
      </c>
      <c r="J143" s="14">
        <f t="shared" si="34"/>
        <v>7.8284203424832111E-3</v>
      </c>
      <c r="K143" s="8">
        <f t="shared" si="35"/>
        <v>0.99217157965751679</v>
      </c>
      <c r="L143" s="21">
        <v>141</v>
      </c>
      <c r="M143" s="5">
        <f t="shared" si="36"/>
        <v>0.72549743223016538</v>
      </c>
      <c r="N143" s="5">
        <f t="shared" si="37"/>
        <v>0.52127726491454596</v>
      </c>
      <c r="O143" s="5">
        <f t="shared" si="38"/>
        <v>0.37070782532960389</v>
      </c>
    </row>
    <row r="144" spans="1:15" hidden="1">
      <c r="A144">
        <v>142</v>
      </c>
      <c r="B144">
        <f t="shared" si="26"/>
        <v>0.06</v>
      </c>
      <c r="C144" s="10">
        <f t="shared" si="27"/>
        <v>0.03</v>
      </c>
      <c r="D144" s="10">
        <f t="shared" si="28"/>
        <v>0.06</v>
      </c>
      <c r="E144" s="10">
        <f t="shared" si="29"/>
        <v>0.09</v>
      </c>
      <c r="F144" s="25">
        <f t="shared" si="30"/>
        <v>2.5350486138366879E-3</v>
      </c>
      <c r="G144" s="8">
        <f t="shared" si="31"/>
        <v>0.99746495138616331</v>
      </c>
      <c r="H144" s="13">
        <f t="shared" si="32"/>
        <v>5.1430128318229462E-3</v>
      </c>
      <c r="I144" s="8">
        <f t="shared" si="33"/>
        <v>0.99485698716817705</v>
      </c>
      <c r="J144" s="14">
        <f t="shared" si="34"/>
        <v>7.8284203424832111E-3</v>
      </c>
      <c r="K144" s="8">
        <f t="shared" si="35"/>
        <v>0.99217157965751679</v>
      </c>
      <c r="L144" s="21">
        <v>142</v>
      </c>
      <c r="M144" s="5">
        <f t="shared" si="36"/>
        <v>0.72365826097024821</v>
      </c>
      <c r="N144" s="5">
        <f t="shared" si="37"/>
        <v>0.51859632925215293</v>
      </c>
      <c r="O144" s="5">
        <f t="shared" si="38"/>
        <v>0.36780576864867592</v>
      </c>
    </row>
    <row r="145" spans="1:15" hidden="1">
      <c r="A145">
        <v>143</v>
      </c>
      <c r="B145">
        <f t="shared" si="26"/>
        <v>0.06</v>
      </c>
      <c r="C145" s="10">
        <f t="shared" si="27"/>
        <v>0.03</v>
      </c>
      <c r="D145" s="10">
        <f t="shared" si="28"/>
        <v>0.06</v>
      </c>
      <c r="E145" s="10">
        <f t="shared" si="29"/>
        <v>0.09</v>
      </c>
      <c r="F145" s="25">
        <f t="shared" si="30"/>
        <v>2.5350486138366879E-3</v>
      </c>
      <c r="G145" s="8">
        <f t="shared" si="31"/>
        <v>0.99746495138616331</v>
      </c>
      <c r="H145" s="13">
        <f t="shared" si="32"/>
        <v>5.1430128318229462E-3</v>
      </c>
      <c r="I145" s="8">
        <f t="shared" si="33"/>
        <v>0.99485698716817705</v>
      </c>
      <c r="J145" s="14">
        <f t="shared" si="34"/>
        <v>7.8284203424832111E-3</v>
      </c>
      <c r="K145" s="8">
        <f t="shared" si="35"/>
        <v>0.99217157965751679</v>
      </c>
      <c r="L145" s="21">
        <v>143</v>
      </c>
      <c r="M145" s="5">
        <f t="shared" si="36"/>
        <v>0.72182375209888416</v>
      </c>
      <c r="N145" s="5">
        <f t="shared" si="37"/>
        <v>0.51592918167627289</v>
      </c>
      <c r="O145" s="5">
        <f t="shared" si="38"/>
        <v>0.36492643048730394</v>
      </c>
    </row>
    <row r="146" spans="1:15" hidden="1">
      <c r="A146">
        <v>144</v>
      </c>
      <c r="B146">
        <f t="shared" si="26"/>
        <v>0.06</v>
      </c>
      <c r="C146" s="10">
        <f t="shared" si="27"/>
        <v>0.03</v>
      </c>
      <c r="D146" s="10">
        <f t="shared" si="28"/>
        <v>0.06</v>
      </c>
      <c r="E146" s="10">
        <f t="shared" si="29"/>
        <v>0.09</v>
      </c>
      <c r="F146" s="25">
        <f t="shared" si="30"/>
        <v>2.5350486138366879E-3</v>
      </c>
      <c r="G146" s="8">
        <f t="shared" si="31"/>
        <v>0.99746495138616331</v>
      </c>
      <c r="H146" s="13">
        <f t="shared" si="32"/>
        <v>5.1430128318229462E-3</v>
      </c>
      <c r="I146" s="8">
        <f t="shared" si="33"/>
        <v>0.99485698716817705</v>
      </c>
      <c r="J146" s="14">
        <f t="shared" si="34"/>
        <v>7.8284203424832111E-3</v>
      </c>
      <c r="K146" s="8">
        <f t="shared" si="35"/>
        <v>0.99217157965751679</v>
      </c>
      <c r="L146" s="21">
        <v>144</v>
      </c>
      <c r="M146" s="5">
        <f t="shared" si="36"/>
        <v>0.71999389379669154</v>
      </c>
      <c r="N146" s="5">
        <f t="shared" si="37"/>
        <v>0.5132757512745999</v>
      </c>
      <c r="O146" s="5">
        <f t="shared" si="38"/>
        <v>0.36206963299536737</v>
      </c>
    </row>
    <row r="147" spans="1:15" hidden="1">
      <c r="A147">
        <v>145</v>
      </c>
      <c r="B147">
        <f t="shared" si="26"/>
        <v>0.06</v>
      </c>
      <c r="C147" s="10">
        <f t="shared" si="27"/>
        <v>0.03</v>
      </c>
      <c r="D147" s="10">
        <f t="shared" si="28"/>
        <v>0.06</v>
      </c>
      <c r="E147" s="10">
        <f t="shared" si="29"/>
        <v>0.09</v>
      </c>
      <c r="F147" s="25">
        <f t="shared" si="30"/>
        <v>2.5350486138366879E-3</v>
      </c>
      <c r="G147" s="8">
        <f t="shared" si="31"/>
        <v>0.99746495138616331</v>
      </c>
      <c r="H147" s="13">
        <f t="shared" si="32"/>
        <v>5.1430128318229462E-3</v>
      </c>
      <c r="I147" s="8">
        <f t="shared" si="33"/>
        <v>0.99485698716817705</v>
      </c>
      <c r="J147" s="14">
        <f t="shared" si="34"/>
        <v>7.8284203424832111E-3</v>
      </c>
      <c r="K147" s="8">
        <f t="shared" si="35"/>
        <v>0.99217157965751679</v>
      </c>
      <c r="L147" s="21">
        <v>145</v>
      </c>
      <c r="M147" s="5">
        <f t="shared" si="36"/>
        <v>0.71816867427425135</v>
      </c>
      <c r="N147" s="5">
        <f t="shared" si="37"/>
        <v>0.51063596749953111</v>
      </c>
      <c r="O147" s="5">
        <f t="shared" si="38"/>
        <v>0.35923519971503098</v>
      </c>
    </row>
    <row r="148" spans="1:15" hidden="1">
      <c r="A148">
        <v>146</v>
      </c>
      <c r="B148">
        <f t="shared" si="26"/>
        <v>0.06</v>
      </c>
      <c r="C148" s="10">
        <f t="shared" si="27"/>
        <v>0.03</v>
      </c>
      <c r="D148" s="10">
        <f t="shared" si="28"/>
        <v>0.06</v>
      </c>
      <c r="E148" s="10">
        <f t="shared" si="29"/>
        <v>0.09</v>
      </c>
      <c r="F148" s="25">
        <f t="shared" si="30"/>
        <v>2.5350486138366879E-3</v>
      </c>
      <c r="G148" s="8">
        <f t="shared" si="31"/>
        <v>0.99746495138616331</v>
      </c>
      <c r="H148" s="13">
        <f t="shared" si="32"/>
        <v>5.1430128318229462E-3</v>
      </c>
      <c r="I148" s="8">
        <f t="shared" si="33"/>
        <v>0.99485698716817705</v>
      </c>
      <c r="J148" s="14">
        <f t="shared" si="34"/>
        <v>7.8284203424832111E-3</v>
      </c>
      <c r="K148" s="8">
        <f t="shared" si="35"/>
        <v>0.99217157965751679</v>
      </c>
      <c r="L148" s="21">
        <v>146</v>
      </c>
      <c r="M148" s="5">
        <f t="shared" si="36"/>
        <v>0.71634808177203146</v>
      </c>
      <c r="N148" s="5">
        <f t="shared" si="37"/>
        <v>0.50800976016629074</v>
      </c>
      <c r="O148" s="5">
        <f t="shared" si="38"/>
        <v>0.35642295556984582</v>
      </c>
    </row>
    <row r="149" spans="1:15" hidden="1">
      <c r="A149">
        <v>147</v>
      </c>
      <c r="B149">
        <f t="shared" si="26"/>
        <v>0.06</v>
      </c>
      <c r="C149" s="10">
        <f t="shared" si="27"/>
        <v>0.03</v>
      </c>
      <c r="D149" s="10">
        <f t="shared" si="28"/>
        <v>0.06</v>
      </c>
      <c r="E149" s="10">
        <f t="shared" si="29"/>
        <v>0.09</v>
      </c>
      <c r="F149" s="25">
        <f t="shared" si="30"/>
        <v>2.5350486138366879E-3</v>
      </c>
      <c r="G149" s="8">
        <f t="shared" si="31"/>
        <v>0.99746495138616331</v>
      </c>
      <c r="H149" s="13">
        <f t="shared" si="32"/>
        <v>5.1430128318229462E-3</v>
      </c>
      <c r="I149" s="8">
        <f t="shared" si="33"/>
        <v>0.99485698716817705</v>
      </c>
      <c r="J149" s="14">
        <f t="shared" si="34"/>
        <v>7.8284203424832111E-3</v>
      </c>
      <c r="K149" s="8">
        <f t="shared" si="35"/>
        <v>0.99217157965751679</v>
      </c>
      <c r="L149" s="21">
        <v>147</v>
      </c>
      <c r="M149" s="5">
        <f t="shared" si="36"/>
        <v>0.71453210456031069</v>
      </c>
      <c r="N149" s="5">
        <f t="shared" si="37"/>
        <v>0.50539705945106417</v>
      </c>
      <c r="O149" s="5">
        <f t="shared" si="38"/>
        <v>0.35363272685393488</v>
      </c>
    </row>
    <row r="150" spans="1:15" hidden="1">
      <c r="A150">
        <v>148</v>
      </c>
      <c r="B150">
        <f t="shared" si="26"/>
        <v>0.06</v>
      </c>
      <c r="C150" s="10">
        <f t="shared" si="27"/>
        <v>0.03</v>
      </c>
      <c r="D150" s="10">
        <f t="shared" si="28"/>
        <v>0.06</v>
      </c>
      <c r="E150" s="10">
        <f t="shared" si="29"/>
        <v>0.09</v>
      </c>
      <c r="F150" s="25">
        <f t="shared" si="30"/>
        <v>2.5350486138366879E-3</v>
      </c>
      <c r="G150" s="8">
        <f t="shared" si="31"/>
        <v>0.99746495138616331</v>
      </c>
      <c r="H150" s="13">
        <f t="shared" si="32"/>
        <v>5.1430128318229462E-3</v>
      </c>
      <c r="I150" s="8">
        <f t="shared" si="33"/>
        <v>0.99485698716817705</v>
      </c>
      <c r="J150" s="14">
        <f t="shared" si="34"/>
        <v>7.8284203424832111E-3</v>
      </c>
      <c r="K150" s="8">
        <f t="shared" si="35"/>
        <v>0.99217157965751679</v>
      </c>
      <c r="L150" s="21">
        <v>148</v>
      </c>
      <c r="M150" s="5">
        <f t="shared" si="36"/>
        <v>0.71272073093910326</v>
      </c>
      <c r="N150" s="5">
        <f t="shared" si="37"/>
        <v>0.50279779588914175</v>
      </c>
      <c r="O150" s="5">
        <f t="shared" si="38"/>
        <v>0.3508643412212637</v>
      </c>
    </row>
    <row r="151" spans="1:15" hidden="1">
      <c r="A151">
        <v>149</v>
      </c>
      <c r="B151">
        <f t="shared" si="26"/>
        <v>0.06</v>
      </c>
      <c r="C151" s="10">
        <f t="shared" si="27"/>
        <v>0.03</v>
      </c>
      <c r="D151" s="10">
        <f t="shared" si="28"/>
        <v>0.06</v>
      </c>
      <c r="E151" s="10">
        <f t="shared" si="29"/>
        <v>0.09</v>
      </c>
      <c r="F151" s="25">
        <f t="shared" si="30"/>
        <v>2.5350486138366879E-3</v>
      </c>
      <c r="G151" s="8">
        <f t="shared" si="31"/>
        <v>0.99746495138616331</v>
      </c>
      <c r="H151" s="13">
        <f t="shared" si="32"/>
        <v>5.1430128318229462E-3</v>
      </c>
      <c r="I151" s="8">
        <f t="shared" si="33"/>
        <v>0.99485698716817705</v>
      </c>
      <c r="J151" s="14">
        <f t="shared" si="34"/>
        <v>7.8284203424832111E-3</v>
      </c>
      <c r="K151" s="8">
        <f t="shared" si="35"/>
        <v>0.99217157965751679</v>
      </c>
      <c r="L151" s="21">
        <v>149</v>
      </c>
      <c r="M151" s="5">
        <f t="shared" si="36"/>
        <v>0.71091394923808338</v>
      </c>
      <c r="N151" s="5">
        <f t="shared" si="37"/>
        <v>0.50021190037307162</v>
      </c>
      <c r="O151" s="5">
        <f t="shared" si="38"/>
        <v>0.34811762767499521</v>
      </c>
    </row>
    <row r="152" spans="1:15" hidden="1">
      <c r="A152">
        <v>150</v>
      </c>
      <c r="B152">
        <f t="shared" si="26"/>
        <v>0.06</v>
      </c>
      <c r="C152" s="10">
        <f t="shared" si="27"/>
        <v>0.03</v>
      </c>
      <c r="D152" s="10">
        <f t="shared" si="28"/>
        <v>0.06</v>
      </c>
      <c r="E152" s="10">
        <f t="shared" si="29"/>
        <v>0.09</v>
      </c>
      <c r="F152" s="25">
        <f t="shared" si="30"/>
        <v>2.5350486138366879E-3</v>
      </c>
      <c r="G152" s="8">
        <f t="shared" si="31"/>
        <v>0.99746495138616331</v>
      </c>
      <c r="H152" s="13">
        <f t="shared" si="32"/>
        <v>5.1430128318229462E-3</v>
      </c>
      <c r="I152" s="8">
        <f t="shared" si="33"/>
        <v>0.99485698716817705</v>
      </c>
      <c r="J152" s="14">
        <f t="shared" si="34"/>
        <v>7.8284203424832111E-3</v>
      </c>
      <c r="K152" s="8">
        <f t="shared" si="35"/>
        <v>0.99217157965751679</v>
      </c>
      <c r="L152" s="21">
        <v>150</v>
      </c>
      <c r="M152" s="5">
        <f t="shared" si="36"/>
        <v>0.70911174781651021</v>
      </c>
      <c r="N152" s="5">
        <f t="shared" si="37"/>
        <v>0.49763930415082236</v>
      </c>
      <c r="O152" s="5">
        <f t="shared" si="38"/>
        <v>0.34539241655692726</v>
      </c>
    </row>
    <row r="153" spans="1:15" hidden="1">
      <c r="A153">
        <v>151</v>
      </c>
      <c r="B153">
        <f t="shared" si="26"/>
        <v>0.06</v>
      </c>
      <c r="C153" s="10">
        <f t="shared" si="27"/>
        <v>0.03</v>
      </c>
      <c r="D153" s="10">
        <f t="shared" si="28"/>
        <v>0.06</v>
      </c>
      <c r="E153" s="10">
        <f t="shared" si="29"/>
        <v>0.09</v>
      </c>
      <c r="F153" s="25">
        <f t="shared" si="30"/>
        <v>2.5350486138366879E-3</v>
      </c>
      <c r="G153" s="8">
        <f t="shared" si="31"/>
        <v>0.99746495138616331</v>
      </c>
      <c r="H153" s="13">
        <f t="shared" si="32"/>
        <v>5.1430128318229462E-3</v>
      </c>
      <c r="I153" s="8">
        <f t="shared" si="33"/>
        <v>0.99485698716817705</v>
      </c>
      <c r="J153" s="14">
        <f t="shared" si="34"/>
        <v>7.8284203424832111E-3</v>
      </c>
      <c r="K153" s="8">
        <f t="shared" si="35"/>
        <v>0.99217157965751679</v>
      </c>
      <c r="L153" s="21">
        <v>151</v>
      </c>
      <c r="M153" s="5">
        <f t="shared" si="36"/>
        <v>0.70731411506315267</v>
      </c>
      <c r="N153" s="5">
        <f t="shared" si="37"/>
        <v>0.49507993882395523</v>
      </c>
      <c r="O153" s="5">
        <f t="shared" si="38"/>
        <v>0.34268853953701356</v>
      </c>
    </row>
    <row r="154" spans="1:15" hidden="1">
      <c r="A154">
        <v>152</v>
      </c>
      <c r="B154">
        <f t="shared" si="26"/>
        <v>0.06</v>
      </c>
      <c r="C154" s="10">
        <f t="shared" si="27"/>
        <v>0.03</v>
      </c>
      <c r="D154" s="10">
        <f t="shared" si="28"/>
        <v>0.06</v>
      </c>
      <c r="E154" s="10">
        <f t="shared" si="29"/>
        <v>0.09</v>
      </c>
      <c r="F154" s="25">
        <f t="shared" si="30"/>
        <v>2.5350486138366879E-3</v>
      </c>
      <c r="G154" s="8">
        <f t="shared" si="31"/>
        <v>0.99746495138616331</v>
      </c>
      <c r="H154" s="13">
        <f t="shared" si="32"/>
        <v>5.1430128318229462E-3</v>
      </c>
      <c r="I154" s="8">
        <f t="shared" si="33"/>
        <v>0.99485698716817705</v>
      </c>
      <c r="J154" s="14">
        <f t="shared" si="34"/>
        <v>7.8284203424832111E-3</v>
      </c>
      <c r="K154" s="8">
        <f t="shared" si="35"/>
        <v>0.99217157965751679</v>
      </c>
      <c r="L154" s="21">
        <v>152</v>
      </c>
      <c r="M154" s="5">
        <f t="shared" si="36"/>
        <v>0.70552103939621469</v>
      </c>
      <c r="N154" s="5">
        <f t="shared" si="37"/>
        <v>0.4925337363458055</v>
      </c>
      <c r="O154" s="5">
        <f t="shared" si="38"/>
        <v>0.34000582960296616</v>
      </c>
    </row>
    <row r="155" spans="1:15" hidden="1">
      <c r="A155">
        <v>153</v>
      </c>
      <c r="B155">
        <f t="shared" si="26"/>
        <v>0.06</v>
      </c>
      <c r="C155" s="10">
        <f t="shared" si="27"/>
        <v>0.03</v>
      </c>
      <c r="D155" s="10">
        <f t="shared" si="28"/>
        <v>0.06</v>
      </c>
      <c r="E155" s="10">
        <f t="shared" si="29"/>
        <v>0.09</v>
      </c>
      <c r="F155" s="25">
        <f t="shared" si="30"/>
        <v>2.5350486138366879E-3</v>
      </c>
      <c r="G155" s="8">
        <f t="shared" si="31"/>
        <v>0.99746495138616331</v>
      </c>
      <c r="H155" s="13">
        <f t="shared" si="32"/>
        <v>5.1430128318229462E-3</v>
      </c>
      <c r="I155" s="8">
        <f t="shared" si="33"/>
        <v>0.99485698716817705</v>
      </c>
      <c r="J155" s="14">
        <f t="shared" si="34"/>
        <v>7.8284203424832111E-3</v>
      </c>
      <c r="K155" s="8">
        <f t="shared" si="35"/>
        <v>0.99217157965751679</v>
      </c>
      <c r="L155" s="21">
        <v>153</v>
      </c>
      <c r="M155" s="5">
        <f t="shared" si="36"/>
        <v>0.7037325092632607</v>
      </c>
      <c r="N155" s="5">
        <f t="shared" si="37"/>
        <v>0.49000062901967334</v>
      </c>
      <c r="O155" s="5">
        <f t="shared" si="38"/>
        <v>0.33734412104993944</v>
      </c>
    </row>
    <row r="156" spans="1:15" hidden="1">
      <c r="A156">
        <v>154</v>
      </c>
      <c r="B156">
        <f t="shared" si="26"/>
        <v>0.06</v>
      </c>
      <c r="C156" s="10">
        <f t="shared" si="27"/>
        <v>0.03</v>
      </c>
      <c r="D156" s="10">
        <f t="shared" si="28"/>
        <v>0.06</v>
      </c>
      <c r="E156" s="10">
        <f t="shared" si="29"/>
        <v>0.09</v>
      </c>
      <c r="F156" s="25">
        <f t="shared" si="30"/>
        <v>2.5350486138366879E-3</v>
      </c>
      <c r="G156" s="8">
        <f t="shared" si="31"/>
        <v>0.99746495138616331</v>
      </c>
      <c r="H156" s="13">
        <f t="shared" si="32"/>
        <v>5.1430128318229462E-3</v>
      </c>
      <c r="I156" s="8">
        <f t="shared" si="33"/>
        <v>0.99485698716817705</v>
      </c>
      <c r="J156" s="14">
        <f t="shared" si="34"/>
        <v>7.8284203424832111E-3</v>
      </c>
      <c r="K156" s="8">
        <f t="shared" si="35"/>
        <v>0.99217157965751679</v>
      </c>
      <c r="L156" s="21">
        <v>154</v>
      </c>
      <c r="M156" s="5">
        <f t="shared" si="36"/>
        <v>0.70194851314114104</v>
      </c>
      <c r="N156" s="5">
        <f t="shared" si="37"/>
        <v>0.48748054949702385</v>
      </c>
      <c r="O156" s="5">
        <f t="shared" si="38"/>
        <v>0.33470324947029495</v>
      </c>
    </row>
    <row r="157" spans="1:15" hidden="1">
      <c r="A157">
        <v>155</v>
      </c>
      <c r="B157">
        <f t="shared" si="26"/>
        <v>0.06</v>
      </c>
      <c r="C157" s="10">
        <f t="shared" si="27"/>
        <v>0.03</v>
      </c>
      <c r="D157" s="10">
        <f t="shared" si="28"/>
        <v>0.06</v>
      </c>
      <c r="E157" s="10">
        <f t="shared" si="29"/>
        <v>0.09</v>
      </c>
      <c r="F157" s="25">
        <f t="shared" si="30"/>
        <v>2.5350486138366879E-3</v>
      </c>
      <c r="G157" s="8">
        <f t="shared" si="31"/>
        <v>0.99746495138616331</v>
      </c>
      <c r="H157" s="13">
        <f t="shared" si="32"/>
        <v>5.1430128318229462E-3</v>
      </c>
      <c r="I157" s="8">
        <f t="shared" si="33"/>
        <v>0.99485698716817705</v>
      </c>
      <c r="J157" s="14">
        <f t="shared" si="34"/>
        <v>7.8284203424832111E-3</v>
      </c>
      <c r="K157" s="8">
        <f t="shared" si="35"/>
        <v>0.99217157965751679</v>
      </c>
      <c r="L157" s="21">
        <v>155</v>
      </c>
      <c r="M157" s="5">
        <f t="shared" si="36"/>
        <v>0.70016903953591791</v>
      </c>
      <c r="N157" s="5">
        <f t="shared" si="37"/>
        <v>0.48497343077569655</v>
      </c>
      <c r="O157" s="5">
        <f t="shared" si="38"/>
        <v>0.33208305174344643</v>
      </c>
    </row>
    <row r="158" spans="1:15" hidden="1">
      <c r="A158">
        <v>156</v>
      </c>
      <c r="B158">
        <f t="shared" si="26"/>
        <v>0.06</v>
      </c>
      <c r="C158" s="10">
        <f t="shared" si="27"/>
        <v>0.03</v>
      </c>
      <c r="D158" s="10">
        <f t="shared" si="28"/>
        <v>0.06</v>
      </c>
      <c r="E158" s="10">
        <f t="shared" si="29"/>
        <v>0.09</v>
      </c>
      <c r="F158" s="25">
        <f t="shared" si="30"/>
        <v>2.5350486138366879E-3</v>
      </c>
      <c r="G158" s="8">
        <f t="shared" si="31"/>
        <v>0.99746495138616331</v>
      </c>
      <c r="H158" s="13">
        <f t="shared" si="32"/>
        <v>5.1430128318229462E-3</v>
      </c>
      <c r="I158" s="8">
        <f t="shared" si="33"/>
        <v>0.99485698716817705</v>
      </c>
      <c r="J158" s="14">
        <f t="shared" si="34"/>
        <v>7.8284203424832111E-3</v>
      </c>
      <c r="K158" s="8">
        <f t="shared" si="35"/>
        <v>0.99217157965751679</v>
      </c>
      <c r="L158" s="21">
        <v>156</v>
      </c>
      <c r="M158" s="5">
        <f t="shared" si="36"/>
        <v>0.69839407698279099</v>
      </c>
      <c r="N158" s="5">
        <f t="shared" si="37"/>
        <v>0.48247920619812396</v>
      </c>
      <c r="O158" s="5">
        <f t="shared" si="38"/>
        <v>0.32948336602578415</v>
      </c>
    </row>
    <row r="159" spans="1:15" hidden="1">
      <c r="A159">
        <v>157</v>
      </c>
      <c r="B159">
        <f t="shared" si="26"/>
        <v>0.06</v>
      </c>
      <c r="C159" s="10">
        <f t="shared" si="27"/>
        <v>0.03</v>
      </c>
      <c r="D159" s="10">
        <f t="shared" si="28"/>
        <v>0.06</v>
      </c>
      <c r="E159" s="10">
        <f t="shared" si="29"/>
        <v>0.09</v>
      </c>
      <c r="F159" s="25">
        <f t="shared" si="30"/>
        <v>2.5350486138366879E-3</v>
      </c>
      <c r="G159" s="8">
        <f t="shared" si="31"/>
        <v>0.99746495138616331</v>
      </c>
      <c r="H159" s="13">
        <f t="shared" si="32"/>
        <v>5.1430128318229462E-3</v>
      </c>
      <c r="I159" s="8">
        <f t="shared" si="33"/>
        <v>0.99485698716817705</v>
      </c>
      <c r="J159" s="14">
        <f t="shared" si="34"/>
        <v>7.8284203424832111E-3</v>
      </c>
      <c r="K159" s="8">
        <f t="shared" si="35"/>
        <v>0.99217157965751679</v>
      </c>
      <c r="L159" s="21">
        <v>157</v>
      </c>
      <c r="M159" s="5">
        <f t="shared" si="36"/>
        <v>0.69662361404602402</v>
      </c>
      <c r="N159" s="5">
        <f t="shared" si="37"/>
        <v>0.47999780944955928</v>
      </c>
      <c r="O159" s="5">
        <f t="shared" si="38"/>
        <v>0.32690403174067806</v>
      </c>
    </row>
    <row r="160" spans="1:15" hidden="1">
      <c r="A160">
        <v>158</v>
      </c>
      <c r="B160">
        <f t="shared" si="26"/>
        <v>0.06</v>
      </c>
      <c r="C160" s="10">
        <f t="shared" si="27"/>
        <v>0.03</v>
      </c>
      <c r="D160" s="10">
        <f t="shared" si="28"/>
        <v>0.06</v>
      </c>
      <c r="E160" s="10">
        <f t="shared" si="29"/>
        <v>0.09</v>
      </c>
      <c r="F160" s="25">
        <f t="shared" si="30"/>
        <v>2.5350486138366879E-3</v>
      </c>
      <c r="G160" s="8">
        <f t="shared" si="31"/>
        <v>0.99746495138616331</v>
      </c>
      <c r="H160" s="13">
        <f t="shared" si="32"/>
        <v>5.1430128318229462E-3</v>
      </c>
      <c r="I160" s="8">
        <f t="shared" si="33"/>
        <v>0.99485698716817705</v>
      </c>
      <c r="J160" s="14">
        <f t="shared" si="34"/>
        <v>7.8284203424832111E-3</v>
      </c>
      <c r="K160" s="8">
        <f t="shared" si="35"/>
        <v>0.99217157965751679</v>
      </c>
      <c r="L160" s="21">
        <v>158</v>
      </c>
      <c r="M160" s="5">
        <f t="shared" si="36"/>
        <v>0.69485763931887079</v>
      </c>
      <c r="N160" s="5">
        <f t="shared" si="37"/>
        <v>0.47752917455631327</v>
      </c>
      <c r="O160" s="5">
        <f t="shared" si="38"/>
        <v>0.32434488956855956</v>
      </c>
    </row>
    <row r="161" spans="1:15" hidden="1">
      <c r="A161">
        <v>159</v>
      </c>
      <c r="B161">
        <f t="shared" si="26"/>
        <v>0.06</v>
      </c>
      <c r="C161" s="10">
        <f t="shared" si="27"/>
        <v>0.03</v>
      </c>
      <c r="D161" s="10">
        <f t="shared" si="28"/>
        <v>0.06</v>
      </c>
      <c r="E161" s="10">
        <f t="shared" si="29"/>
        <v>0.09</v>
      </c>
      <c r="F161" s="25">
        <f t="shared" si="30"/>
        <v>2.5350486138366879E-3</v>
      </c>
      <c r="G161" s="8">
        <f t="shared" si="31"/>
        <v>0.99746495138616331</v>
      </c>
      <c r="H161" s="13">
        <f t="shared" si="32"/>
        <v>5.1430128318229462E-3</v>
      </c>
      <c r="I161" s="8">
        <f t="shared" si="33"/>
        <v>0.99485698716817705</v>
      </c>
      <c r="J161" s="14">
        <f t="shared" si="34"/>
        <v>7.8284203424832111E-3</v>
      </c>
      <c r="K161" s="8">
        <f t="shared" si="35"/>
        <v>0.99217157965751679</v>
      </c>
      <c r="L161" s="21">
        <v>159</v>
      </c>
      <c r="M161" s="5">
        <f t="shared" si="36"/>
        <v>0.69309614142350162</v>
      </c>
      <c r="N161" s="5">
        <f t="shared" si="37"/>
        <v>0.47507323588400036</v>
      </c>
      <c r="O161" s="5">
        <f t="shared" si="38"/>
        <v>0.32180578143708055</v>
      </c>
    </row>
    <row r="162" spans="1:15" hidden="1">
      <c r="A162">
        <v>160</v>
      </c>
      <c r="B162">
        <f t="shared" si="26"/>
        <v>0.06</v>
      </c>
      <c r="C162" s="10">
        <f t="shared" si="27"/>
        <v>0.03</v>
      </c>
      <c r="D162" s="10">
        <f t="shared" si="28"/>
        <v>0.06</v>
      </c>
      <c r="E162" s="10">
        <f t="shared" si="29"/>
        <v>0.09</v>
      </c>
      <c r="F162" s="25">
        <f t="shared" si="30"/>
        <v>2.5350486138366879E-3</v>
      </c>
      <c r="G162" s="8">
        <f t="shared" si="31"/>
        <v>0.99746495138616331</v>
      </c>
      <c r="H162" s="13">
        <f t="shared" si="32"/>
        <v>5.1430128318229462E-3</v>
      </c>
      <c r="I162" s="8">
        <f t="shared" si="33"/>
        <v>0.99485698716817705</v>
      </c>
      <c r="J162" s="14">
        <f t="shared" si="34"/>
        <v>7.8284203424832111E-3</v>
      </c>
      <c r="K162" s="8">
        <f t="shared" si="35"/>
        <v>0.99217157965751679</v>
      </c>
      <c r="L162" s="21">
        <v>160</v>
      </c>
      <c r="M162" s="5">
        <f t="shared" si="36"/>
        <v>0.69133910901093043</v>
      </c>
      <c r="N162" s="5">
        <f t="shared" si="37"/>
        <v>0.4726299281357933</v>
      </c>
      <c r="O162" s="5">
        <f t="shared" si="38"/>
        <v>0.3192865505113498</v>
      </c>
    </row>
    <row r="163" spans="1:15" hidden="1">
      <c r="A163">
        <v>161</v>
      </c>
      <c r="B163">
        <f t="shared" si="26"/>
        <v>0.06</v>
      </c>
      <c r="C163" s="10">
        <f t="shared" si="27"/>
        <v>0.03</v>
      </c>
      <c r="D163" s="10">
        <f t="shared" si="28"/>
        <v>0.06</v>
      </c>
      <c r="E163" s="10">
        <f t="shared" si="29"/>
        <v>0.09</v>
      </c>
      <c r="F163" s="25">
        <f t="shared" si="30"/>
        <v>2.5350486138366879E-3</v>
      </c>
      <c r="G163" s="8">
        <f t="shared" si="31"/>
        <v>0.99746495138616331</v>
      </c>
      <c r="H163" s="13">
        <f t="shared" si="32"/>
        <v>5.1430128318229462E-3</v>
      </c>
      <c r="I163" s="8">
        <f t="shared" si="33"/>
        <v>0.99485698716817705</v>
      </c>
      <c r="J163" s="14">
        <f t="shared" si="34"/>
        <v>7.8284203424832111E-3</v>
      </c>
      <c r="K163" s="8">
        <f t="shared" si="35"/>
        <v>0.99217157965751679</v>
      </c>
      <c r="L163" s="21">
        <v>161</v>
      </c>
      <c r="M163" s="5">
        <f t="shared" si="36"/>
        <v>0.68958653076094123</v>
      </c>
      <c r="N163" s="5">
        <f t="shared" si="37"/>
        <v>0.47019918635068736</v>
      </c>
      <c r="O163" s="5">
        <f t="shared" si="38"/>
        <v>0.31678704118424544</v>
      </c>
    </row>
    <row r="164" spans="1:15" hidden="1">
      <c r="A164">
        <v>162</v>
      </c>
      <c r="B164">
        <f t="shared" si="26"/>
        <v>0.06</v>
      </c>
      <c r="C164" s="10">
        <f t="shared" si="27"/>
        <v>0.03</v>
      </c>
      <c r="D164" s="10">
        <f t="shared" si="28"/>
        <v>0.06</v>
      </c>
      <c r="E164" s="10">
        <f t="shared" si="29"/>
        <v>0.09</v>
      </c>
      <c r="F164" s="25">
        <f t="shared" si="30"/>
        <v>2.5350486138366879E-3</v>
      </c>
      <c r="G164" s="8">
        <f t="shared" si="31"/>
        <v>0.99746495138616331</v>
      </c>
      <c r="H164" s="13">
        <f t="shared" si="32"/>
        <v>5.1430128318229462E-3</v>
      </c>
      <c r="I164" s="8">
        <f t="shared" si="33"/>
        <v>0.99485698716817705</v>
      </c>
      <c r="J164" s="14">
        <f t="shared" si="34"/>
        <v>7.8284203424832111E-3</v>
      </c>
      <c r="K164" s="8">
        <f t="shared" si="35"/>
        <v>0.99217157965751679</v>
      </c>
      <c r="L164" s="21">
        <v>162</v>
      </c>
      <c r="M164" s="5">
        <f t="shared" si="36"/>
        <v>0.6878383953820153</v>
      </c>
      <c r="N164" s="5">
        <f t="shared" si="37"/>
        <v>0.46778094590177305</v>
      </c>
      <c r="O164" s="5">
        <f t="shared" si="38"/>
        <v>0.31430709906680365</v>
      </c>
    </row>
    <row r="165" spans="1:15" hidden="1">
      <c r="A165">
        <v>163</v>
      </c>
      <c r="B165">
        <f t="shared" si="26"/>
        <v>0.06</v>
      </c>
      <c r="C165" s="10">
        <f t="shared" si="27"/>
        <v>0.03</v>
      </c>
      <c r="D165" s="10">
        <f t="shared" si="28"/>
        <v>0.06</v>
      </c>
      <c r="E165" s="10">
        <f t="shared" si="29"/>
        <v>0.09</v>
      </c>
      <c r="F165" s="25">
        <f t="shared" si="30"/>
        <v>2.5350486138366879E-3</v>
      </c>
      <c r="G165" s="8">
        <f t="shared" si="31"/>
        <v>0.99746495138616331</v>
      </c>
      <c r="H165" s="13">
        <f t="shared" si="32"/>
        <v>5.1430128318229462E-3</v>
      </c>
      <c r="I165" s="8">
        <f t="shared" si="33"/>
        <v>0.99485698716817705</v>
      </c>
      <c r="J165" s="14">
        <f t="shared" si="34"/>
        <v>7.8284203424832111E-3</v>
      </c>
      <c r="K165" s="8">
        <f t="shared" si="35"/>
        <v>0.99217157965751679</v>
      </c>
      <c r="L165" s="21">
        <v>163</v>
      </c>
      <c r="M165" s="5">
        <f t="shared" si="36"/>
        <v>0.68609469161125847</v>
      </c>
      <c r="N165" s="5">
        <f t="shared" si="37"/>
        <v>0.46537514249451795</v>
      </c>
      <c r="O165" s="5">
        <f t="shared" si="38"/>
        <v>0.31184657097868218</v>
      </c>
    </row>
    <row r="166" spans="1:15" hidden="1">
      <c r="A166">
        <v>164</v>
      </c>
      <c r="B166">
        <f t="shared" si="26"/>
        <v>0.06</v>
      </c>
      <c r="C166" s="10">
        <f t="shared" si="27"/>
        <v>0.03</v>
      </c>
      <c r="D166" s="10">
        <f t="shared" si="28"/>
        <v>0.06</v>
      </c>
      <c r="E166" s="10">
        <f t="shared" si="29"/>
        <v>0.09</v>
      </c>
      <c r="F166" s="25">
        <f t="shared" si="30"/>
        <v>2.5350486138366879E-3</v>
      </c>
      <c r="G166" s="8">
        <f t="shared" si="31"/>
        <v>0.99746495138616331</v>
      </c>
      <c r="H166" s="13">
        <f t="shared" si="32"/>
        <v>5.1430128318229462E-3</v>
      </c>
      <c r="I166" s="8">
        <f t="shared" si="33"/>
        <v>0.99485698716817705</v>
      </c>
      <c r="J166" s="14">
        <f t="shared" si="34"/>
        <v>7.8284203424832111E-3</v>
      </c>
      <c r="K166" s="8">
        <f t="shared" si="35"/>
        <v>0.99217157965751679</v>
      </c>
      <c r="L166" s="21">
        <v>164</v>
      </c>
      <c r="M166" s="5">
        <f t="shared" si="36"/>
        <v>0.68435540821432861</v>
      </c>
      <c r="N166" s="5">
        <f t="shared" si="37"/>
        <v>0.46298171216505724</v>
      </c>
      <c r="O166" s="5">
        <f t="shared" si="38"/>
        <v>0.30940530493869906</v>
      </c>
    </row>
    <row r="167" spans="1:15" hidden="1">
      <c r="A167">
        <v>165</v>
      </c>
      <c r="B167">
        <f t="shared" si="26"/>
        <v>0.06</v>
      </c>
      <c r="C167" s="10">
        <f t="shared" si="27"/>
        <v>0.03</v>
      </c>
      <c r="D167" s="10">
        <f t="shared" si="28"/>
        <v>0.06</v>
      </c>
      <c r="E167" s="10">
        <f t="shared" si="29"/>
        <v>0.09</v>
      </c>
      <c r="F167" s="25">
        <f t="shared" si="30"/>
        <v>2.5350486138366879E-3</v>
      </c>
      <c r="G167" s="8">
        <f t="shared" si="31"/>
        <v>0.99746495138616331</v>
      </c>
      <c r="H167" s="13">
        <f t="shared" si="32"/>
        <v>5.1430128318229462E-3</v>
      </c>
      <c r="I167" s="8">
        <f t="shared" si="33"/>
        <v>0.99485698716817705</v>
      </c>
      <c r="J167" s="14">
        <f t="shared" si="34"/>
        <v>7.8284203424832111E-3</v>
      </c>
      <c r="K167" s="8">
        <f t="shared" si="35"/>
        <v>0.99217157965751679</v>
      </c>
      <c r="L167" s="21">
        <v>165</v>
      </c>
      <c r="M167" s="5">
        <f t="shared" si="36"/>
        <v>0.68262053398536326</v>
      </c>
      <c r="N167" s="5">
        <f t="shared" si="37"/>
        <v>0.46060059127849301</v>
      </c>
      <c r="O167" s="5">
        <f t="shared" si="38"/>
        <v>0.3069831501554447</v>
      </c>
    </row>
    <row r="168" spans="1:15" hidden="1">
      <c r="A168">
        <v>166</v>
      </c>
      <c r="B168">
        <f t="shared" si="26"/>
        <v>0.06</v>
      </c>
      <c r="C168" s="10">
        <f t="shared" si="27"/>
        <v>0.03</v>
      </c>
      <c r="D168" s="10">
        <f t="shared" si="28"/>
        <v>0.06</v>
      </c>
      <c r="E168" s="10">
        <f t="shared" si="29"/>
        <v>0.09</v>
      </c>
      <c r="F168" s="25">
        <f t="shared" si="30"/>
        <v>2.5350486138366879E-3</v>
      </c>
      <c r="G168" s="8">
        <f t="shared" si="31"/>
        <v>0.99746495138616331</v>
      </c>
      <c r="H168" s="13">
        <f t="shared" si="32"/>
        <v>5.1430128318229462E-3</v>
      </c>
      <c r="I168" s="8">
        <f t="shared" si="33"/>
        <v>0.99485698716817705</v>
      </c>
      <c r="J168" s="14">
        <f t="shared" si="34"/>
        <v>7.8284203424832111E-3</v>
      </c>
      <c r="K168" s="8">
        <f t="shared" si="35"/>
        <v>0.99217157965751679</v>
      </c>
      <c r="L168" s="21">
        <v>166</v>
      </c>
      <c r="M168" s="5">
        <f t="shared" si="36"/>
        <v>0.68089005774690725</v>
      </c>
      <c r="N168" s="5">
        <f t="shared" si="37"/>
        <v>0.45823171652720246</v>
      </c>
      <c r="O168" s="5">
        <f t="shared" si="38"/>
        <v>0.30457995701796825</v>
      </c>
    </row>
    <row r="169" spans="1:15" hidden="1">
      <c r="A169">
        <v>167</v>
      </c>
      <c r="B169">
        <f t="shared" si="26"/>
        <v>0.06</v>
      </c>
      <c r="C169" s="10">
        <f t="shared" si="27"/>
        <v>0.03</v>
      </c>
      <c r="D169" s="10">
        <f t="shared" si="28"/>
        <v>0.06</v>
      </c>
      <c r="E169" s="10">
        <f t="shared" si="29"/>
        <v>0.09</v>
      </c>
      <c r="F169" s="25">
        <f t="shared" si="30"/>
        <v>2.5350486138366879E-3</v>
      </c>
      <c r="G169" s="8">
        <f t="shared" si="31"/>
        <v>0.99746495138616331</v>
      </c>
      <c r="H169" s="13">
        <f t="shared" si="32"/>
        <v>5.1430128318229462E-3</v>
      </c>
      <c r="I169" s="8">
        <f t="shared" si="33"/>
        <v>0.99485698716817705</v>
      </c>
      <c r="J169" s="14">
        <f t="shared" si="34"/>
        <v>7.8284203424832111E-3</v>
      </c>
      <c r="K169" s="8">
        <f t="shared" si="35"/>
        <v>0.99217157965751679</v>
      </c>
      <c r="L169" s="21">
        <v>167</v>
      </c>
      <c r="M169" s="5">
        <f t="shared" si="36"/>
        <v>0.67916396834984072</v>
      </c>
      <c r="N169" s="5">
        <f t="shared" si="37"/>
        <v>0.45587502492915483</v>
      </c>
      <c r="O169" s="5">
        <f t="shared" si="38"/>
        <v>0.3021955770865361</v>
      </c>
    </row>
    <row r="170" spans="1:15" hidden="1">
      <c r="A170">
        <v>168</v>
      </c>
      <c r="B170">
        <f t="shared" si="26"/>
        <v>0.06</v>
      </c>
      <c r="C170" s="10">
        <f t="shared" si="27"/>
        <v>0.03</v>
      </c>
      <c r="D170" s="10">
        <f t="shared" si="28"/>
        <v>0.06</v>
      </c>
      <c r="E170" s="10">
        <f t="shared" si="29"/>
        <v>0.09</v>
      </c>
      <c r="F170" s="25">
        <f t="shared" si="30"/>
        <v>2.5350486138366879E-3</v>
      </c>
      <c r="G170" s="8">
        <f t="shared" si="31"/>
        <v>0.99746495138616331</v>
      </c>
      <c r="H170" s="13">
        <f t="shared" si="32"/>
        <v>5.1430128318229462E-3</v>
      </c>
      <c r="I170" s="8">
        <f t="shared" si="33"/>
        <v>0.99485698716817705</v>
      </c>
      <c r="J170" s="14">
        <f t="shared" si="34"/>
        <v>7.8284203424832111E-3</v>
      </c>
      <c r="K170" s="8">
        <f t="shared" si="35"/>
        <v>0.99217157965751679</v>
      </c>
      <c r="L170" s="21">
        <v>168</v>
      </c>
      <c r="M170" s="5">
        <f t="shared" si="36"/>
        <v>0.67744225467330765</v>
      </c>
      <c r="N170" s="5">
        <f t="shared" si="37"/>
        <v>0.45353045382623658</v>
      </c>
      <c r="O170" s="5">
        <f t="shared" si="38"/>
        <v>0.29982986308346343</v>
      </c>
    </row>
    <row r="171" spans="1:15" hidden="1">
      <c r="A171">
        <v>169</v>
      </c>
      <c r="B171">
        <f t="shared" si="26"/>
        <v>0.06</v>
      </c>
      <c r="C171" s="10">
        <f t="shared" si="27"/>
        <v>0.03</v>
      </c>
      <c r="D171" s="10">
        <f t="shared" si="28"/>
        <v>0.06</v>
      </c>
      <c r="E171" s="10">
        <f t="shared" si="29"/>
        <v>0.09</v>
      </c>
      <c r="F171" s="25">
        <f t="shared" si="30"/>
        <v>2.5350486138366879E-3</v>
      </c>
      <c r="G171" s="8">
        <f t="shared" si="31"/>
        <v>0.99746495138616331</v>
      </c>
      <c r="H171" s="13">
        <f t="shared" si="32"/>
        <v>5.1430128318229462E-3</v>
      </c>
      <c r="I171" s="8">
        <f t="shared" si="33"/>
        <v>0.99485698716817705</v>
      </c>
      <c r="J171" s="14">
        <f t="shared" si="34"/>
        <v>7.8284203424832111E-3</v>
      </c>
      <c r="K171" s="8">
        <f t="shared" si="35"/>
        <v>0.99217157965751679</v>
      </c>
      <c r="L171" s="21">
        <v>169</v>
      </c>
      <c r="M171" s="5">
        <f t="shared" si="36"/>
        <v>0.67572490562464371</v>
      </c>
      <c r="N171" s="5">
        <f t="shared" si="37"/>
        <v>0.45119794088258575</v>
      </c>
      <c r="O171" s="5">
        <f t="shared" si="38"/>
        <v>0.29748266888401687</v>
      </c>
    </row>
    <row r="172" spans="1:15" hidden="1">
      <c r="A172">
        <v>170</v>
      </c>
      <c r="B172">
        <f t="shared" si="26"/>
        <v>0.06</v>
      </c>
      <c r="C172" s="10">
        <f t="shared" si="27"/>
        <v>0.03</v>
      </c>
      <c r="D172" s="10">
        <f t="shared" si="28"/>
        <v>0.06</v>
      </c>
      <c r="E172" s="10">
        <f t="shared" si="29"/>
        <v>0.09</v>
      </c>
      <c r="F172" s="25">
        <f t="shared" si="30"/>
        <v>2.5350486138366879E-3</v>
      </c>
      <c r="G172" s="8">
        <f t="shared" si="31"/>
        <v>0.99746495138616331</v>
      </c>
      <c r="H172" s="13">
        <f t="shared" si="32"/>
        <v>5.1430128318229462E-3</v>
      </c>
      <c r="I172" s="8">
        <f t="shared" si="33"/>
        <v>0.99485698716817705</v>
      </c>
      <c r="J172" s="14">
        <f t="shared" si="34"/>
        <v>7.8284203424832111E-3</v>
      </c>
      <c r="K172" s="8">
        <f t="shared" si="35"/>
        <v>0.99217157965751679</v>
      </c>
      <c r="L172" s="21">
        <v>170</v>
      </c>
      <c r="M172" s="5">
        <f t="shared" si="36"/>
        <v>0.67401191013930506</v>
      </c>
      <c r="N172" s="5">
        <f t="shared" si="37"/>
        <v>0.44887742408293452</v>
      </c>
      <c r="O172" s="5">
        <f t="shared" si="38"/>
        <v>0.29515384950738904</v>
      </c>
    </row>
    <row r="173" spans="1:15" hidden="1">
      <c r="A173">
        <v>171</v>
      </c>
      <c r="B173">
        <f t="shared" si="26"/>
        <v>0.06</v>
      </c>
      <c r="C173" s="10">
        <f t="shared" si="27"/>
        <v>0.03</v>
      </c>
      <c r="D173" s="10">
        <f t="shared" si="28"/>
        <v>0.06</v>
      </c>
      <c r="E173" s="10">
        <f t="shared" si="29"/>
        <v>0.09</v>
      </c>
      <c r="F173" s="25">
        <f t="shared" si="30"/>
        <v>2.5350486138366879E-3</v>
      </c>
      <c r="G173" s="8">
        <f t="shared" si="31"/>
        <v>0.99746495138616331</v>
      </c>
      <c r="H173" s="13">
        <f t="shared" si="32"/>
        <v>5.1430128318229462E-3</v>
      </c>
      <c r="I173" s="8">
        <f t="shared" si="33"/>
        <v>0.99485698716817705</v>
      </c>
      <c r="J173" s="14">
        <f t="shared" si="34"/>
        <v>7.8284203424832111E-3</v>
      </c>
      <c r="K173" s="8">
        <f t="shared" si="35"/>
        <v>0.99217157965751679</v>
      </c>
      <c r="L173" s="21">
        <v>171</v>
      </c>
      <c r="M173" s="5">
        <f t="shared" si="36"/>
        <v>0.67230325718079698</v>
      </c>
      <c r="N173" s="5">
        <f t="shared" si="37"/>
        <v>0.44656884173096034</v>
      </c>
      <c r="O173" s="5">
        <f t="shared" si="38"/>
        <v>0.29284326110774317</v>
      </c>
    </row>
    <row r="174" spans="1:15" hidden="1">
      <c r="A174">
        <v>172</v>
      </c>
      <c r="B174">
        <f t="shared" si="26"/>
        <v>0.06</v>
      </c>
      <c r="C174" s="10">
        <f t="shared" si="27"/>
        <v>0.03</v>
      </c>
      <c r="D174" s="10">
        <f t="shared" si="28"/>
        <v>0.06</v>
      </c>
      <c r="E174" s="10">
        <f t="shared" si="29"/>
        <v>0.09</v>
      </c>
      <c r="F174" s="25">
        <f t="shared" si="30"/>
        <v>2.5350486138366879E-3</v>
      </c>
      <c r="G174" s="8">
        <f t="shared" si="31"/>
        <v>0.99746495138616331</v>
      </c>
      <c r="H174" s="13">
        <f t="shared" si="32"/>
        <v>5.1430128318229462E-3</v>
      </c>
      <c r="I174" s="8">
        <f t="shared" si="33"/>
        <v>0.99485698716817705</v>
      </c>
      <c r="J174" s="14">
        <f t="shared" si="34"/>
        <v>7.8284203424832111E-3</v>
      </c>
      <c r="K174" s="8">
        <f t="shared" si="35"/>
        <v>0.99217157965751679</v>
      </c>
      <c r="L174" s="21">
        <v>172</v>
      </c>
      <c r="M174" s="5">
        <f t="shared" si="36"/>
        <v>0.67059893574060292</v>
      </c>
      <c r="N174" s="5">
        <f t="shared" si="37"/>
        <v>0.44427213244764568</v>
      </c>
      <c r="O174" s="5">
        <f t="shared" si="38"/>
        <v>0.29055076096532817</v>
      </c>
    </row>
    <row r="175" spans="1:15" hidden="1">
      <c r="A175">
        <v>173</v>
      </c>
      <c r="B175">
        <f t="shared" si="26"/>
        <v>0.06</v>
      </c>
      <c r="C175" s="10">
        <f t="shared" si="27"/>
        <v>0.03</v>
      </c>
      <c r="D175" s="10">
        <f t="shared" si="28"/>
        <v>0.06</v>
      </c>
      <c r="E175" s="10">
        <f t="shared" si="29"/>
        <v>0.09</v>
      </c>
      <c r="F175" s="25">
        <f t="shared" si="30"/>
        <v>2.5350486138366879E-3</v>
      </c>
      <c r="G175" s="8">
        <f t="shared" si="31"/>
        <v>0.99746495138616331</v>
      </c>
      <c r="H175" s="13">
        <f t="shared" si="32"/>
        <v>5.1430128318229462E-3</v>
      </c>
      <c r="I175" s="8">
        <f t="shared" si="33"/>
        <v>0.99485698716817705</v>
      </c>
      <c r="J175" s="14">
        <f t="shared" si="34"/>
        <v>7.8284203424832111E-3</v>
      </c>
      <c r="K175" s="8">
        <f t="shared" si="35"/>
        <v>0.99217157965751679</v>
      </c>
      <c r="L175" s="21">
        <v>173</v>
      </c>
      <c r="M175" s="5">
        <f t="shared" si="36"/>
        <v>0.66889893483811336</v>
      </c>
      <c r="N175" s="5">
        <f t="shared" si="37"/>
        <v>0.44198723516964611</v>
      </c>
      <c r="O175" s="5">
        <f t="shared" si="38"/>
        <v>0.28827620747766319</v>
      </c>
    </row>
    <row r="176" spans="1:15" hidden="1">
      <c r="A176">
        <v>174</v>
      </c>
      <c r="B176">
        <f t="shared" si="26"/>
        <v>0.06</v>
      </c>
      <c r="C176" s="10">
        <f t="shared" si="27"/>
        <v>0.03</v>
      </c>
      <c r="D176" s="10">
        <f t="shared" si="28"/>
        <v>0.06</v>
      </c>
      <c r="E176" s="10">
        <f t="shared" si="29"/>
        <v>0.09</v>
      </c>
      <c r="F176" s="25">
        <f t="shared" si="30"/>
        <v>2.5350486138366879E-3</v>
      </c>
      <c r="G176" s="8">
        <f t="shared" si="31"/>
        <v>0.99746495138616331</v>
      </c>
      <c r="H176" s="13">
        <f t="shared" si="32"/>
        <v>5.1430128318229462E-3</v>
      </c>
      <c r="I176" s="8">
        <f t="shared" si="33"/>
        <v>0.99485698716817705</v>
      </c>
      <c r="J176" s="14">
        <f t="shared" si="34"/>
        <v>7.8284203424832111E-3</v>
      </c>
      <c r="K176" s="8">
        <f t="shared" si="35"/>
        <v>0.99217157965751679</v>
      </c>
      <c r="L176" s="21">
        <v>174</v>
      </c>
      <c r="M176" s="5">
        <f t="shared" si="36"/>
        <v>0.66720324352055516</v>
      </c>
      <c r="N176" s="5">
        <f t="shared" si="37"/>
        <v>0.43971408914766669</v>
      </c>
      <c r="O176" s="5">
        <f t="shared" si="38"/>
        <v>0.28601946015079116</v>
      </c>
    </row>
    <row r="177" spans="1:15" hidden="1">
      <c r="A177">
        <v>175</v>
      </c>
      <c r="B177">
        <f t="shared" si="26"/>
        <v>0.06</v>
      </c>
      <c r="C177" s="10">
        <f t="shared" si="27"/>
        <v>0.03</v>
      </c>
      <c r="D177" s="10">
        <f t="shared" si="28"/>
        <v>0.06</v>
      </c>
      <c r="E177" s="10">
        <f t="shared" si="29"/>
        <v>0.09</v>
      </c>
      <c r="F177" s="25">
        <f t="shared" si="30"/>
        <v>2.5350486138366879E-3</v>
      </c>
      <c r="G177" s="8">
        <f t="shared" si="31"/>
        <v>0.99746495138616331</v>
      </c>
      <c r="H177" s="13">
        <f t="shared" si="32"/>
        <v>5.1430128318229462E-3</v>
      </c>
      <c r="I177" s="8">
        <f t="shared" si="33"/>
        <v>0.99485698716817705</v>
      </c>
      <c r="J177" s="14">
        <f t="shared" si="34"/>
        <v>7.8284203424832111E-3</v>
      </c>
      <c r="K177" s="8">
        <f t="shared" si="35"/>
        <v>0.99217157965751679</v>
      </c>
      <c r="L177" s="21">
        <v>175</v>
      </c>
      <c r="M177" s="5">
        <f t="shared" si="36"/>
        <v>0.66551185086292108</v>
      </c>
      <c r="N177" s="5">
        <f t="shared" si="37"/>
        <v>0.4374526339448469</v>
      </c>
      <c r="O177" s="5">
        <f t="shared" si="38"/>
        <v>0.28378037959060065</v>
      </c>
    </row>
    <row r="178" spans="1:15" hidden="1">
      <c r="A178">
        <v>176</v>
      </c>
      <c r="B178">
        <f t="shared" si="26"/>
        <v>0.06</v>
      </c>
      <c r="C178" s="10">
        <f t="shared" si="27"/>
        <v>0.03</v>
      </c>
      <c r="D178" s="10">
        <f t="shared" si="28"/>
        <v>0.06</v>
      </c>
      <c r="E178" s="10">
        <f t="shared" si="29"/>
        <v>0.09</v>
      </c>
      <c r="F178" s="25">
        <f t="shared" si="30"/>
        <v>2.5350486138366879E-3</v>
      </c>
      <c r="G178" s="8">
        <f t="shared" si="31"/>
        <v>0.99746495138616331</v>
      </c>
      <c r="H178" s="13">
        <f t="shared" si="32"/>
        <v>5.1430128318229462E-3</v>
      </c>
      <c r="I178" s="8">
        <f t="shared" si="33"/>
        <v>0.99485698716817705</v>
      </c>
      <c r="J178" s="14">
        <f t="shared" si="34"/>
        <v>7.8284203424832111E-3</v>
      </c>
      <c r="K178" s="8">
        <f t="shared" si="35"/>
        <v>0.99217157965751679</v>
      </c>
      <c r="L178" s="21">
        <v>176</v>
      </c>
      <c r="M178" s="5">
        <f t="shared" si="36"/>
        <v>0.6638247459678992</v>
      </c>
      <c r="N178" s="5">
        <f t="shared" si="37"/>
        <v>0.43520280943515383</v>
      </c>
      <c r="O178" s="5">
        <f t="shared" si="38"/>
        <v>0.28155882749421601</v>
      </c>
    </row>
    <row r="179" spans="1:15" hidden="1">
      <c r="A179">
        <v>177</v>
      </c>
      <c r="B179">
        <f t="shared" si="26"/>
        <v>0.06</v>
      </c>
      <c r="C179" s="10">
        <f t="shared" si="27"/>
        <v>0.03</v>
      </c>
      <c r="D179" s="10">
        <f t="shared" si="28"/>
        <v>0.06</v>
      </c>
      <c r="E179" s="10">
        <f t="shared" si="29"/>
        <v>0.09</v>
      </c>
      <c r="F179" s="25">
        <f t="shared" si="30"/>
        <v>2.5350486138366879E-3</v>
      </c>
      <c r="G179" s="8">
        <f t="shared" si="31"/>
        <v>0.99746495138616331</v>
      </c>
      <c r="H179" s="13">
        <f t="shared" si="32"/>
        <v>5.1430128318229462E-3</v>
      </c>
      <c r="I179" s="8">
        <f t="shared" si="33"/>
        <v>0.99485698716817705</v>
      </c>
      <c r="J179" s="14">
        <f t="shared" si="34"/>
        <v>7.8284203424832111E-3</v>
      </c>
      <c r="K179" s="8">
        <f t="shared" si="35"/>
        <v>0.99217157965751679</v>
      </c>
      <c r="L179" s="21">
        <v>177</v>
      </c>
      <c r="M179" s="5">
        <f t="shared" si="36"/>
        <v>0.6621419179658028</v>
      </c>
      <c r="N179" s="5">
        <f t="shared" si="37"/>
        <v>0.43296455580178345</v>
      </c>
      <c r="O179" s="5">
        <f t="shared" si="38"/>
        <v>0.27935466664145459</v>
      </c>
    </row>
    <row r="180" spans="1:15" hidden="1">
      <c r="A180">
        <v>178</v>
      </c>
      <c r="B180">
        <f t="shared" si="26"/>
        <v>0.06</v>
      </c>
      <c r="C180" s="10">
        <f t="shared" si="27"/>
        <v>0.03</v>
      </c>
      <c r="D180" s="10">
        <f t="shared" si="28"/>
        <v>0.06</v>
      </c>
      <c r="E180" s="10">
        <f t="shared" si="29"/>
        <v>0.09</v>
      </c>
      <c r="F180" s="25">
        <f t="shared" si="30"/>
        <v>2.5350486138366879E-3</v>
      </c>
      <c r="G180" s="8">
        <f t="shared" si="31"/>
        <v>0.99746495138616331</v>
      </c>
      <c r="H180" s="13">
        <f t="shared" si="32"/>
        <v>5.1430128318229462E-3</v>
      </c>
      <c r="I180" s="8">
        <f t="shared" si="33"/>
        <v>0.99485698716817705</v>
      </c>
      <c r="J180" s="14">
        <f t="shared" si="34"/>
        <v>7.8284203424832111E-3</v>
      </c>
      <c r="K180" s="8">
        <f t="shared" si="35"/>
        <v>0.99217157965751679</v>
      </c>
      <c r="L180" s="21">
        <v>178</v>
      </c>
      <c r="M180" s="5">
        <f t="shared" si="36"/>
        <v>0.66046335601450046</v>
      </c>
      <c r="N180" s="5">
        <f t="shared" si="37"/>
        <v>0.43073781353557034</v>
      </c>
      <c r="O180" s="5">
        <f t="shared" si="38"/>
        <v>0.27716776088635103</v>
      </c>
    </row>
    <row r="181" spans="1:15" hidden="1">
      <c r="A181">
        <v>179</v>
      </c>
      <c r="B181">
        <f t="shared" si="26"/>
        <v>0.06</v>
      </c>
      <c r="C181" s="10">
        <f t="shared" si="27"/>
        <v>0.03</v>
      </c>
      <c r="D181" s="10">
        <f t="shared" si="28"/>
        <v>0.06</v>
      </c>
      <c r="E181" s="10">
        <f t="shared" si="29"/>
        <v>0.09</v>
      </c>
      <c r="F181" s="25">
        <f t="shared" si="30"/>
        <v>2.5350486138366879E-3</v>
      </c>
      <c r="G181" s="8">
        <f t="shared" si="31"/>
        <v>0.99746495138616331</v>
      </c>
      <c r="H181" s="13">
        <f t="shared" si="32"/>
        <v>5.1430128318229462E-3</v>
      </c>
      <c r="I181" s="8">
        <f t="shared" si="33"/>
        <v>0.99485698716817705</v>
      </c>
      <c r="J181" s="14">
        <f t="shared" si="34"/>
        <v>7.8284203424832111E-3</v>
      </c>
      <c r="K181" s="8">
        <f t="shared" si="35"/>
        <v>0.99217157965751679</v>
      </c>
      <c r="L181" s="21">
        <v>179</v>
      </c>
      <c r="M181" s="5">
        <f t="shared" si="36"/>
        <v>0.65878904929934601</v>
      </c>
      <c r="N181" s="5">
        <f t="shared" si="37"/>
        <v>0.42852252343340552</v>
      </c>
      <c r="O181" s="5">
        <f t="shared" si="38"/>
        <v>0.2749979751487478</v>
      </c>
    </row>
    <row r="182" spans="1:15" hidden="1">
      <c r="A182">
        <v>180</v>
      </c>
      <c r="B182">
        <f t="shared" si="26"/>
        <v>0.06</v>
      </c>
      <c r="C182" s="10">
        <f t="shared" si="27"/>
        <v>0.03</v>
      </c>
      <c r="D182" s="10">
        <f t="shared" si="28"/>
        <v>0.06</v>
      </c>
      <c r="E182" s="10">
        <f t="shared" si="29"/>
        <v>0.09</v>
      </c>
      <c r="F182" s="25">
        <f t="shared" si="30"/>
        <v>2.5350486138366879E-3</v>
      </c>
      <c r="G182" s="8">
        <f t="shared" si="31"/>
        <v>0.99746495138616331</v>
      </c>
      <c r="H182" s="13">
        <f t="shared" si="32"/>
        <v>5.1430128318229462E-3</v>
      </c>
      <c r="I182" s="8">
        <f t="shared" si="33"/>
        <v>0.99485698716817705</v>
      </c>
      <c r="J182" s="14">
        <f t="shared" si="34"/>
        <v>7.8284203424832111E-3</v>
      </c>
      <c r="K182" s="8">
        <f t="shared" si="35"/>
        <v>0.99217157965751679</v>
      </c>
      <c r="L182" s="21">
        <v>180</v>
      </c>
      <c r="M182" s="5">
        <f t="shared" si="36"/>
        <v>0.65711898703310889</v>
      </c>
      <c r="N182" s="5">
        <f t="shared" si="37"/>
        <v>0.42631862659666236</v>
      </c>
      <c r="O182" s="5">
        <f t="shared" si="38"/>
        <v>0.27284517540595166</v>
      </c>
    </row>
    <row r="183" spans="1:15" hidden="1">
      <c r="A183">
        <v>181</v>
      </c>
      <c r="B183">
        <f t="shared" si="26"/>
        <v>0.06</v>
      </c>
      <c r="C183" s="10">
        <f t="shared" si="27"/>
        <v>0.03</v>
      </c>
      <c r="D183" s="10">
        <f t="shared" si="28"/>
        <v>0.06</v>
      </c>
      <c r="E183" s="10">
        <f t="shared" si="29"/>
        <v>0.09</v>
      </c>
      <c r="F183" s="25">
        <f t="shared" si="30"/>
        <v>2.5350486138366879E-3</v>
      </c>
      <c r="G183" s="8">
        <f t="shared" si="31"/>
        <v>0.99746495138616331</v>
      </c>
      <c r="H183" s="13">
        <f t="shared" si="32"/>
        <v>5.1430128318229462E-3</v>
      </c>
      <c r="I183" s="8">
        <f t="shared" si="33"/>
        <v>0.99485698716817705</v>
      </c>
      <c r="J183" s="14">
        <f t="shared" si="34"/>
        <v>7.8284203424832111E-3</v>
      </c>
      <c r="K183" s="8">
        <f t="shared" si="35"/>
        <v>0.99217157965751679</v>
      </c>
      <c r="L183" s="21">
        <v>181</v>
      </c>
      <c r="M183" s="5">
        <f t="shared" si="36"/>
        <v>0.65545315845590479</v>
      </c>
      <c r="N183" s="5">
        <f t="shared" si="37"/>
        <v>0.42412606442963058</v>
      </c>
      <c r="O183" s="5">
        <f t="shared" si="38"/>
        <v>0.27070922868445529</v>
      </c>
    </row>
    <row r="184" spans="1:15" hidden="1">
      <c r="A184">
        <v>182</v>
      </c>
      <c r="B184">
        <f t="shared" si="26"/>
        <v>0.06</v>
      </c>
      <c r="C184" s="10">
        <f t="shared" si="27"/>
        <v>0.03</v>
      </c>
      <c r="D184" s="10">
        <f t="shared" si="28"/>
        <v>0.06</v>
      </c>
      <c r="E184" s="10">
        <f t="shared" si="29"/>
        <v>0.09</v>
      </c>
      <c r="F184" s="25">
        <f t="shared" si="30"/>
        <v>2.5350486138366879E-3</v>
      </c>
      <c r="G184" s="8">
        <f t="shared" si="31"/>
        <v>0.99746495138616331</v>
      </c>
      <c r="H184" s="13">
        <f t="shared" si="32"/>
        <v>5.1430128318229462E-3</v>
      </c>
      <c r="I184" s="8">
        <f t="shared" si="33"/>
        <v>0.99485698716817705</v>
      </c>
      <c r="J184" s="14">
        <f t="shared" si="34"/>
        <v>7.8284203424832111E-3</v>
      </c>
      <c r="K184" s="8">
        <f t="shared" si="35"/>
        <v>0.99217157965751679</v>
      </c>
      <c r="L184" s="21">
        <v>182</v>
      </c>
      <c r="M184" s="5">
        <f t="shared" si="36"/>
        <v>0.65379155283512624</v>
      </c>
      <c r="N184" s="5">
        <f t="shared" si="37"/>
        <v>0.42194477863795843</v>
      </c>
      <c r="O184" s="5">
        <f t="shared" si="38"/>
        <v>0.26859000305172398</v>
      </c>
    </row>
    <row r="185" spans="1:15" hidden="1">
      <c r="A185">
        <v>183</v>
      </c>
      <c r="B185">
        <f t="shared" si="26"/>
        <v>0.06</v>
      </c>
      <c r="C185" s="10">
        <f t="shared" si="27"/>
        <v>0.03</v>
      </c>
      <c r="D185" s="10">
        <f t="shared" si="28"/>
        <v>0.06</v>
      </c>
      <c r="E185" s="10">
        <f t="shared" si="29"/>
        <v>0.09</v>
      </c>
      <c r="F185" s="25">
        <f t="shared" si="30"/>
        <v>2.5350486138366879E-3</v>
      </c>
      <c r="G185" s="8">
        <f t="shared" si="31"/>
        <v>0.99746495138616331</v>
      </c>
      <c r="H185" s="13">
        <f t="shared" si="32"/>
        <v>5.1430128318229462E-3</v>
      </c>
      <c r="I185" s="8">
        <f t="shared" si="33"/>
        <v>0.99485698716817705</v>
      </c>
      <c r="J185" s="14">
        <f t="shared" si="34"/>
        <v>7.8284203424832111E-3</v>
      </c>
      <c r="K185" s="8">
        <f t="shared" si="35"/>
        <v>0.99217157965751679</v>
      </c>
      <c r="L185" s="21">
        <v>183</v>
      </c>
      <c r="M185" s="5">
        <f t="shared" si="36"/>
        <v>0.65213415946537345</v>
      </c>
      <c r="N185" s="5">
        <f t="shared" si="37"/>
        <v>0.41977471122710269</v>
      </c>
      <c r="O185" s="5">
        <f t="shared" si="38"/>
        <v>0.26648736760804626</v>
      </c>
    </row>
    <row r="186" spans="1:15" hidden="1">
      <c r="A186">
        <v>184</v>
      </c>
      <c r="B186">
        <f t="shared" si="26"/>
        <v>0.06</v>
      </c>
      <c r="C186" s="10">
        <f t="shared" si="27"/>
        <v>0.03</v>
      </c>
      <c r="D186" s="10">
        <f t="shared" si="28"/>
        <v>0.06</v>
      </c>
      <c r="E186" s="10">
        <f t="shared" si="29"/>
        <v>0.09</v>
      </c>
      <c r="F186" s="25">
        <f t="shared" si="30"/>
        <v>2.5350486138366879E-3</v>
      </c>
      <c r="G186" s="8">
        <f t="shared" si="31"/>
        <v>0.99746495138616331</v>
      </c>
      <c r="H186" s="13">
        <f t="shared" si="32"/>
        <v>5.1430128318229462E-3</v>
      </c>
      <c r="I186" s="8">
        <f t="shared" si="33"/>
        <v>0.99485698716817705</v>
      </c>
      <c r="J186" s="14">
        <f t="shared" si="34"/>
        <v>7.8284203424832111E-3</v>
      </c>
      <c r="K186" s="8">
        <f t="shared" si="35"/>
        <v>0.99217157965751679</v>
      </c>
      <c r="L186" s="21">
        <v>184</v>
      </c>
      <c r="M186" s="5">
        <f t="shared" si="36"/>
        <v>0.65048096766838526</v>
      </c>
      <c r="N186" s="5">
        <f t="shared" si="37"/>
        <v>0.41761580450078695</v>
      </c>
      <c r="O186" s="5">
        <f t="shared" si="38"/>
        <v>0.26440119247844862</v>
      </c>
    </row>
    <row r="187" spans="1:15" hidden="1">
      <c r="A187">
        <v>185</v>
      </c>
      <c r="B187">
        <f t="shared" si="26"/>
        <v>0.06</v>
      </c>
      <c r="C187" s="10">
        <f t="shared" si="27"/>
        <v>0.03</v>
      </c>
      <c r="D187" s="10">
        <f t="shared" si="28"/>
        <v>0.06</v>
      </c>
      <c r="E187" s="10">
        <f t="shared" si="29"/>
        <v>0.09</v>
      </c>
      <c r="F187" s="25">
        <f t="shared" si="30"/>
        <v>2.5350486138366879E-3</v>
      </c>
      <c r="G187" s="8">
        <f t="shared" si="31"/>
        <v>0.99746495138616331</v>
      </c>
      <c r="H187" s="13">
        <f t="shared" si="32"/>
        <v>5.1430128318229462E-3</v>
      </c>
      <c r="I187" s="8">
        <f t="shared" si="33"/>
        <v>0.99485698716817705</v>
      </c>
      <c r="J187" s="14">
        <f t="shared" si="34"/>
        <v>7.8284203424832111E-3</v>
      </c>
      <c r="K187" s="8">
        <f t="shared" si="35"/>
        <v>0.99217157965751679</v>
      </c>
      <c r="L187" s="21">
        <v>185</v>
      </c>
      <c r="M187" s="5">
        <f t="shared" si="36"/>
        <v>0.64883196679297039</v>
      </c>
      <c r="N187" s="5">
        <f t="shared" si="37"/>
        <v>0.41546800105946735</v>
      </c>
      <c r="O187" s="5">
        <f t="shared" si="38"/>
        <v>0.26233134880467351</v>
      </c>
    </row>
    <row r="188" spans="1:15" hidden="1">
      <c r="A188">
        <v>186</v>
      </c>
      <c r="B188">
        <f t="shared" si="26"/>
        <v>0.06</v>
      </c>
      <c r="C188" s="10">
        <f t="shared" si="27"/>
        <v>0.03</v>
      </c>
      <c r="D188" s="10">
        <f t="shared" si="28"/>
        <v>0.06</v>
      </c>
      <c r="E188" s="10">
        <f t="shared" si="29"/>
        <v>0.09</v>
      </c>
      <c r="F188" s="25">
        <f t="shared" si="30"/>
        <v>2.5350486138366879E-3</v>
      </c>
      <c r="G188" s="8">
        <f t="shared" si="31"/>
        <v>0.99746495138616331</v>
      </c>
      <c r="H188" s="13">
        <f t="shared" si="32"/>
        <v>5.1430128318229462E-3</v>
      </c>
      <c r="I188" s="8">
        <f t="shared" si="33"/>
        <v>0.99485698716817705</v>
      </c>
      <c r="J188" s="14">
        <f t="shared" si="34"/>
        <v>7.8284203424832111E-3</v>
      </c>
      <c r="K188" s="8">
        <f t="shared" si="35"/>
        <v>0.99217157965751679</v>
      </c>
      <c r="L188" s="21">
        <v>186</v>
      </c>
      <c r="M188" s="5">
        <f t="shared" si="36"/>
        <v>0.64718714621493889</v>
      </c>
      <c r="N188" s="5">
        <f t="shared" si="37"/>
        <v>0.4133312437988067</v>
      </c>
      <c r="O188" s="5">
        <f t="shared" si="38"/>
        <v>0.26027770873721995</v>
      </c>
    </row>
    <row r="189" spans="1:15" hidden="1">
      <c r="A189">
        <v>187</v>
      </c>
      <c r="B189">
        <f t="shared" si="26"/>
        <v>0.06</v>
      </c>
      <c r="C189" s="10">
        <f t="shared" si="27"/>
        <v>0.03</v>
      </c>
      <c r="D189" s="10">
        <f t="shared" si="28"/>
        <v>0.06</v>
      </c>
      <c r="E189" s="10">
        <f t="shared" si="29"/>
        <v>0.09</v>
      </c>
      <c r="F189" s="25">
        <f t="shared" si="30"/>
        <v>2.5350486138366879E-3</v>
      </c>
      <c r="G189" s="8">
        <f t="shared" si="31"/>
        <v>0.99746495138616331</v>
      </c>
      <c r="H189" s="13">
        <f t="shared" si="32"/>
        <v>5.1430128318229462E-3</v>
      </c>
      <c r="I189" s="8">
        <f t="shared" si="33"/>
        <v>0.99485698716817705</v>
      </c>
      <c r="J189" s="14">
        <f t="shared" si="34"/>
        <v>7.8284203424832111E-3</v>
      </c>
      <c r="K189" s="8">
        <f t="shared" si="35"/>
        <v>0.99217157965751679</v>
      </c>
      <c r="L189" s="21">
        <v>187</v>
      </c>
      <c r="M189" s="5">
        <f t="shared" si="36"/>
        <v>0.64554649533703379</v>
      </c>
      <c r="N189" s="5">
        <f t="shared" si="37"/>
        <v>0.41120547590815609</v>
      </c>
      <c r="O189" s="5">
        <f t="shared" si="38"/>
        <v>0.25824014542744655</v>
      </c>
    </row>
    <row r="190" spans="1:15" hidden="1">
      <c r="A190">
        <v>188</v>
      </c>
      <c r="B190">
        <f t="shared" si="26"/>
        <v>0.06</v>
      </c>
      <c r="C190" s="10">
        <f t="shared" si="27"/>
        <v>0.03</v>
      </c>
      <c r="D190" s="10">
        <f t="shared" si="28"/>
        <v>0.06</v>
      </c>
      <c r="E190" s="10">
        <f t="shared" si="29"/>
        <v>0.09</v>
      </c>
      <c r="F190" s="25">
        <f t="shared" si="30"/>
        <v>2.5350486138366879E-3</v>
      </c>
      <c r="G190" s="8">
        <f t="shared" si="31"/>
        <v>0.99746495138616331</v>
      </c>
      <c r="H190" s="13">
        <f t="shared" si="32"/>
        <v>5.1430128318229462E-3</v>
      </c>
      <c r="I190" s="8">
        <f t="shared" si="33"/>
        <v>0.99485698716817705</v>
      </c>
      <c r="J190" s="14">
        <f t="shared" si="34"/>
        <v>7.8284203424832111E-3</v>
      </c>
      <c r="K190" s="8">
        <f t="shared" si="35"/>
        <v>0.99217157965751679</v>
      </c>
      <c r="L190" s="21">
        <v>188</v>
      </c>
      <c r="M190" s="5">
        <f t="shared" si="36"/>
        <v>0.64391000358886252</v>
      </c>
      <c r="N190" s="5">
        <f t="shared" si="37"/>
        <v>0.40909064086904456</v>
      </c>
      <c r="O190" s="5">
        <f t="shared" si="38"/>
        <v>0.25621853301973652</v>
      </c>
    </row>
    <row r="191" spans="1:15" hidden="1">
      <c r="A191">
        <v>189</v>
      </c>
      <c r="B191">
        <f t="shared" si="26"/>
        <v>0.06</v>
      </c>
      <c r="C191" s="10">
        <f t="shared" si="27"/>
        <v>0.03</v>
      </c>
      <c r="D191" s="10">
        <f t="shared" si="28"/>
        <v>0.06</v>
      </c>
      <c r="E191" s="10">
        <f t="shared" si="29"/>
        <v>0.09</v>
      </c>
      <c r="F191" s="25">
        <f t="shared" si="30"/>
        <v>2.5350486138366879E-3</v>
      </c>
      <c r="G191" s="8">
        <f t="shared" si="31"/>
        <v>0.99746495138616331</v>
      </c>
      <c r="H191" s="13">
        <f t="shared" si="32"/>
        <v>5.1430128318229462E-3</v>
      </c>
      <c r="I191" s="8">
        <f t="shared" si="33"/>
        <v>0.99485698716817705</v>
      </c>
      <c r="J191" s="14">
        <f t="shared" si="34"/>
        <v>7.8284203424832111E-3</v>
      </c>
      <c r="K191" s="8">
        <f t="shared" si="35"/>
        <v>0.99217157965751679</v>
      </c>
      <c r="L191" s="21">
        <v>189</v>
      </c>
      <c r="M191" s="5">
        <f t="shared" si="36"/>
        <v>0.64227766042682899</v>
      </c>
      <c r="N191" s="5">
        <f t="shared" si="37"/>
        <v>0.40698668245367642</v>
      </c>
      <c r="O191" s="5">
        <f t="shared" si="38"/>
        <v>0.25421274664372362</v>
      </c>
    </row>
    <row r="192" spans="1:15" hidden="1">
      <c r="A192">
        <v>190</v>
      </c>
      <c r="B192">
        <f t="shared" si="26"/>
        <v>0.06</v>
      </c>
      <c r="C192" s="10">
        <f t="shared" si="27"/>
        <v>0.03</v>
      </c>
      <c r="D192" s="10">
        <f t="shared" si="28"/>
        <v>0.06</v>
      </c>
      <c r="E192" s="10">
        <f t="shared" si="29"/>
        <v>0.09</v>
      </c>
      <c r="F192" s="25">
        <f t="shared" si="30"/>
        <v>2.5350486138366879E-3</v>
      </c>
      <c r="G192" s="8">
        <f t="shared" si="31"/>
        <v>0.99746495138616331</v>
      </c>
      <c r="H192" s="13">
        <f t="shared" si="32"/>
        <v>5.1430128318229462E-3</v>
      </c>
      <c r="I192" s="8">
        <f t="shared" si="33"/>
        <v>0.99485698716817705</v>
      </c>
      <c r="J192" s="14">
        <f t="shared" si="34"/>
        <v>7.8284203424832111E-3</v>
      </c>
      <c r="K192" s="8">
        <f t="shared" si="35"/>
        <v>0.99217157965751679</v>
      </c>
      <c r="L192" s="21">
        <v>190</v>
      </c>
      <c r="M192" s="5">
        <f t="shared" si="36"/>
        <v>0.6406494553340657</v>
      </c>
      <c r="N192" s="5">
        <f t="shared" si="37"/>
        <v>0.40489354472343608</v>
      </c>
      <c r="O192" s="5">
        <f t="shared" si="38"/>
        <v>0.25222266240657937</v>
      </c>
    </row>
    <row r="193" spans="1:15" hidden="1">
      <c r="A193">
        <v>191</v>
      </c>
      <c r="B193">
        <f t="shared" si="26"/>
        <v>0.06</v>
      </c>
      <c r="C193" s="10">
        <f t="shared" si="27"/>
        <v>0.03</v>
      </c>
      <c r="D193" s="10">
        <f t="shared" si="28"/>
        <v>0.06</v>
      </c>
      <c r="E193" s="10">
        <f t="shared" si="29"/>
        <v>0.09</v>
      </c>
      <c r="F193" s="25">
        <f t="shared" si="30"/>
        <v>2.5350486138366879E-3</v>
      </c>
      <c r="G193" s="8">
        <f t="shared" si="31"/>
        <v>0.99746495138616331</v>
      </c>
      <c r="H193" s="13">
        <f t="shared" si="32"/>
        <v>5.1430128318229462E-3</v>
      </c>
      <c r="I193" s="8">
        <f t="shared" si="33"/>
        <v>0.99485698716817705</v>
      </c>
      <c r="J193" s="14">
        <f t="shared" si="34"/>
        <v>7.8284203424832111E-3</v>
      </c>
      <c r="K193" s="8">
        <f t="shared" si="35"/>
        <v>0.99217157965751679</v>
      </c>
      <c r="L193" s="21">
        <v>191</v>
      </c>
      <c r="M193" s="5">
        <f t="shared" si="36"/>
        <v>0.63902537782036584</v>
      </c>
      <c r="N193" s="5">
        <f t="shared" si="37"/>
        <v>0.40281117202740119</v>
      </c>
      <c r="O193" s="5">
        <f t="shared" si="38"/>
        <v>0.25024815738536044</v>
      </c>
    </row>
    <row r="194" spans="1:15" hidden="1">
      <c r="A194">
        <v>192</v>
      </c>
      <c r="B194">
        <f t="shared" si="26"/>
        <v>0.06</v>
      </c>
      <c r="C194" s="10">
        <f t="shared" si="27"/>
        <v>0.03</v>
      </c>
      <c r="D194" s="10">
        <f t="shared" si="28"/>
        <v>0.06</v>
      </c>
      <c r="E194" s="10">
        <f t="shared" si="29"/>
        <v>0.09</v>
      </c>
      <c r="F194" s="25">
        <f t="shared" si="30"/>
        <v>2.5350486138366879E-3</v>
      </c>
      <c r="G194" s="8">
        <f t="shared" si="31"/>
        <v>0.99746495138616331</v>
      </c>
      <c r="H194" s="13">
        <f t="shared" si="32"/>
        <v>5.1430128318229462E-3</v>
      </c>
      <c r="I194" s="8">
        <f t="shared" si="33"/>
        <v>0.99485698716817705</v>
      </c>
      <c r="J194" s="14">
        <f t="shared" si="34"/>
        <v>7.8284203424832111E-3</v>
      </c>
      <c r="K194" s="8">
        <f t="shared" si="35"/>
        <v>0.99217157965751679</v>
      </c>
      <c r="L194" s="21">
        <v>192</v>
      </c>
      <c r="M194" s="5">
        <f t="shared" si="36"/>
        <v>0.63740541742211587</v>
      </c>
      <c r="N194" s="5">
        <f t="shared" si="37"/>
        <v>0.40073950900086264</v>
      </c>
      <c r="O194" s="5">
        <f t="shared" si="38"/>
        <v>0.24828910961941594</v>
      </c>
    </row>
    <row r="195" spans="1:15" hidden="1">
      <c r="A195">
        <v>193</v>
      </c>
      <c r="B195">
        <f t="shared" si="26"/>
        <v>0.06</v>
      </c>
      <c r="C195" s="10">
        <f t="shared" si="27"/>
        <v>0.03</v>
      </c>
      <c r="D195" s="10">
        <f t="shared" si="28"/>
        <v>0.06</v>
      </c>
      <c r="E195" s="10">
        <f t="shared" si="29"/>
        <v>0.09</v>
      </c>
      <c r="F195" s="25">
        <f t="shared" si="30"/>
        <v>2.5350486138366879E-3</v>
      </c>
      <c r="G195" s="8">
        <f t="shared" si="31"/>
        <v>0.99746495138616331</v>
      </c>
      <c r="H195" s="13">
        <f t="shared" si="32"/>
        <v>5.1430128318229462E-3</v>
      </c>
      <c r="I195" s="8">
        <f t="shared" si="33"/>
        <v>0.99485698716817705</v>
      </c>
      <c r="J195" s="14">
        <f t="shared" si="34"/>
        <v>7.8284203424832111E-3</v>
      </c>
      <c r="K195" s="8">
        <f t="shared" si="35"/>
        <v>0.99217157965751679</v>
      </c>
      <c r="L195" s="21">
        <v>193</v>
      </c>
      <c r="M195" s="5">
        <f t="shared" si="36"/>
        <v>0.63578956370222794</v>
      </c>
      <c r="N195" s="5">
        <f t="shared" si="37"/>
        <v>0.39867850056385279</v>
      </c>
      <c r="O195" s="5">
        <f t="shared" si="38"/>
        <v>0.24634539810285427</v>
      </c>
    </row>
    <row r="196" spans="1:15" hidden="1">
      <c r="A196">
        <v>194</v>
      </c>
      <c r="B196">
        <f t="shared" ref="B196:B259" si="39">IF(A196&lt;=30,0.06*(A196/30),0.06)</f>
        <v>0.06</v>
      </c>
      <c r="C196" s="10">
        <f t="shared" ref="C196:C259" si="40">50/100*B196</f>
        <v>0.03</v>
      </c>
      <c r="D196" s="10">
        <f t="shared" ref="D196:D259" si="41">100/100*B196</f>
        <v>0.06</v>
      </c>
      <c r="E196" s="10">
        <f t="shared" ref="E196:E259" si="42">150/100*B196</f>
        <v>0.09</v>
      </c>
      <c r="F196" s="25">
        <f t="shared" ref="F196:F259" si="43">1-(1-C196)^(1/12)</f>
        <v>2.5350486138366879E-3</v>
      </c>
      <c r="G196" s="8">
        <f t="shared" ref="G196:G259" si="44">1-F196</f>
        <v>0.99746495138616331</v>
      </c>
      <c r="H196" s="13">
        <f t="shared" ref="H196:H259" si="45">1-(1-D196)^(1/12)</f>
        <v>5.1430128318229462E-3</v>
      </c>
      <c r="I196" s="8">
        <f t="shared" ref="I196:I259" si="46">1-H196</f>
        <v>0.99485698716817705</v>
      </c>
      <c r="J196" s="14">
        <f t="shared" ref="J196:J259" si="47">1-(1-E196)^(1/12)</f>
        <v>7.8284203424832111E-3</v>
      </c>
      <c r="K196" s="8">
        <f t="shared" ref="K196:K259" si="48">1-J196</f>
        <v>0.99217157965751679</v>
      </c>
      <c r="L196" s="21">
        <v>194</v>
      </c>
      <c r="M196" s="5">
        <f t="shared" si="36"/>
        <v>0.63417780625007281</v>
      </c>
      <c r="N196" s="5">
        <f t="shared" si="37"/>
        <v>0.39662809191968096</v>
      </c>
      <c r="O196" s="5">
        <f t="shared" si="38"/>
        <v>0.24441690277706876</v>
      </c>
    </row>
    <row r="197" spans="1:15" hidden="1">
      <c r="A197">
        <v>195</v>
      </c>
      <c r="B197">
        <f t="shared" si="39"/>
        <v>0.06</v>
      </c>
      <c r="C197" s="10">
        <f t="shared" si="40"/>
        <v>0.03</v>
      </c>
      <c r="D197" s="10">
        <f t="shared" si="41"/>
        <v>0.06</v>
      </c>
      <c r="E197" s="10">
        <f t="shared" si="42"/>
        <v>0.09</v>
      </c>
      <c r="F197" s="25">
        <f t="shared" si="43"/>
        <v>2.5350486138366879E-3</v>
      </c>
      <c r="G197" s="8">
        <f t="shared" si="44"/>
        <v>0.99746495138616331</v>
      </c>
      <c r="H197" s="13">
        <f t="shared" si="45"/>
        <v>5.1430128318229462E-3</v>
      </c>
      <c r="I197" s="8">
        <f t="shared" si="46"/>
        <v>0.99485698716817705</v>
      </c>
      <c r="J197" s="14">
        <f t="shared" si="47"/>
        <v>7.8284203424832111E-3</v>
      </c>
      <c r="K197" s="8">
        <f t="shared" si="48"/>
        <v>0.99217157965751679</v>
      </c>
      <c r="L197" s="21">
        <v>195</v>
      </c>
      <c r="M197" s="5">
        <f t="shared" ref="M197:M260" si="49">M196*G197</f>
        <v>0.63257013468141254</v>
      </c>
      <c r="N197" s="5">
        <f t="shared" ref="N197:N260" si="50">N196*I197</f>
        <v>0.39458822855347658</v>
      </c>
      <c r="O197" s="5">
        <f t="shared" ref="O197:O260" si="51">O196*K197</f>
        <v>0.24250350452332201</v>
      </c>
    </row>
    <row r="198" spans="1:15" hidden="1">
      <c r="A198">
        <v>196</v>
      </c>
      <c r="B198">
        <f t="shared" si="39"/>
        <v>0.06</v>
      </c>
      <c r="C198" s="10">
        <f t="shared" si="40"/>
        <v>0.03</v>
      </c>
      <c r="D198" s="10">
        <f t="shared" si="41"/>
        <v>0.06</v>
      </c>
      <c r="E198" s="10">
        <f t="shared" si="42"/>
        <v>0.09</v>
      </c>
      <c r="F198" s="25">
        <f t="shared" si="43"/>
        <v>2.5350486138366879E-3</v>
      </c>
      <c r="G198" s="8">
        <f t="shared" si="44"/>
        <v>0.99746495138616331</v>
      </c>
      <c r="H198" s="13">
        <f t="shared" si="45"/>
        <v>5.1430128318229462E-3</v>
      </c>
      <c r="I198" s="8">
        <f t="shared" si="46"/>
        <v>0.99485698716817705</v>
      </c>
      <c r="J198" s="14">
        <f t="shared" si="47"/>
        <v>7.8284203424832111E-3</v>
      </c>
      <c r="K198" s="8">
        <f t="shared" si="48"/>
        <v>0.99217157965751679</v>
      </c>
      <c r="L198" s="21">
        <v>196</v>
      </c>
      <c r="M198" s="5">
        <f t="shared" si="49"/>
        <v>0.63096653863833396</v>
      </c>
      <c r="N198" s="5">
        <f t="shared" si="50"/>
        <v>0.39255885623073977</v>
      </c>
      <c r="O198" s="5">
        <f t="shared" si="51"/>
        <v>0.24060508515538817</v>
      </c>
    </row>
    <row r="199" spans="1:15" hidden="1">
      <c r="A199">
        <v>197</v>
      </c>
      <c r="B199">
        <f t="shared" si="39"/>
        <v>0.06</v>
      </c>
      <c r="C199" s="10">
        <f t="shared" si="40"/>
        <v>0.03</v>
      </c>
      <c r="D199" s="10">
        <f t="shared" si="41"/>
        <v>0.06</v>
      </c>
      <c r="E199" s="10">
        <f t="shared" si="42"/>
        <v>0.09</v>
      </c>
      <c r="F199" s="25">
        <f t="shared" si="43"/>
        <v>2.5350486138366879E-3</v>
      </c>
      <c r="G199" s="8">
        <f t="shared" si="44"/>
        <v>0.99746495138616331</v>
      </c>
      <c r="H199" s="13">
        <f t="shared" si="45"/>
        <v>5.1430128318229462E-3</v>
      </c>
      <c r="I199" s="8">
        <f t="shared" si="46"/>
        <v>0.99485698716817705</v>
      </c>
      <c r="J199" s="14">
        <f t="shared" si="47"/>
        <v>7.8284203424832111E-3</v>
      </c>
      <c r="K199" s="8">
        <f t="shared" si="48"/>
        <v>0.99217157965751679</v>
      </c>
      <c r="L199" s="21">
        <v>197</v>
      </c>
      <c r="M199" s="5">
        <f t="shared" si="49"/>
        <v>0.62936700778918153</v>
      </c>
      <c r="N199" s="5">
        <f t="shared" si="50"/>
        <v>0.39053992099589935</v>
      </c>
      <c r="O199" s="5">
        <f t="shared" si="51"/>
        <v>0.23872152741225283</v>
      </c>
    </row>
    <row r="200" spans="1:15" hidden="1">
      <c r="A200">
        <v>198</v>
      </c>
      <c r="B200">
        <f t="shared" si="39"/>
        <v>0.06</v>
      </c>
      <c r="C200" s="10">
        <f t="shared" si="40"/>
        <v>0.03</v>
      </c>
      <c r="D200" s="10">
        <f t="shared" si="41"/>
        <v>0.06</v>
      </c>
      <c r="E200" s="10">
        <f t="shared" si="42"/>
        <v>0.09</v>
      </c>
      <c r="F200" s="25">
        <f t="shared" si="43"/>
        <v>2.5350486138366879E-3</v>
      </c>
      <c r="G200" s="8">
        <f t="shared" si="44"/>
        <v>0.99746495138616331</v>
      </c>
      <c r="H200" s="13">
        <f t="shared" si="45"/>
        <v>5.1430128318229462E-3</v>
      </c>
      <c r="I200" s="8">
        <f t="shared" si="46"/>
        <v>0.99485698716817705</v>
      </c>
      <c r="J200" s="14">
        <f t="shared" si="47"/>
        <v>7.8284203424832111E-3</v>
      </c>
      <c r="K200" s="8">
        <f t="shared" si="48"/>
        <v>0.99217157965751679</v>
      </c>
      <c r="L200" s="21">
        <v>198</v>
      </c>
      <c r="M200" s="5">
        <f t="shared" si="49"/>
        <v>0.62777153182849099</v>
      </c>
      <c r="N200" s="5">
        <f t="shared" si="50"/>
        <v>0.38853136917087833</v>
      </c>
      <c r="O200" s="5">
        <f t="shared" si="51"/>
        <v>0.2368527149508701</v>
      </c>
    </row>
    <row r="201" spans="1:15" hidden="1">
      <c r="A201">
        <v>199</v>
      </c>
      <c r="B201">
        <f t="shared" si="39"/>
        <v>0.06</v>
      </c>
      <c r="C201" s="10">
        <f t="shared" si="40"/>
        <v>0.03</v>
      </c>
      <c r="D201" s="10">
        <f t="shared" si="41"/>
        <v>0.06</v>
      </c>
      <c r="E201" s="10">
        <f t="shared" si="42"/>
        <v>0.09</v>
      </c>
      <c r="F201" s="25">
        <f t="shared" si="43"/>
        <v>2.5350486138366879E-3</v>
      </c>
      <c r="G201" s="8">
        <f t="shared" si="44"/>
        <v>0.99746495138616331</v>
      </c>
      <c r="H201" s="13">
        <f t="shared" si="45"/>
        <v>5.1430128318229462E-3</v>
      </c>
      <c r="I201" s="8">
        <f t="shared" si="46"/>
        <v>0.99485698716817705</v>
      </c>
      <c r="J201" s="14">
        <f t="shared" si="47"/>
        <v>7.8284203424832111E-3</v>
      </c>
      <c r="K201" s="8">
        <f t="shared" si="48"/>
        <v>0.99217157965751679</v>
      </c>
      <c r="L201" s="21">
        <v>199</v>
      </c>
      <c r="M201" s="5">
        <f t="shared" si="49"/>
        <v>0.62618010047692307</v>
      </c>
      <c r="N201" s="5">
        <f t="shared" si="50"/>
        <v>0.38653314735366678</v>
      </c>
      <c r="O201" s="5">
        <f t="shared" si="51"/>
        <v>0.23499853233897633</v>
      </c>
    </row>
    <row r="202" spans="1:15" hidden="1">
      <c r="A202">
        <v>200</v>
      </c>
      <c r="B202">
        <f t="shared" si="39"/>
        <v>0.06</v>
      </c>
      <c r="C202" s="10">
        <f t="shared" si="40"/>
        <v>0.03</v>
      </c>
      <c r="D202" s="10">
        <f t="shared" si="41"/>
        <v>0.06</v>
      </c>
      <c r="E202" s="10">
        <f t="shared" si="42"/>
        <v>0.09</v>
      </c>
      <c r="F202" s="25">
        <f t="shared" si="43"/>
        <v>2.5350486138366879E-3</v>
      </c>
      <c r="G202" s="8">
        <f t="shared" si="44"/>
        <v>0.99746495138616331</v>
      </c>
      <c r="H202" s="13">
        <f t="shared" si="45"/>
        <v>5.1430128318229462E-3</v>
      </c>
      <c r="I202" s="8">
        <f t="shared" si="46"/>
        <v>0.99485698716817705</v>
      </c>
      <c r="J202" s="14">
        <f t="shared" si="47"/>
        <v>7.8284203424832111E-3</v>
      </c>
      <c r="K202" s="8">
        <f t="shared" si="48"/>
        <v>0.99217157965751679</v>
      </c>
      <c r="L202" s="21">
        <v>200</v>
      </c>
      <c r="M202" s="5">
        <f t="shared" si="49"/>
        <v>0.62459270348119689</v>
      </c>
      <c r="N202" s="5">
        <f t="shared" si="50"/>
        <v>0.38454520241690199</v>
      </c>
      <c r="O202" s="5">
        <f t="shared" si="51"/>
        <v>0.23315886504796018</v>
      </c>
    </row>
    <row r="203" spans="1:15" hidden="1">
      <c r="A203">
        <v>201</v>
      </c>
      <c r="B203">
        <f t="shared" si="39"/>
        <v>0.06</v>
      </c>
      <c r="C203" s="10">
        <f t="shared" si="40"/>
        <v>0.03</v>
      </c>
      <c r="D203" s="10">
        <f t="shared" si="41"/>
        <v>0.06</v>
      </c>
      <c r="E203" s="10">
        <f t="shared" si="42"/>
        <v>0.09</v>
      </c>
      <c r="F203" s="25">
        <f t="shared" si="43"/>
        <v>2.5350486138366879E-3</v>
      </c>
      <c r="G203" s="8">
        <f t="shared" si="44"/>
        <v>0.99746495138616331</v>
      </c>
      <c r="H203" s="13">
        <f t="shared" si="45"/>
        <v>5.1430128318229462E-3</v>
      </c>
      <c r="I203" s="8">
        <f t="shared" si="46"/>
        <v>0.99485698716817705</v>
      </c>
      <c r="J203" s="14">
        <f t="shared" si="47"/>
        <v>7.8284203424832111E-3</v>
      </c>
      <c r="K203" s="8">
        <f t="shared" si="48"/>
        <v>0.99217157965751679</v>
      </c>
      <c r="L203" s="21">
        <v>201</v>
      </c>
      <c r="M203" s="5">
        <f t="shared" si="49"/>
        <v>0.62300933061402441</v>
      </c>
      <c r="N203" s="5">
        <f t="shared" si="50"/>
        <v>0.38256748150645592</v>
      </c>
      <c r="O203" s="5">
        <f t="shared" si="51"/>
        <v>0.23133359944578843</v>
      </c>
    </row>
    <row r="204" spans="1:15" hidden="1">
      <c r="A204">
        <v>202</v>
      </c>
      <c r="B204">
        <f t="shared" si="39"/>
        <v>0.06</v>
      </c>
      <c r="C204" s="10">
        <f t="shared" si="40"/>
        <v>0.03</v>
      </c>
      <c r="D204" s="10">
        <f t="shared" si="41"/>
        <v>0.06</v>
      </c>
      <c r="E204" s="10">
        <f t="shared" si="42"/>
        <v>0.09</v>
      </c>
      <c r="F204" s="25">
        <f t="shared" si="43"/>
        <v>2.5350486138366879E-3</v>
      </c>
      <c r="G204" s="8">
        <f t="shared" si="44"/>
        <v>0.99746495138616331</v>
      </c>
      <c r="H204" s="13">
        <f t="shared" si="45"/>
        <v>5.1430128318229462E-3</v>
      </c>
      <c r="I204" s="8">
        <f t="shared" si="46"/>
        <v>0.99485698716817705</v>
      </c>
      <c r="J204" s="14">
        <f t="shared" si="47"/>
        <v>7.8284203424832111E-3</v>
      </c>
      <c r="K204" s="8">
        <f t="shared" si="48"/>
        <v>0.99217157965751679</v>
      </c>
      <c r="L204" s="21">
        <v>202</v>
      </c>
      <c r="M204" s="5">
        <f t="shared" si="49"/>
        <v>0.62142997167404401</v>
      </c>
      <c r="N204" s="5">
        <f t="shared" si="50"/>
        <v>0.38059993204003001</v>
      </c>
      <c r="O204" s="5">
        <f t="shared" si="51"/>
        <v>0.22952262278998717</v>
      </c>
    </row>
    <row r="205" spans="1:15" hidden="1">
      <c r="A205">
        <v>203</v>
      </c>
      <c r="B205">
        <f t="shared" si="39"/>
        <v>0.06</v>
      </c>
      <c r="C205" s="10">
        <f t="shared" si="40"/>
        <v>0.03</v>
      </c>
      <c r="D205" s="10">
        <f t="shared" si="41"/>
        <v>0.06</v>
      </c>
      <c r="E205" s="10">
        <f t="shared" si="42"/>
        <v>0.09</v>
      </c>
      <c r="F205" s="25">
        <f t="shared" si="43"/>
        <v>2.5350486138366879E-3</v>
      </c>
      <c r="G205" s="8">
        <f t="shared" si="44"/>
        <v>0.99746495138616331</v>
      </c>
      <c r="H205" s="13">
        <f t="shared" si="45"/>
        <v>5.1430128318229462E-3</v>
      </c>
      <c r="I205" s="8">
        <f t="shared" si="46"/>
        <v>0.99485698716817705</v>
      </c>
      <c r="J205" s="14">
        <f t="shared" si="47"/>
        <v>7.8284203424832111E-3</v>
      </c>
      <c r="K205" s="8">
        <f t="shared" si="48"/>
        <v>0.99217157965751679</v>
      </c>
      <c r="L205" s="21">
        <v>203</v>
      </c>
      <c r="M205" s="5">
        <f t="shared" si="49"/>
        <v>0.61985461648575513</v>
      </c>
      <c r="N205" s="5">
        <f t="shared" si="50"/>
        <v>0.3786425017057572</v>
      </c>
      <c r="O205" s="5">
        <f t="shared" si="51"/>
        <v>0.22772582322067794</v>
      </c>
    </row>
    <row r="206" spans="1:15" hidden="1">
      <c r="A206">
        <v>204</v>
      </c>
      <c r="B206">
        <f t="shared" si="39"/>
        <v>0.06</v>
      </c>
      <c r="C206" s="10">
        <f t="shared" si="40"/>
        <v>0.03</v>
      </c>
      <c r="D206" s="10">
        <f t="shared" si="41"/>
        <v>0.06</v>
      </c>
      <c r="E206" s="10">
        <f t="shared" si="42"/>
        <v>0.09</v>
      </c>
      <c r="F206" s="25">
        <f t="shared" si="43"/>
        <v>2.5350486138366879E-3</v>
      </c>
      <c r="G206" s="8">
        <f t="shared" si="44"/>
        <v>0.99746495138616331</v>
      </c>
      <c r="H206" s="13">
        <f t="shared" si="45"/>
        <v>5.1430128318229462E-3</v>
      </c>
      <c r="I206" s="8">
        <f t="shared" si="46"/>
        <v>0.99485698716817705</v>
      </c>
      <c r="J206" s="14">
        <f t="shared" si="47"/>
        <v>7.8284203424832111E-3</v>
      </c>
      <c r="K206" s="8">
        <f t="shared" si="48"/>
        <v>0.99217157965751679</v>
      </c>
      <c r="L206" s="21">
        <v>204</v>
      </c>
      <c r="M206" s="5">
        <f t="shared" si="49"/>
        <v>0.61828325489945268</v>
      </c>
      <c r="N206" s="5">
        <f t="shared" si="50"/>
        <v>0.37669513846081093</v>
      </c>
      <c r="O206" s="5">
        <f t="shared" si="51"/>
        <v>0.22594308975366845</v>
      </c>
    </row>
    <row r="207" spans="1:15" hidden="1">
      <c r="A207">
        <v>205</v>
      </c>
      <c r="B207">
        <f t="shared" si="39"/>
        <v>0.06</v>
      </c>
      <c r="C207" s="10">
        <f t="shared" si="40"/>
        <v>0.03</v>
      </c>
      <c r="D207" s="10">
        <f t="shared" si="41"/>
        <v>0.06</v>
      </c>
      <c r="E207" s="10">
        <f t="shared" si="42"/>
        <v>0.09</v>
      </c>
      <c r="F207" s="25">
        <f t="shared" si="43"/>
        <v>2.5350486138366879E-3</v>
      </c>
      <c r="G207" s="8">
        <f t="shared" si="44"/>
        <v>0.99746495138616331</v>
      </c>
      <c r="H207" s="13">
        <f t="shared" si="45"/>
        <v>5.1430128318229462E-3</v>
      </c>
      <c r="I207" s="8">
        <f t="shared" si="46"/>
        <v>0.99485698716817705</v>
      </c>
      <c r="J207" s="14">
        <f t="shared" si="47"/>
        <v>7.8284203424832111E-3</v>
      </c>
      <c r="K207" s="8">
        <f t="shared" si="48"/>
        <v>0.99217157965751679</v>
      </c>
      <c r="L207" s="21">
        <v>205</v>
      </c>
      <c r="M207" s="5">
        <f t="shared" si="49"/>
        <v>0.61671587679116135</v>
      </c>
      <c r="N207" s="5">
        <f t="shared" si="50"/>
        <v>0.37475779053002167</v>
      </c>
      <c r="O207" s="5">
        <f t="shared" si="51"/>
        <v>0.22417431227359733</v>
      </c>
    </row>
    <row r="208" spans="1:15" hidden="1">
      <c r="A208">
        <v>206</v>
      </c>
      <c r="B208">
        <f t="shared" si="39"/>
        <v>0.06</v>
      </c>
      <c r="C208" s="10">
        <f t="shared" si="40"/>
        <v>0.03</v>
      </c>
      <c r="D208" s="10">
        <f t="shared" si="41"/>
        <v>0.06</v>
      </c>
      <c r="E208" s="10">
        <f t="shared" si="42"/>
        <v>0.09</v>
      </c>
      <c r="F208" s="25">
        <f t="shared" si="43"/>
        <v>2.5350486138366879E-3</v>
      </c>
      <c r="G208" s="8">
        <f t="shared" si="44"/>
        <v>0.99746495138616331</v>
      </c>
      <c r="H208" s="13">
        <f t="shared" si="45"/>
        <v>5.1430128318229462E-3</v>
      </c>
      <c r="I208" s="8">
        <f t="shared" si="46"/>
        <v>0.99485698716817705</v>
      </c>
      <c r="J208" s="14">
        <f t="shared" si="47"/>
        <v>7.8284203424832111E-3</v>
      </c>
      <c r="K208" s="8">
        <f t="shared" si="48"/>
        <v>0.99217157965751679</v>
      </c>
      <c r="L208" s="21">
        <v>206</v>
      </c>
      <c r="M208" s="5">
        <f t="shared" si="49"/>
        <v>0.61515247206257084</v>
      </c>
      <c r="N208" s="5">
        <f t="shared" si="50"/>
        <v>0.37283040640450016</v>
      </c>
      <c r="O208" s="5">
        <f t="shared" si="51"/>
        <v>0.2224193815271325</v>
      </c>
    </row>
    <row r="209" spans="1:15" hidden="1">
      <c r="A209">
        <v>207</v>
      </c>
      <c r="B209">
        <f t="shared" si="39"/>
        <v>0.06</v>
      </c>
      <c r="C209" s="10">
        <f t="shared" si="40"/>
        <v>0.03</v>
      </c>
      <c r="D209" s="10">
        <f t="shared" si="41"/>
        <v>0.06</v>
      </c>
      <c r="E209" s="10">
        <f t="shared" si="42"/>
        <v>0.09</v>
      </c>
      <c r="F209" s="25">
        <f t="shared" si="43"/>
        <v>2.5350486138366879E-3</v>
      </c>
      <c r="G209" s="8">
        <f t="shared" si="44"/>
        <v>0.99746495138616331</v>
      </c>
      <c r="H209" s="13">
        <f t="shared" si="45"/>
        <v>5.1430128318229462E-3</v>
      </c>
      <c r="I209" s="8">
        <f t="shared" si="46"/>
        <v>0.99485698716817705</v>
      </c>
      <c r="J209" s="14">
        <f t="shared" si="47"/>
        <v>7.8284203424832111E-3</v>
      </c>
      <c r="K209" s="8">
        <f t="shared" si="48"/>
        <v>0.99217157965751679</v>
      </c>
      <c r="L209" s="21">
        <v>207</v>
      </c>
      <c r="M209" s="5">
        <f t="shared" si="49"/>
        <v>0.61359303064097037</v>
      </c>
      <c r="N209" s="5">
        <f t="shared" si="50"/>
        <v>0.37091293484026805</v>
      </c>
      <c r="O209" s="5">
        <f t="shared" si="51"/>
        <v>0.22067818911622297</v>
      </c>
    </row>
    <row r="210" spans="1:15" hidden="1">
      <c r="A210">
        <v>208</v>
      </c>
      <c r="B210">
        <f t="shared" si="39"/>
        <v>0.06</v>
      </c>
      <c r="C210" s="10">
        <f t="shared" si="40"/>
        <v>0.03</v>
      </c>
      <c r="D210" s="10">
        <f t="shared" si="41"/>
        <v>0.06</v>
      </c>
      <c r="E210" s="10">
        <f t="shared" si="42"/>
        <v>0.09</v>
      </c>
      <c r="F210" s="25">
        <f t="shared" si="43"/>
        <v>2.5350486138366879E-3</v>
      </c>
      <c r="G210" s="8">
        <f t="shared" si="44"/>
        <v>0.99746495138616331</v>
      </c>
      <c r="H210" s="13">
        <f t="shared" si="45"/>
        <v>5.1430128318229462E-3</v>
      </c>
      <c r="I210" s="8">
        <f t="shared" si="46"/>
        <v>0.99485698716817705</v>
      </c>
      <c r="J210" s="14">
        <f t="shared" si="47"/>
        <v>7.8284203424832111E-3</v>
      </c>
      <c r="K210" s="8">
        <f t="shared" si="48"/>
        <v>0.99217157965751679</v>
      </c>
      <c r="L210" s="21">
        <v>208</v>
      </c>
      <c r="M210" s="5">
        <f t="shared" si="49"/>
        <v>0.61203754247918418</v>
      </c>
      <c r="N210" s="5">
        <f t="shared" si="50"/>
        <v>0.36900532485689547</v>
      </c>
      <c r="O210" s="5">
        <f t="shared" si="51"/>
        <v>0.21895062749140318</v>
      </c>
    </row>
    <row r="211" spans="1:15" hidden="1">
      <c r="A211">
        <v>209</v>
      </c>
      <c r="B211">
        <f t="shared" si="39"/>
        <v>0.06</v>
      </c>
      <c r="C211" s="10">
        <f t="shared" si="40"/>
        <v>0.03</v>
      </c>
      <c r="D211" s="10">
        <f t="shared" si="41"/>
        <v>0.06</v>
      </c>
      <c r="E211" s="10">
        <f t="shared" si="42"/>
        <v>0.09</v>
      </c>
      <c r="F211" s="25">
        <f t="shared" si="43"/>
        <v>2.5350486138366879E-3</v>
      </c>
      <c r="G211" s="8">
        <f t="shared" si="44"/>
        <v>0.99746495138616331</v>
      </c>
      <c r="H211" s="13">
        <f t="shared" si="45"/>
        <v>5.1430128318229462E-3</v>
      </c>
      <c r="I211" s="8">
        <f t="shared" si="46"/>
        <v>0.99485698716817705</v>
      </c>
      <c r="J211" s="14">
        <f t="shared" si="47"/>
        <v>7.8284203424832111E-3</v>
      </c>
      <c r="K211" s="8">
        <f t="shared" si="48"/>
        <v>0.99217157965751679</v>
      </c>
      <c r="L211" s="21">
        <v>209</v>
      </c>
      <c r="M211" s="5">
        <f t="shared" si="49"/>
        <v>0.61048599755550637</v>
      </c>
      <c r="N211" s="5">
        <f t="shared" si="50"/>
        <v>0.36710752573614547</v>
      </c>
      <c r="O211" s="5">
        <f t="shared" si="51"/>
        <v>0.21723658994515002</v>
      </c>
    </row>
    <row r="212" spans="1:15" hidden="1">
      <c r="A212">
        <v>210</v>
      </c>
      <c r="B212">
        <f t="shared" si="39"/>
        <v>0.06</v>
      </c>
      <c r="C212" s="10">
        <f t="shared" si="40"/>
        <v>0.03</v>
      </c>
      <c r="D212" s="10">
        <f t="shared" si="41"/>
        <v>0.06</v>
      </c>
      <c r="E212" s="10">
        <f t="shared" si="42"/>
        <v>0.09</v>
      </c>
      <c r="F212" s="25">
        <f t="shared" si="43"/>
        <v>2.5350486138366879E-3</v>
      </c>
      <c r="G212" s="8">
        <f t="shared" si="44"/>
        <v>0.99746495138616331</v>
      </c>
      <c r="H212" s="13">
        <f t="shared" si="45"/>
        <v>5.1430128318229462E-3</v>
      </c>
      <c r="I212" s="8">
        <f t="shared" si="46"/>
        <v>0.99485698716817705</v>
      </c>
      <c r="J212" s="14">
        <f t="shared" si="47"/>
        <v>7.8284203424832111E-3</v>
      </c>
      <c r="K212" s="8">
        <f t="shared" si="48"/>
        <v>0.99217157965751679</v>
      </c>
      <c r="L212" s="21">
        <v>210</v>
      </c>
      <c r="M212" s="5">
        <f t="shared" si="49"/>
        <v>0.60893838587363658</v>
      </c>
      <c r="N212" s="5">
        <f t="shared" si="50"/>
        <v>0.36521948702062568</v>
      </c>
      <c r="O212" s="5">
        <f t="shared" si="51"/>
        <v>0.21553597060529173</v>
      </c>
    </row>
    <row r="213" spans="1:15" hidden="1">
      <c r="A213">
        <v>211</v>
      </c>
      <c r="B213">
        <f t="shared" si="39"/>
        <v>0.06</v>
      </c>
      <c r="C213" s="10">
        <f t="shared" si="40"/>
        <v>0.03</v>
      </c>
      <c r="D213" s="10">
        <f t="shared" si="41"/>
        <v>0.06</v>
      </c>
      <c r="E213" s="10">
        <f t="shared" si="42"/>
        <v>0.09</v>
      </c>
      <c r="F213" s="25">
        <f t="shared" si="43"/>
        <v>2.5350486138366879E-3</v>
      </c>
      <c r="G213" s="8">
        <f t="shared" si="44"/>
        <v>0.99746495138616331</v>
      </c>
      <c r="H213" s="13">
        <f t="shared" si="45"/>
        <v>5.1430128318229462E-3</v>
      </c>
      <c r="I213" s="8">
        <f t="shared" si="46"/>
        <v>0.99485698716817705</v>
      </c>
      <c r="J213" s="14">
        <f t="shared" si="47"/>
        <v>7.8284203424832111E-3</v>
      </c>
      <c r="K213" s="8">
        <f t="shared" si="48"/>
        <v>0.99217157965751679</v>
      </c>
      <c r="L213" s="21">
        <v>211</v>
      </c>
      <c r="M213" s="5">
        <f t="shared" si="49"/>
        <v>0.60739469746261565</v>
      </c>
      <c r="N213" s="5">
        <f t="shared" si="50"/>
        <v>0.3633411585124468</v>
      </c>
      <c r="O213" s="5">
        <f t="shared" si="51"/>
        <v>0.21384866442846839</v>
      </c>
    </row>
    <row r="214" spans="1:15" hidden="1">
      <c r="A214">
        <v>212</v>
      </c>
      <c r="B214">
        <f t="shared" si="39"/>
        <v>0.06</v>
      </c>
      <c r="C214" s="10">
        <f t="shared" si="40"/>
        <v>0.03</v>
      </c>
      <c r="D214" s="10">
        <f t="shared" si="41"/>
        <v>0.06</v>
      </c>
      <c r="E214" s="10">
        <f t="shared" si="42"/>
        <v>0.09</v>
      </c>
      <c r="F214" s="25">
        <f t="shared" si="43"/>
        <v>2.5350486138366879E-3</v>
      </c>
      <c r="G214" s="8">
        <f t="shared" si="44"/>
        <v>0.99746495138616331</v>
      </c>
      <c r="H214" s="13">
        <f t="shared" si="45"/>
        <v>5.1430128318229462E-3</v>
      </c>
      <c r="I214" s="8">
        <f t="shared" si="46"/>
        <v>0.99485698716817705</v>
      </c>
      <c r="J214" s="14">
        <f t="shared" si="47"/>
        <v>7.8284203424832111E-3</v>
      </c>
      <c r="K214" s="8">
        <f t="shared" si="48"/>
        <v>0.99217157965751679</v>
      </c>
      <c r="L214" s="21">
        <v>212</v>
      </c>
      <c r="M214" s="5">
        <f t="shared" si="49"/>
        <v>0.60585492237676131</v>
      </c>
      <c r="N214" s="5">
        <f t="shared" si="50"/>
        <v>0.36147249027188788</v>
      </c>
      <c r="O214" s="5">
        <f t="shared" si="51"/>
        <v>0.21217456719364369</v>
      </c>
    </row>
    <row r="215" spans="1:15" hidden="1">
      <c r="A215">
        <v>213</v>
      </c>
      <c r="B215">
        <f t="shared" si="39"/>
        <v>0.06</v>
      </c>
      <c r="C215" s="10">
        <f t="shared" si="40"/>
        <v>0.03</v>
      </c>
      <c r="D215" s="10">
        <f t="shared" si="41"/>
        <v>0.06</v>
      </c>
      <c r="E215" s="10">
        <f t="shared" si="42"/>
        <v>0.09</v>
      </c>
      <c r="F215" s="25">
        <f t="shared" si="43"/>
        <v>2.5350486138366879E-3</v>
      </c>
      <c r="G215" s="8">
        <f t="shared" si="44"/>
        <v>0.99746495138616331</v>
      </c>
      <c r="H215" s="13">
        <f t="shared" si="45"/>
        <v>5.1430128318229462E-3</v>
      </c>
      <c r="I215" s="8">
        <f t="shared" si="46"/>
        <v>0.99485698716817705</v>
      </c>
      <c r="J215" s="14">
        <f t="shared" si="47"/>
        <v>7.8284203424832111E-3</v>
      </c>
      <c r="K215" s="8">
        <f t="shared" si="48"/>
        <v>0.99217157965751679</v>
      </c>
      <c r="L215" s="21">
        <v>213</v>
      </c>
      <c r="M215" s="5">
        <f t="shared" si="49"/>
        <v>0.60431905069560399</v>
      </c>
      <c r="N215" s="5">
        <f t="shared" si="50"/>
        <v>0.35961343261606854</v>
      </c>
      <c r="O215" s="5">
        <f t="shared" si="51"/>
        <v>0.2105135754956674</v>
      </c>
    </row>
    <row r="216" spans="1:15" hidden="1">
      <c r="A216">
        <v>214</v>
      </c>
      <c r="B216">
        <f t="shared" si="39"/>
        <v>0.06</v>
      </c>
      <c r="C216" s="10">
        <f t="shared" si="40"/>
        <v>0.03</v>
      </c>
      <c r="D216" s="10">
        <f t="shared" si="41"/>
        <v>0.06</v>
      </c>
      <c r="E216" s="10">
        <f t="shared" si="42"/>
        <v>0.09</v>
      </c>
      <c r="F216" s="25">
        <f t="shared" si="43"/>
        <v>2.5350486138366879E-3</v>
      </c>
      <c r="G216" s="8">
        <f t="shared" si="44"/>
        <v>0.99746495138616331</v>
      </c>
      <c r="H216" s="13">
        <f t="shared" si="45"/>
        <v>5.1430128318229462E-3</v>
      </c>
      <c r="I216" s="8">
        <f t="shared" si="46"/>
        <v>0.99485698716817705</v>
      </c>
      <c r="J216" s="14">
        <f t="shared" si="47"/>
        <v>7.8284203424832111E-3</v>
      </c>
      <c r="K216" s="8">
        <f t="shared" si="48"/>
        <v>0.99217157965751679</v>
      </c>
      <c r="L216" s="21">
        <v>214</v>
      </c>
      <c r="M216" s="5">
        <f t="shared" si="49"/>
        <v>0.60278707252382302</v>
      </c>
      <c r="N216" s="5">
        <f t="shared" si="50"/>
        <v>0.35776393611762819</v>
      </c>
      <c r="O216" s="5">
        <f t="shared" si="51"/>
        <v>0.20886558673888825</v>
      </c>
    </row>
    <row r="217" spans="1:15" hidden="1">
      <c r="A217">
        <v>215</v>
      </c>
      <c r="B217">
        <f t="shared" si="39"/>
        <v>0.06</v>
      </c>
      <c r="C217" s="10">
        <f t="shared" si="40"/>
        <v>0.03</v>
      </c>
      <c r="D217" s="10">
        <f t="shared" si="41"/>
        <v>0.06</v>
      </c>
      <c r="E217" s="10">
        <f t="shared" si="42"/>
        <v>0.09</v>
      </c>
      <c r="F217" s="25">
        <f t="shared" si="43"/>
        <v>2.5350486138366879E-3</v>
      </c>
      <c r="G217" s="8">
        <f t="shared" si="44"/>
        <v>0.99746495138616331</v>
      </c>
      <c r="H217" s="13">
        <f t="shared" si="45"/>
        <v>5.1430128318229462E-3</v>
      </c>
      <c r="I217" s="8">
        <f t="shared" si="46"/>
        <v>0.99485698716817705</v>
      </c>
      <c r="J217" s="14">
        <f t="shared" si="47"/>
        <v>7.8284203424832111E-3</v>
      </c>
      <c r="K217" s="8">
        <f t="shared" si="48"/>
        <v>0.99217157965751679</v>
      </c>
      <c r="L217" s="21">
        <v>215</v>
      </c>
      <c r="M217" s="5">
        <f t="shared" si="49"/>
        <v>0.60125897799118277</v>
      </c>
      <c r="N217" s="5">
        <f t="shared" si="50"/>
        <v>0.35592395160341173</v>
      </c>
      <c r="O217" s="5">
        <f t="shared" si="51"/>
        <v>0.20723049913081684</v>
      </c>
    </row>
    <row r="218" spans="1:15" hidden="1">
      <c r="A218">
        <v>216</v>
      </c>
      <c r="B218">
        <f t="shared" si="39"/>
        <v>0.06</v>
      </c>
      <c r="C218" s="10">
        <f t="shared" si="40"/>
        <v>0.03</v>
      </c>
      <c r="D218" s="10">
        <f t="shared" si="41"/>
        <v>0.06</v>
      </c>
      <c r="E218" s="10">
        <f t="shared" si="42"/>
        <v>0.09</v>
      </c>
      <c r="F218" s="25">
        <f t="shared" si="43"/>
        <v>2.5350486138366879E-3</v>
      </c>
      <c r="G218" s="8">
        <f t="shared" si="44"/>
        <v>0.99746495138616331</v>
      </c>
      <c r="H218" s="13">
        <f t="shared" si="45"/>
        <v>5.1430128318229462E-3</v>
      </c>
      <c r="I218" s="8">
        <f t="shared" si="46"/>
        <v>0.99485698716817705</v>
      </c>
      <c r="J218" s="14">
        <f t="shared" si="47"/>
        <v>7.8284203424832111E-3</v>
      </c>
      <c r="K218" s="8">
        <f t="shared" si="48"/>
        <v>0.99217157965751679</v>
      </c>
      <c r="L218" s="21">
        <v>216</v>
      </c>
      <c r="M218" s="5">
        <f t="shared" si="49"/>
        <v>0.59973475725246939</v>
      </c>
      <c r="N218" s="5">
        <f t="shared" si="50"/>
        <v>0.35409343015316225</v>
      </c>
      <c r="O218" s="5">
        <f t="shared" si="51"/>
        <v>0.2056082116758382</v>
      </c>
    </row>
    <row r="219" spans="1:15" hidden="1">
      <c r="A219">
        <v>217</v>
      </c>
      <c r="B219">
        <f t="shared" si="39"/>
        <v>0.06</v>
      </c>
      <c r="C219" s="10">
        <f t="shared" si="40"/>
        <v>0.03</v>
      </c>
      <c r="D219" s="10">
        <f t="shared" si="41"/>
        <v>0.06</v>
      </c>
      <c r="E219" s="10">
        <f t="shared" si="42"/>
        <v>0.09</v>
      </c>
      <c r="F219" s="25">
        <f t="shared" si="43"/>
        <v>2.5350486138366879E-3</v>
      </c>
      <c r="G219" s="8">
        <f t="shared" si="44"/>
        <v>0.99746495138616331</v>
      </c>
      <c r="H219" s="13">
        <f t="shared" si="45"/>
        <v>5.1430128318229462E-3</v>
      </c>
      <c r="I219" s="8">
        <f t="shared" si="46"/>
        <v>0.99485698716817705</v>
      </c>
      <c r="J219" s="14">
        <f t="shared" si="47"/>
        <v>7.8284203424832111E-3</v>
      </c>
      <c r="K219" s="8">
        <f t="shared" si="48"/>
        <v>0.99217157965751679</v>
      </c>
      <c r="L219" s="21">
        <v>217</v>
      </c>
      <c r="M219" s="5">
        <f t="shared" si="49"/>
        <v>0.5982144004874268</v>
      </c>
      <c r="N219" s="5">
        <f t="shared" si="50"/>
        <v>0.35227232309822032</v>
      </c>
      <c r="O219" s="5">
        <f t="shared" si="51"/>
        <v>0.20399862416897349</v>
      </c>
    </row>
    <row r="220" spans="1:15" hidden="1">
      <c r="A220">
        <v>218</v>
      </c>
      <c r="B220">
        <f t="shared" si="39"/>
        <v>0.06</v>
      </c>
      <c r="C220" s="10">
        <f t="shared" si="40"/>
        <v>0.03</v>
      </c>
      <c r="D220" s="10">
        <f t="shared" si="41"/>
        <v>0.06</v>
      </c>
      <c r="E220" s="10">
        <f t="shared" si="42"/>
        <v>0.09</v>
      </c>
      <c r="F220" s="25">
        <f t="shared" si="43"/>
        <v>2.5350486138366879E-3</v>
      </c>
      <c r="G220" s="8">
        <f t="shared" si="44"/>
        <v>0.99746495138616331</v>
      </c>
      <c r="H220" s="13">
        <f t="shared" si="45"/>
        <v>5.1430128318229462E-3</v>
      </c>
      <c r="I220" s="8">
        <f t="shared" si="46"/>
        <v>0.99485698716817705</v>
      </c>
      <c r="J220" s="14">
        <f t="shared" si="47"/>
        <v>7.8284203424832111E-3</v>
      </c>
      <c r="K220" s="8">
        <f t="shared" si="48"/>
        <v>0.99217157965751679</v>
      </c>
      <c r="L220" s="21">
        <v>218</v>
      </c>
      <c r="M220" s="5">
        <f t="shared" si="49"/>
        <v>0.59669789790069405</v>
      </c>
      <c r="N220" s="5">
        <f t="shared" si="50"/>
        <v>0.35046058202023012</v>
      </c>
      <c r="O220" s="5">
        <f t="shared" si="51"/>
        <v>0.20240163718969051</v>
      </c>
    </row>
    <row r="221" spans="1:15" hidden="1">
      <c r="A221">
        <v>219</v>
      </c>
      <c r="B221">
        <f t="shared" si="39"/>
        <v>0.06</v>
      </c>
      <c r="C221" s="10">
        <f t="shared" si="40"/>
        <v>0.03</v>
      </c>
      <c r="D221" s="10">
        <f t="shared" si="41"/>
        <v>0.06</v>
      </c>
      <c r="E221" s="10">
        <f t="shared" si="42"/>
        <v>0.09</v>
      </c>
      <c r="F221" s="25">
        <f t="shared" si="43"/>
        <v>2.5350486138366879E-3</v>
      </c>
      <c r="G221" s="8">
        <f t="shared" si="44"/>
        <v>0.99746495138616331</v>
      </c>
      <c r="H221" s="13">
        <f t="shared" si="45"/>
        <v>5.1430128318229462E-3</v>
      </c>
      <c r="I221" s="8">
        <f t="shared" si="46"/>
        <v>0.99485698716817705</v>
      </c>
      <c r="J221" s="14">
        <f t="shared" si="47"/>
        <v>7.8284203424832111E-3</v>
      </c>
      <c r="K221" s="8">
        <f t="shared" si="48"/>
        <v>0.99217157965751679</v>
      </c>
      <c r="L221" s="21">
        <v>219</v>
      </c>
      <c r="M221" s="5">
        <f t="shared" si="49"/>
        <v>0.59518523972174164</v>
      </c>
      <c r="N221" s="5">
        <f t="shared" si="50"/>
        <v>0.34865815874985195</v>
      </c>
      <c r="O221" s="5">
        <f t="shared" si="51"/>
        <v>0.20081715209576284</v>
      </c>
    </row>
    <row r="222" spans="1:15" hidden="1">
      <c r="A222">
        <v>220</v>
      </c>
      <c r="B222">
        <f t="shared" si="39"/>
        <v>0.06</v>
      </c>
      <c r="C222" s="10">
        <f t="shared" si="40"/>
        <v>0.03</v>
      </c>
      <c r="D222" s="10">
        <f t="shared" si="41"/>
        <v>0.06</v>
      </c>
      <c r="E222" s="10">
        <f t="shared" si="42"/>
        <v>0.09</v>
      </c>
      <c r="F222" s="25">
        <f t="shared" si="43"/>
        <v>2.5350486138366879E-3</v>
      </c>
      <c r="G222" s="8">
        <f t="shared" si="44"/>
        <v>0.99746495138616331</v>
      </c>
      <c r="H222" s="13">
        <f t="shared" si="45"/>
        <v>5.1430128318229462E-3</v>
      </c>
      <c r="I222" s="8">
        <f t="shared" si="46"/>
        <v>0.99485698716817705</v>
      </c>
      <c r="J222" s="14">
        <f t="shared" si="47"/>
        <v>7.8284203424832111E-3</v>
      </c>
      <c r="K222" s="8">
        <f t="shared" si="48"/>
        <v>0.99217157965751679</v>
      </c>
      <c r="L222" s="21">
        <v>220</v>
      </c>
      <c r="M222" s="5">
        <f t="shared" si="49"/>
        <v>0.59367641620480893</v>
      </c>
      <c r="N222" s="5">
        <f t="shared" si="50"/>
        <v>0.3468650053654817</v>
      </c>
      <c r="O222" s="5">
        <f t="shared" si="51"/>
        <v>0.19924507101717684</v>
      </c>
    </row>
    <row r="223" spans="1:15" hidden="1">
      <c r="A223">
        <v>221</v>
      </c>
      <c r="B223">
        <f t="shared" si="39"/>
        <v>0.06</v>
      </c>
      <c r="C223" s="10">
        <f t="shared" si="40"/>
        <v>0.03</v>
      </c>
      <c r="D223" s="10">
        <f t="shared" si="41"/>
        <v>0.06</v>
      </c>
      <c r="E223" s="10">
        <f t="shared" si="42"/>
        <v>0.09</v>
      </c>
      <c r="F223" s="25">
        <f t="shared" si="43"/>
        <v>2.5350486138366879E-3</v>
      </c>
      <c r="G223" s="8">
        <f t="shared" si="44"/>
        <v>0.99746495138616331</v>
      </c>
      <c r="H223" s="13">
        <f t="shared" si="45"/>
        <v>5.1430128318229462E-3</v>
      </c>
      <c r="I223" s="8">
        <f t="shared" si="46"/>
        <v>0.99485698716817705</v>
      </c>
      <c r="J223" s="14">
        <f t="shared" si="47"/>
        <v>7.8284203424832111E-3</v>
      </c>
      <c r="K223" s="8">
        <f t="shared" si="48"/>
        <v>0.99217157965751679</v>
      </c>
      <c r="L223" s="21">
        <v>221</v>
      </c>
      <c r="M223" s="5">
        <f t="shared" si="49"/>
        <v>0.5921714176288414</v>
      </c>
      <c r="N223" s="5">
        <f t="shared" si="50"/>
        <v>0.3450810741919767</v>
      </c>
      <c r="O223" s="5">
        <f t="shared" si="51"/>
        <v>0.19768529685008646</v>
      </c>
    </row>
    <row r="224" spans="1:15" hidden="1">
      <c r="A224">
        <v>222</v>
      </c>
      <c r="B224">
        <f t="shared" si="39"/>
        <v>0.06</v>
      </c>
      <c r="C224" s="10">
        <f t="shared" si="40"/>
        <v>0.03</v>
      </c>
      <c r="D224" s="10">
        <f t="shared" si="41"/>
        <v>0.06</v>
      </c>
      <c r="E224" s="10">
        <f t="shared" si="42"/>
        <v>0.09</v>
      </c>
      <c r="F224" s="25">
        <f t="shared" si="43"/>
        <v>2.5350486138366879E-3</v>
      </c>
      <c r="G224" s="8">
        <f t="shared" si="44"/>
        <v>0.99746495138616331</v>
      </c>
      <c r="H224" s="13">
        <f t="shared" si="45"/>
        <v>5.1430128318229462E-3</v>
      </c>
      <c r="I224" s="8">
        <f t="shared" si="46"/>
        <v>0.99485698716817705</v>
      </c>
      <c r="J224" s="14">
        <f t="shared" si="47"/>
        <v>7.8284203424832111E-3</v>
      </c>
      <c r="K224" s="8">
        <f t="shared" si="48"/>
        <v>0.99217157965751679</v>
      </c>
      <c r="L224" s="21">
        <v>222</v>
      </c>
      <c r="M224" s="5">
        <f t="shared" si="49"/>
        <v>0.59067023429742771</v>
      </c>
      <c r="N224" s="5">
        <f t="shared" si="50"/>
        <v>0.34330631779938814</v>
      </c>
      <c r="O224" s="5">
        <f t="shared" si="51"/>
        <v>0.1961377332508154</v>
      </c>
    </row>
    <row r="225" spans="1:15" hidden="1">
      <c r="A225">
        <v>223</v>
      </c>
      <c r="B225">
        <f t="shared" si="39"/>
        <v>0.06</v>
      </c>
      <c r="C225" s="10">
        <f t="shared" si="40"/>
        <v>0.03</v>
      </c>
      <c r="D225" s="10">
        <f t="shared" si="41"/>
        <v>0.06</v>
      </c>
      <c r="E225" s="10">
        <f t="shared" si="42"/>
        <v>0.09</v>
      </c>
      <c r="F225" s="25">
        <f t="shared" si="43"/>
        <v>2.5350486138366879E-3</v>
      </c>
      <c r="G225" s="8">
        <f t="shared" si="44"/>
        <v>0.99746495138616331</v>
      </c>
      <c r="H225" s="13">
        <f t="shared" si="45"/>
        <v>5.1430128318229462E-3</v>
      </c>
      <c r="I225" s="8">
        <f t="shared" si="46"/>
        <v>0.99485698716817705</v>
      </c>
      <c r="J225" s="14">
        <f t="shared" si="47"/>
        <v>7.8284203424832111E-3</v>
      </c>
      <c r="K225" s="8">
        <f t="shared" si="48"/>
        <v>0.99217157965751679</v>
      </c>
      <c r="L225" s="21">
        <v>223</v>
      </c>
      <c r="M225" s="5">
        <f t="shared" si="49"/>
        <v>0.58917285653873741</v>
      </c>
      <c r="N225" s="5">
        <f t="shared" si="50"/>
        <v>0.34154068900169998</v>
      </c>
      <c r="O225" s="5">
        <f t="shared" si="51"/>
        <v>0.19460228462990617</v>
      </c>
    </row>
    <row r="226" spans="1:15" hidden="1">
      <c r="A226">
        <v>224</v>
      </c>
      <c r="B226">
        <f t="shared" si="39"/>
        <v>0.06</v>
      </c>
      <c r="C226" s="10">
        <f t="shared" si="40"/>
        <v>0.03</v>
      </c>
      <c r="D226" s="10">
        <f t="shared" si="41"/>
        <v>0.06</v>
      </c>
      <c r="E226" s="10">
        <f t="shared" si="42"/>
        <v>0.09</v>
      </c>
      <c r="F226" s="25">
        <f t="shared" si="43"/>
        <v>2.5350486138366879E-3</v>
      </c>
      <c r="G226" s="8">
        <f t="shared" si="44"/>
        <v>0.99746495138616331</v>
      </c>
      <c r="H226" s="13">
        <f t="shared" si="45"/>
        <v>5.1430128318229462E-3</v>
      </c>
      <c r="I226" s="8">
        <f t="shared" si="46"/>
        <v>0.99485698716817705</v>
      </c>
      <c r="J226" s="14">
        <f t="shared" si="47"/>
        <v>7.8284203424832111E-3</v>
      </c>
      <c r="K226" s="8">
        <f t="shared" si="48"/>
        <v>0.99217157965751679</v>
      </c>
      <c r="L226" s="21">
        <v>224</v>
      </c>
      <c r="M226" s="5">
        <f t="shared" si="49"/>
        <v>0.58767927470545867</v>
      </c>
      <c r="N226" s="5">
        <f t="shared" si="50"/>
        <v>0.33978414085557457</v>
      </c>
      <c r="O226" s="5">
        <f t="shared" si="51"/>
        <v>0.1930788561462157</v>
      </c>
    </row>
    <row r="227" spans="1:15" hidden="1">
      <c r="A227">
        <v>225</v>
      </c>
      <c r="B227">
        <f t="shared" si="39"/>
        <v>0.06</v>
      </c>
      <c r="C227" s="10">
        <f t="shared" si="40"/>
        <v>0.03</v>
      </c>
      <c r="D227" s="10">
        <f t="shared" si="41"/>
        <v>0.06</v>
      </c>
      <c r="E227" s="10">
        <f t="shared" si="42"/>
        <v>0.09</v>
      </c>
      <c r="F227" s="25">
        <f t="shared" si="43"/>
        <v>2.5350486138366879E-3</v>
      </c>
      <c r="G227" s="8">
        <f t="shared" si="44"/>
        <v>0.99746495138616331</v>
      </c>
      <c r="H227" s="13">
        <f t="shared" si="45"/>
        <v>5.1430128318229462E-3</v>
      </c>
      <c r="I227" s="8">
        <f t="shared" si="46"/>
        <v>0.99485698716817705</v>
      </c>
      <c r="J227" s="14">
        <f t="shared" si="47"/>
        <v>7.8284203424832111E-3</v>
      </c>
      <c r="K227" s="8">
        <f t="shared" si="48"/>
        <v>0.99217157965751679</v>
      </c>
      <c r="L227" s="21">
        <v>225</v>
      </c>
      <c r="M227" s="5">
        <f t="shared" si="49"/>
        <v>0.58618947917473607</v>
      </c>
      <c r="N227" s="5">
        <f t="shared" si="50"/>
        <v>0.33803662665910439</v>
      </c>
      <c r="O227" s="5">
        <f t="shared" si="51"/>
        <v>0.19156735370105726</v>
      </c>
    </row>
    <row r="228" spans="1:15" hidden="1">
      <c r="A228">
        <v>226</v>
      </c>
      <c r="B228">
        <f t="shared" si="39"/>
        <v>0.06</v>
      </c>
      <c r="C228" s="10">
        <f t="shared" si="40"/>
        <v>0.03</v>
      </c>
      <c r="D228" s="10">
        <f t="shared" si="41"/>
        <v>0.06</v>
      </c>
      <c r="E228" s="10">
        <f t="shared" si="42"/>
        <v>0.09</v>
      </c>
      <c r="F228" s="25">
        <f t="shared" si="43"/>
        <v>2.5350486138366879E-3</v>
      </c>
      <c r="G228" s="8">
        <f t="shared" si="44"/>
        <v>0.99746495138616331</v>
      </c>
      <c r="H228" s="13">
        <f t="shared" si="45"/>
        <v>5.1430128318229462E-3</v>
      </c>
      <c r="I228" s="8">
        <f t="shared" si="46"/>
        <v>0.99485698716817705</v>
      </c>
      <c r="J228" s="14">
        <f t="shared" si="47"/>
        <v>7.8284203424832111E-3</v>
      </c>
      <c r="K228" s="8">
        <f t="shared" si="48"/>
        <v>0.99217157965751679</v>
      </c>
      <c r="L228" s="21">
        <v>226</v>
      </c>
      <c r="M228" s="5">
        <f t="shared" si="49"/>
        <v>0.58470346034810849</v>
      </c>
      <c r="N228" s="5">
        <f t="shared" si="50"/>
        <v>0.33629809995057047</v>
      </c>
      <c r="O228" s="5">
        <f t="shared" si="51"/>
        <v>0.19006768393238824</v>
      </c>
    </row>
    <row r="229" spans="1:15" hidden="1">
      <c r="A229">
        <v>227</v>
      </c>
      <c r="B229">
        <f t="shared" si="39"/>
        <v>0.06</v>
      </c>
      <c r="C229" s="10">
        <f t="shared" si="40"/>
        <v>0.03</v>
      </c>
      <c r="D229" s="10">
        <f t="shared" si="41"/>
        <v>0.06</v>
      </c>
      <c r="E229" s="10">
        <f t="shared" si="42"/>
        <v>0.09</v>
      </c>
      <c r="F229" s="25">
        <f t="shared" si="43"/>
        <v>2.5350486138366879E-3</v>
      </c>
      <c r="G229" s="8">
        <f t="shared" si="44"/>
        <v>0.99746495138616331</v>
      </c>
      <c r="H229" s="13">
        <f t="shared" si="45"/>
        <v>5.1430128318229462E-3</v>
      </c>
      <c r="I229" s="8">
        <f t="shared" si="46"/>
        <v>0.99485698716817705</v>
      </c>
      <c r="J229" s="14">
        <f t="shared" si="47"/>
        <v>7.8284203424832111E-3</v>
      </c>
      <c r="K229" s="8">
        <f t="shared" si="48"/>
        <v>0.99217157965751679</v>
      </c>
      <c r="L229" s="21">
        <v>227</v>
      </c>
      <c r="M229" s="5">
        <f t="shared" si="49"/>
        <v>0.58322120865144755</v>
      </c>
      <c r="N229" s="5">
        <f t="shared" si="50"/>
        <v>0.33456851450720704</v>
      </c>
      <c r="O229" s="5">
        <f t="shared" si="51"/>
        <v>0.18857975420904327</v>
      </c>
    </row>
    <row r="230" spans="1:15" hidden="1">
      <c r="A230">
        <v>228</v>
      </c>
      <c r="B230">
        <f t="shared" si="39"/>
        <v>0.06</v>
      </c>
      <c r="C230" s="10">
        <f t="shared" si="40"/>
        <v>0.03</v>
      </c>
      <c r="D230" s="10">
        <f t="shared" si="41"/>
        <v>0.06</v>
      </c>
      <c r="E230" s="10">
        <f t="shared" si="42"/>
        <v>0.09</v>
      </c>
      <c r="F230" s="25">
        <f t="shared" si="43"/>
        <v>2.5350486138366879E-3</v>
      </c>
      <c r="G230" s="8">
        <f t="shared" si="44"/>
        <v>0.99746495138616331</v>
      </c>
      <c r="H230" s="13">
        <f t="shared" si="45"/>
        <v>5.1430128318229462E-3</v>
      </c>
      <c r="I230" s="8">
        <f t="shared" si="46"/>
        <v>0.99485698716817705</v>
      </c>
      <c r="J230" s="14">
        <f t="shared" si="47"/>
        <v>7.8284203424832111E-3</v>
      </c>
      <c r="K230" s="8">
        <f t="shared" si="48"/>
        <v>0.99217157965751679</v>
      </c>
      <c r="L230" s="21">
        <v>228</v>
      </c>
      <c r="M230" s="5">
        <f t="shared" si="49"/>
        <v>0.58174271453489557</v>
      </c>
      <c r="N230" s="5">
        <f t="shared" si="50"/>
        <v>0.33284782434397253</v>
      </c>
      <c r="O230" s="5">
        <f t="shared" si="51"/>
        <v>0.1871034726250127</v>
      </c>
    </row>
    <row r="231" spans="1:15" hidden="1">
      <c r="A231">
        <v>229</v>
      </c>
      <c r="B231">
        <f t="shared" si="39"/>
        <v>0.06</v>
      </c>
      <c r="C231" s="10">
        <f t="shared" si="40"/>
        <v>0.03</v>
      </c>
      <c r="D231" s="10">
        <f t="shared" si="41"/>
        <v>0.06</v>
      </c>
      <c r="E231" s="10">
        <f t="shared" si="42"/>
        <v>0.09</v>
      </c>
      <c r="F231" s="25">
        <f t="shared" si="43"/>
        <v>2.5350486138366879E-3</v>
      </c>
      <c r="G231" s="8">
        <f t="shared" si="44"/>
        <v>0.99746495138616331</v>
      </c>
      <c r="H231" s="13">
        <f t="shared" si="45"/>
        <v>5.1430128318229462E-3</v>
      </c>
      <c r="I231" s="8">
        <f t="shared" si="46"/>
        <v>0.99485698716817705</v>
      </c>
      <c r="J231" s="14">
        <f t="shared" si="47"/>
        <v>7.8284203424832111E-3</v>
      </c>
      <c r="K231" s="8">
        <f t="shared" si="48"/>
        <v>0.99217157965751679</v>
      </c>
      <c r="L231" s="21">
        <v>229</v>
      </c>
      <c r="M231" s="5">
        <f t="shared" si="49"/>
        <v>0.58026796847280426</v>
      </c>
      <c r="N231" s="5">
        <f t="shared" si="50"/>
        <v>0.33113598371232711</v>
      </c>
      <c r="O231" s="5">
        <f t="shared" si="51"/>
        <v>0.18563874799376581</v>
      </c>
    </row>
    <row r="232" spans="1:15" hidden="1">
      <c r="A232">
        <v>230</v>
      </c>
      <c r="B232">
        <f t="shared" si="39"/>
        <v>0.06</v>
      </c>
      <c r="C232" s="10">
        <f t="shared" si="40"/>
        <v>0.03</v>
      </c>
      <c r="D232" s="10">
        <f t="shared" si="41"/>
        <v>0.06</v>
      </c>
      <c r="E232" s="10">
        <f t="shared" si="42"/>
        <v>0.09</v>
      </c>
      <c r="F232" s="25">
        <f t="shared" si="43"/>
        <v>2.5350486138366879E-3</v>
      </c>
      <c r="G232" s="8">
        <f t="shared" si="44"/>
        <v>0.99746495138616331</v>
      </c>
      <c r="H232" s="13">
        <f t="shared" si="45"/>
        <v>5.1430128318229462E-3</v>
      </c>
      <c r="I232" s="8">
        <f t="shared" si="46"/>
        <v>0.99485698716817705</v>
      </c>
      <c r="J232" s="14">
        <f t="shared" si="47"/>
        <v>7.8284203424832111E-3</v>
      </c>
      <c r="K232" s="8">
        <f t="shared" si="48"/>
        <v>0.99217157965751679</v>
      </c>
      <c r="L232" s="21">
        <v>230</v>
      </c>
      <c r="M232" s="5">
        <f t="shared" si="49"/>
        <v>0.5787969609636735</v>
      </c>
      <c r="N232" s="5">
        <f t="shared" si="50"/>
        <v>0.32943294709901627</v>
      </c>
      <c r="O232" s="5">
        <f t="shared" si="51"/>
        <v>0.18418548984261829</v>
      </c>
    </row>
    <row r="233" spans="1:15" hidden="1">
      <c r="A233">
        <v>231</v>
      </c>
      <c r="B233">
        <f t="shared" si="39"/>
        <v>0.06</v>
      </c>
      <c r="C233" s="10">
        <f t="shared" si="40"/>
        <v>0.03</v>
      </c>
      <c r="D233" s="10">
        <f t="shared" si="41"/>
        <v>0.06</v>
      </c>
      <c r="E233" s="10">
        <f t="shared" si="42"/>
        <v>0.09</v>
      </c>
      <c r="F233" s="25">
        <f t="shared" si="43"/>
        <v>2.5350486138366879E-3</v>
      </c>
      <c r="G233" s="8">
        <f t="shared" si="44"/>
        <v>0.99746495138616331</v>
      </c>
      <c r="H233" s="13">
        <f t="shared" si="45"/>
        <v>5.1430128318229462E-3</v>
      </c>
      <c r="I233" s="8">
        <f t="shared" si="46"/>
        <v>0.99485698716817705</v>
      </c>
      <c r="J233" s="14">
        <f t="shared" si="47"/>
        <v>7.8284203424832111E-3</v>
      </c>
      <c r="K233" s="8">
        <f t="shared" si="48"/>
        <v>0.99217157965751679</v>
      </c>
      <c r="L233" s="21">
        <v>231</v>
      </c>
      <c r="M233" s="5">
        <f t="shared" si="49"/>
        <v>0.57732968253008965</v>
      </c>
      <c r="N233" s="5">
        <f t="shared" si="50"/>
        <v>0.32773866922486078</v>
      </c>
      <c r="O233" s="5">
        <f t="shared" si="51"/>
        <v>0.1827436084071441</v>
      </c>
    </row>
    <row r="234" spans="1:15" hidden="1">
      <c r="A234">
        <v>232</v>
      </c>
      <c r="B234">
        <f t="shared" si="39"/>
        <v>0.06</v>
      </c>
      <c r="C234" s="10">
        <f t="shared" si="40"/>
        <v>0.03</v>
      </c>
      <c r="D234" s="10">
        <f t="shared" si="41"/>
        <v>0.06</v>
      </c>
      <c r="E234" s="10">
        <f t="shared" si="42"/>
        <v>0.09</v>
      </c>
      <c r="F234" s="25">
        <f t="shared" si="43"/>
        <v>2.5350486138366879E-3</v>
      </c>
      <c r="G234" s="8">
        <f t="shared" si="44"/>
        <v>0.99746495138616331</v>
      </c>
      <c r="H234" s="13">
        <f t="shared" si="45"/>
        <v>5.1430128318229462E-3</v>
      </c>
      <c r="I234" s="8">
        <f t="shared" si="46"/>
        <v>0.99485698716817705</v>
      </c>
      <c r="J234" s="14">
        <f t="shared" si="47"/>
        <v>7.8284203424832111E-3</v>
      </c>
      <c r="K234" s="8">
        <f t="shared" si="48"/>
        <v>0.99217157965751679</v>
      </c>
      <c r="L234" s="21">
        <v>232</v>
      </c>
      <c r="M234" s="5">
        <f t="shared" si="49"/>
        <v>0.57586612371866497</v>
      </c>
      <c r="N234" s="5">
        <f t="shared" si="50"/>
        <v>0.32605310504355273</v>
      </c>
      <c r="O234" s="5">
        <f t="shared" si="51"/>
        <v>0.18131301462563082</v>
      </c>
    </row>
    <row r="235" spans="1:15" hidden="1">
      <c r="A235">
        <v>233</v>
      </c>
      <c r="B235">
        <f t="shared" si="39"/>
        <v>0.06</v>
      </c>
      <c r="C235" s="10">
        <f t="shared" si="40"/>
        <v>0.03</v>
      </c>
      <c r="D235" s="10">
        <f t="shared" si="41"/>
        <v>0.06</v>
      </c>
      <c r="E235" s="10">
        <f t="shared" si="42"/>
        <v>0.09</v>
      </c>
      <c r="F235" s="25">
        <f t="shared" si="43"/>
        <v>2.5350486138366879E-3</v>
      </c>
      <c r="G235" s="8">
        <f t="shared" si="44"/>
        <v>0.99746495138616331</v>
      </c>
      <c r="H235" s="13">
        <f t="shared" si="45"/>
        <v>5.1430128318229462E-3</v>
      </c>
      <c r="I235" s="8">
        <f t="shared" si="46"/>
        <v>0.99485698716817705</v>
      </c>
      <c r="J235" s="14">
        <f t="shared" si="47"/>
        <v>7.8284203424832111E-3</v>
      </c>
      <c r="K235" s="8">
        <f t="shared" si="48"/>
        <v>0.99217157965751679</v>
      </c>
      <c r="L235" s="21">
        <v>233</v>
      </c>
      <c r="M235" s="5">
        <f t="shared" si="49"/>
        <v>0.57440627509997644</v>
      </c>
      <c r="N235" s="5">
        <f t="shared" si="50"/>
        <v>0.324376209740458</v>
      </c>
      <c r="O235" s="5">
        <f t="shared" si="51"/>
        <v>0.17989362013357857</v>
      </c>
    </row>
    <row r="236" spans="1:15" hidden="1">
      <c r="A236">
        <v>234</v>
      </c>
      <c r="B236">
        <f t="shared" si="39"/>
        <v>0.06</v>
      </c>
      <c r="C236" s="10">
        <f t="shared" si="40"/>
        <v>0.03</v>
      </c>
      <c r="D236" s="10">
        <f t="shared" si="41"/>
        <v>0.06</v>
      </c>
      <c r="E236" s="10">
        <f t="shared" si="42"/>
        <v>0.09</v>
      </c>
      <c r="F236" s="25">
        <f t="shared" si="43"/>
        <v>2.5350486138366879E-3</v>
      </c>
      <c r="G236" s="8">
        <f t="shared" si="44"/>
        <v>0.99746495138616331</v>
      </c>
      <c r="H236" s="13">
        <f t="shared" si="45"/>
        <v>5.1430128318229462E-3</v>
      </c>
      <c r="I236" s="8">
        <f t="shared" si="46"/>
        <v>0.99485698716817705</v>
      </c>
      <c r="J236" s="14">
        <f t="shared" si="47"/>
        <v>7.8284203424832111E-3</v>
      </c>
      <c r="K236" s="8">
        <f t="shared" si="48"/>
        <v>0.99217157965751679</v>
      </c>
      <c r="L236" s="21">
        <v>234</v>
      </c>
      <c r="M236" s="5">
        <f t="shared" si="49"/>
        <v>0.57295012726850514</v>
      </c>
      <c r="N236" s="5">
        <f t="shared" si="50"/>
        <v>0.32270793873142473</v>
      </c>
      <c r="O236" s="5">
        <f t="shared" si="51"/>
        <v>0.17848533725824192</v>
      </c>
    </row>
    <row r="237" spans="1:15" hidden="1">
      <c r="A237">
        <v>235</v>
      </c>
      <c r="B237">
        <f t="shared" si="39"/>
        <v>0.06</v>
      </c>
      <c r="C237" s="10">
        <f t="shared" si="40"/>
        <v>0.03</v>
      </c>
      <c r="D237" s="10">
        <f t="shared" si="41"/>
        <v>0.06</v>
      </c>
      <c r="E237" s="10">
        <f t="shared" si="42"/>
        <v>0.09</v>
      </c>
      <c r="F237" s="25">
        <f t="shared" si="43"/>
        <v>2.5350486138366879E-3</v>
      </c>
      <c r="G237" s="8">
        <f t="shared" si="44"/>
        <v>0.99746495138616331</v>
      </c>
      <c r="H237" s="13">
        <f t="shared" si="45"/>
        <v>5.1430128318229462E-3</v>
      </c>
      <c r="I237" s="8">
        <f t="shared" si="46"/>
        <v>0.99485698716817705</v>
      </c>
      <c r="J237" s="14">
        <f t="shared" si="47"/>
        <v>7.8284203424832111E-3</v>
      </c>
      <c r="K237" s="8">
        <f t="shared" si="48"/>
        <v>0.99217157965751679</v>
      </c>
      <c r="L237" s="21">
        <v>235</v>
      </c>
      <c r="M237" s="5">
        <f t="shared" si="49"/>
        <v>0.57149767084257552</v>
      </c>
      <c r="N237" s="5">
        <f t="shared" si="50"/>
        <v>0.3210482476615979</v>
      </c>
      <c r="O237" s="5">
        <f t="shared" si="51"/>
        <v>0.17708807901321452</v>
      </c>
    </row>
    <row r="238" spans="1:15" hidden="1">
      <c r="A238">
        <v>236</v>
      </c>
      <c r="B238">
        <f t="shared" si="39"/>
        <v>0.06</v>
      </c>
      <c r="C238" s="10">
        <f t="shared" si="40"/>
        <v>0.03</v>
      </c>
      <c r="D238" s="10">
        <f t="shared" si="41"/>
        <v>0.06</v>
      </c>
      <c r="E238" s="10">
        <f t="shared" si="42"/>
        <v>0.09</v>
      </c>
      <c r="F238" s="25">
        <f t="shared" si="43"/>
        <v>2.5350486138366879E-3</v>
      </c>
      <c r="G238" s="8">
        <f t="shared" si="44"/>
        <v>0.99746495138616331</v>
      </c>
      <c r="H238" s="13">
        <f t="shared" si="45"/>
        <v>5.1430128318229462E-3</v>
      </c>
      <c r="I238" s="8">
        <f t="shared" si="46"/>
        <v>0.99485698716817705</v>
      </c>
      <c r="J238" s="14">
        <f t="shared" si="47"/>
        <v>7.8284203424832111E-3</v>
      </c>
      <c r="K238" s="8">
        <f t="shared" si="48"/>
        <v>0.99217157965751679</v>
      </c>
      <c r="L238" s="21">
        <v>236</v>
      </c>
      <c r="M238" s="5">
        <f t="shared" si="49"/>
        <v>0.57004889646429513</v>
      </c>
      <c r="N238" s="5">
        <f t="shared" si="50"/>
        <v>0.31939709240424002</v>
      </c>
      <c r="O238" s="5">
        <f t="shared" si="51"/>
        <v>0.17570175909305619</v>
      </c>
    </row>
    <row r="239" spans="1:15" hidden="1">
      <c r="A239">
        <v>237</v>
      </c>
      <c r="B239">
        <f t="shared" si="39"/>
        <v>0.06</v>
      </c>
      <c r="C239" s="10">
        <f t="shared" si="40"/>
        <v>0.03</v>
      </c>
      <c r="D239" s="10">
        <f t="shared" si="41"/>
        <v>0.06</v>
      </c>
      <c r="E239" s="10">
        <f t="shared" si="42"/>
        <v>0.09</v>
      </c>
      <c r="F239" s="25">
        <f t="shared" si="43"/>
        <v>2.5350486138366879E-3</v>
      </c>
      <c r="G239" s="8">
        <f t="shared" si="44"/>
        <v>0.99746495138616331</v>
      </c>
      <c r="H239" s="13">
        <f t="shared" si="45"/>
        <v>5.1430128318229462E-3</v>
      </c>
      <c r="I239" s="8">
        <f t="shared" si="46"/>
        <v>0.99485698716817705</v>
      </c>
      <c r="J239" s="14">
        <f t="shared" si="47"/>
        <v>7.8284203424832111E-3</v>
      </c>
      <c r="K239" s="8">
        <f t="shared" si="48"/>
        <v>0.99217157965751679</v>
      </c>
      <c r="L239" s="21">
        <v>237</v>
      </c>
      <c r="M239" s="5">
        <f t="shared" si="49"/>
        <v>0.56860379479949419</v>
      </c>
      <c r="N239" s="5">
        <f t="shared" si="50"/>
        <v>0.31775442905955809</v>
      </c>
      <c r="O239" s="5">
        <f t="shared" si="51"/>
        <v>0.17432629186796203</v>
      </c>
    </row>
    <row r="240" spans="1:15" hidden="1">
      <c r="A240">
        <v>238</v>
      </c>
      <c r="B240">
        <f t="shared" si="39"/>
        <v>0.06</v>
      </c>
      <c r="C240" s="10">
        <f t="shared" si="40"/>
        <v>0.03</v>
      </c>
      <c r="D240" s="10">
        <f t="shared" si="41"/>
        <v>0.06</v>
      </c>
      <c r="E240" s="10">
        <f t="shared" si="42"/>
        <v>0.09</v>
      </c>
      <c r="F240" s="25">
        <f t="shared" si="43"/>
        <v>2.5350486138366879E-3</v>
      </c>
      <c r="G240" s="8">
        <f t="shared" si="44"/>
        <v>0.99746495138616331</v>
      </c>
      <c r="H240" s="13">
        <f t="shared" si="45"/>
        <v>5.1430128318229462E-3</v>
      </c>
      <c r="I240" s="8">
        <f t="shared" si="46"/>
        <v>0.99485698716817705</v>
      </c>
      <c r="J240" s="14">
        <f t="shared" si="47"/>
        <v>7.8284203424832111E-3</v>
      </c>
      <c r="K240" s="8">
        <f t="shared" si="48"/>
        <v>0.99217157965751679</v>
      </c>
      <c r="L240" s="21">
        <v>238</v>
      </c>
      <c r="M240" s="5">
        <f t="shared" si="49"/>
        <v>0.56716235653766545</v>
      </c>
      <c r="N240" s="5">
        <f t="shared" si="50"/>
        <v>0.31612021395353618</v>
      </c>
      <c r="O240" s="5">
        <f t="shared" si="51"/>
        <v>0.17296159237847322</v>
      </c>
    </row>
    <row r="241" spans="1:15" hidden="1">
      <c r="A241">
        <v>239</v>
      </c>
      <c r="B241">
        <f t="shared" si="39"/>
        <v>0.06</v>
      </c>
      <c r="C241" s="10">
        <f t="shared" si="40"/>
        <v>0.03</v>
      </c>
      <c r="D241" s="10">
        <f t="shared" si="41"/>
        <v>0.06</v>
      </c>
      <c r="E241" s="10">
        <f t="shared" si="42"/>
        <v>0.09</v>
      </c>
      <c r="F241" s="25">
        <f t="shared" si="43"/>
        <v>2.5350486138366879E-3</v>
      </c>
      <c r="G241" s="8">
        <f t="shared" si="44"/>
        <v>0.99746495138616331</v>
      </c>
      <c r="H241" s="13">
        <f t="shared" si="45"/>
        <v>5.1430128318229462E-3</v>
      </c>
      <c r="I241" s="8">
        <f t="shared" si="46"/>
        <v>0.99485698716817705</v>
      </c>
      <c r="J241" s="14">
        <f t="shared" si="47"/>
        <v>7.8284203424832111E-3</v>
      </c>
      <c r="K241" s="8">
        <f t="shared" si="48"/>
        <v>0.99217157965751679</v>
      </c>
      <c r="L241" s="21">
        <v>239</v>
      </c>
      <c r="M241" s="5">
        <f t="shared" si="49"/>
        <v>0.56572457239190432</v>
      </c>
      <c r="N241" s="5">
        <f t="shared" si="50"/>
        <v>0.3144944036367745</v>
      </c>
      <c r="O241" s="5">
        <f t="shared" si="51"/>
        <v>0.1716075763302293</v>
      </c>
    </row>
    <row r="242" spans="1:15" hidden="1">
      <c r="A242">
        <v>240</v>
      </c>
      <c r="B242">
        <f t="shared" si="39"/>
        <v>0.06</v>
      </c>
      <c r="C242" s="10">
        <f t="shared" si="40"/>
        <v>0.03</v>
      </c>
      <c r="D242" s="10">
        <f t="shared" si="41"/>
        <v>0.06</v>
      </c>
      <c r="E242" s="10">
        <f t="shared" si="42"/>
        <v>0.09</v>
      </c>
      <c r="F242" s="25">
        <f t="shared" si="43"/>
        <v>2.5350486138366879E-3</v>
      </c>
      <c r="G242" s="8">
        <f t="shared" si="44"/>
        <v>0.99746495138616331</v>
      </c>
      <c r="H242" s="13">
        <f t="shared" si="45"/>
        <v>5.1430128318229462E-3</v>
      </c>
      <c r="I242" s="8">
        <f t="shared" si="46"/>
        <v>0.99485698716817705</v>
      </c>
      <c r="J242" s="14">
        <f t="shared" si="47"/>
        <v>7.8284203424832111E-3</v>
      </c>
      <c r="K242" s="8">
        <f t="shared" si="48"/>
        <v>0.99217157965751679</v>
      </c>
      <c r="L242" s="21">
        <v>240</v>
      </c>
      <c r="M242" s="5">
        <f t="shared" si="49"/>
        <v>0.56429043309884885</v>
      </c>
      <c r="N242" s="5">
        <f t="shared" si="50"/>
        <v>0.31287695488333406</v>
      </c>
      <c r="O242" s="5">
        <f t="shared" si="51"/>
        <v>0.1702641600887615</v>
      </c>
    </row>
    <row r="243" spans="1:15" hidden="1">
      <c r="A243">
        <v>241</v>
      </c>
      <c r="B243">
        <f t="shared" si="39"/>
        <v>0.06</v>
      </c>
      <c r="C243" s="10">
        <f t="shared" si="40"/>
        <v>0.03</v>
      </c>
      <c r="D243" s="10">
        <f t="shared" si="41"/>
        <v>0.06</v>
      </c>
      <c r="E243" s="10">
        <f t="shared" si="42"/>
        <v>0.09</v>
      </c>
      <c r="F243" s="25">
        <f t="shared" si="43"/>
        <v>2.5350486138366879E-3</v>
      </c>
      <c r="G243" s="8">
        <f t="shared" si="44"/>
        <v>0.99746495138616331</v>
      </c>
      <c r="H243" s="13">
        <f t="shared" si="45"/>
        <v>5.1430128318229462E-3</v>
      </c>
      <c r="I243" s="8">
        <f t="shared" si="46"/>
        <v>0.99485698716817705</v>
      </c>
      <c r="J243" s="14">
        <f t="shared" si="47"/>
        <v>7.8284203424832111E-3</v>
      </c>
      <c r="K243" s="8">
        <f t="shared" si="48"/>
        <v>0.99217157965751679</v>
      </c>
      <c r="L243" s="21">
        <v>241</v>
      </c>
      <c r="M243" s="5">
        <f t="shared" si="49"/>
        <v>0.56285992941862029</v>
      </c>
      <c r="N243" s="5">
        <f t="shared" si="50"/>
        <v>0.31126782468958736</v>
      </c>
      <c r="O243" s="5">
        <f t="shared" si="51"/>
        <v>0.16893126067432682</v>
      </c>
    </row>
    <row r="244" spans="1:15" hidden="1">
      <c r="A244">
        <v>242</v>
      </c>
      <c r="B244">
        <f t="shared" si="39"/>
        <v>0.06</v>
      </c>
      <c r="C244" s="10">
        <f t="shared" si="40"/>
        <v>0.03</v>
      </c>
      <c r="D244" s="10">
        <f t="shared" si="41"/>
        <v>0.06</v>
      </c>
      <c r="E244" s="10">
        <f t="shared" si="42"/>
        <v>0.09</v>
      </c>
      <c r="F244" s="25">
        <f t="shared" si="43"/>
        <v>2.5350486138366879E-3</v>
      </c>
      <c r="G244" s="8">
        <f t="shared" si="44"/>
        <v>0.99746495138616331</v>
      </c>
      <c r="H244" s="13">
        <f t="shared" si="45"/>
        <v>5.1430128318229462E-3</v>
      </c>
      <c r="I244" s="8">
        <f t="shared" si="46"/>
        <v>0.99485698716817705</v>
      </c>
      <c r="J244" s="14">
        <f t="shared" si="47"/>
        <v>7.8284203424832111E-3</v>
      </c>
      <c r="K244" s="8">
        <f t="shared" si="48"/>
        <v>0.99217157965751679</v>
      </c>
      <c r="L244" s="21">
        <v>242</v>
      </c>
      <c r="M244" s="5">
        <f t="shared" si="49"/>
        <v>0.56143305213476336</v>
      </c>
      <c r="N244" s="5">
        <f t="shared" si="50"/>
        <v>0.30966697027307521</v>
      </c>
      <c r="O244" s="5">
        <f t="shared" si="51"/>
        <v>0.16760879575678259</v>
      </c>
    </row>
    <row r="245" spans="1:15" hidden="1">
      <c r="A245">
        <v>243</v>
      </c>
      <c r="B245">
        <f t="shared" si="39"/>
        <v>0.06</v>
      </c>
      <c r="C245" s="10">
        <f t="shared" si="40"/>
        <v>0.03</v>
      </c>
      <c r="D245" s="10">
        <f t="shared" si="41"/>
        <v>0.06</v>
      </c>
      <c r="E245" s="10">
        <f t="shared" si="42"/>
        <v>0.09</v>
      </c>
      <c r="F245" s="25">
        <f t="shared" si="43"/>
        <v>2.5350486138366879E-3</v>
      </c>
      <c r="G245" s="8">
        <f t="shared" si="44"/>
        <v>0.99746495138616331</v>
      </c>
      <c r="H245" s="13">
        <f t="shared" si="45"/>
        <v>5.1430128318229462E-3</v>
      </c>
      <c r="I245" s="8">
        <f t="shared" si="46"/>
        <v>0.99485698716817705</v>
      </c>
      <c r="J245" s="14">
        <f t="shared" si="47"/>
        <v>7.8284203424832111E-3</v>
      </c>
      <c r="K245" s="8">
        <f t="shared" si="48"/>
        <v>0.99217157965751679</v>
      </c>
      <c r="L245" s="21">
        <v>243</v>
      </c>
      <c r="M245" s="5">
        <f t="shared" si="49"/>
        <v>0.56000979205418699</v>
      </c>
      <c r="N245" s="5">
        <f t="shared" si="50"/>
        <v>0.30807434907136905</v>
      </c>
      <c r="O245" s="5">
        <f t="shared" si="51"/>
        <v>0.16629668365050107</v>
      </c>
    </row>
    <row r="246" spans="1:15" hidden="1">
      <c r="A246">
        <v>244</v>
      </c>
      <c r="B246">
        <f t="shared" si="39"/>
        <v>0.06</v>
      </c>
      <c r="C246" s="10">
        <f t="shared" si="40"/>
        <v>0.03</v>
      </c>
      <c r="D246" s="10">
        <f t="shared" si="41"/>
        <v>0.06</v>
      </c>
      <c r="E246" s="10">
        <f t="shared" si="42"/>
        <v>0.09</v>
      </c>
      <c r="F246" s="25">
        <f t="shared" si="43"/>
        <v>2.5350486138366879E-3</v>
      </c>
      <c r="G246" s="8">
        <f t="shared" si="44"/>
        <v>0.99746495138616331</v>
      </c>
      <c r="H246" s="13">
        <f t="shared" si="45"/>
        <v>5.1430128318229462E-3</v>
      </c>
      <c r="I246" s="8">
        <f t="shared" si="46"/>
        <v>0.99485698716817705</v>
      </c>
      <c r="J246" s="14">
        <f t="shared" si="47"/>
        <v>7.8284203424832111E-3</v>
      </c>
      <c r="K246" s="8">
        <f t="shared" si="48"/>
        <v>0.99217157965751679</v>
      </c>
      <c r="L246" s="21">
        <v>244</v>
      </c>
      <c r="M246" s="5">
        <f t="shared" si="49"/>
        <v>0.55859014000710505</v>
      </c>
      <c r="N246" s="5">
        <f t="shared" si="50"/>
        <v>0.3064899187409395</v>
      </c>
      <c r="O246" s="5">
        <f t="shared" si="51"/>
        <v>0.16499484330932399</v>
      </c>
    </row>
    <row r="247" spans="1:15" hidden="1">
      <c r="A247">
        <v>245</v>
      </c>
      <c r="B247">
        <f t="shared" si="39"/>
        <v>0.06</v>
      </c>
      <c r="C247" s="10">
        <f t="shared" si="40"/>
        <v>0.03</v>
      </c>
      <c r="D247" s="10">
        <f t="shared" si="41"/>
        <v>0.06</v>
      </c>
      <c r="E247" s="10">
        <f t="shared" si="42"/>
        <v>0.09</v>
      </c>
      <c r="F247" s="25">
        <f t="shared" si="43"/>
        <v>2.5350486138366879E-3</v>
      </c>
      <c r="G247" s="8">
        <f t="shared" si="44"/>
        <v>0.99746495138616331</v>
      </c>
      <c r="H247" s="13">
        <f t="shared" si="45"/>
        <v>5.1430128318229462E-3</v>
      </c>
      <c r="I247" s="8">
        <f t="shared" si="46"/>
        <v>0.99485698716817705</v>
      </c>
      <c r="J247" s="14">
        <f t="shared" si="47"/>
        <v>7.8284203424832111E-3</v>
      </c>
      <c r="K247" s="8">
        <f t="shared" si="48"/>
        <v>0.99217157965751679</v>
      </c>
      <c r="L247" s="21">
        <v>245</v>
      </c>
      <c r="M247" s="5">
        <f t="shared" si="49"/>
        <v>0.55717408684697722</v>
      </c>
      <c r="N247" s="5">
        <f t="shared" si="50"/>
        <v>0.30491363715603048</v>
      </c>
      <c r="O247" s="5">
        <f t="shared" si="51"/>
        <v>0.16370319432155644</v>
      </c>
    </row>
    <row r="248" spans="1:15" hidden="1">
      <c r="A248">
        <v>246</v>
      </c>
      <c r="B248">
        <f t="shared" si="39"/>
        <v>0.06</v>
      </c>
      <c r="C248" s="10">
        <f t="shared" si="40"/>
        <v>0.03</v>
      </c>
      <c r="D248" s="10">
        <f t="shared" si="41"/>
        <v>0.06</v>
      </c>
      <c r="E248" s="10">
        <f t="shared" si="42"/>
        <v>0.09</v>
      </c>
      <c r="F248" s="25">
        <f t="shared" si="43"/>
        <v>2.5350486138366879E-3</v>
      </c>
      <c r="G248" s="8">
        <f t="shared" si="44"/>
        <v>0.99746495138616331</v>
      </c>
      <c r="H248" s="13">
        <f t="shared" si="45"/>
        <v>5.1430128318229462E-3</v>
      </c>
      <c r="I248" s="8">
        <f t="shared" si="46"/>
        <v>0.99485698716817705</v>
      </c>
      <c r="J248" s="14">
        <f t="shared" si="47"/>
        <v>7.8284203424832111E-3</v>
      </c>
      <c r="K248" s="8">
        <f t="shared" si="48"/>
        <v>0.99217157965751679</v>
      </c>
      <c r="L248" s="21">
        <v>246</v>
      </c>
      <c r="M248" s="5">
        <f t="shared" si="49"/>
        <v>0.5557616234504501</v>
      </c>
      <c r="N248" s="5">
        <f t="shared" si="50"/>
        <v>0.30334546240753923</v>
      </c>
      <c r="O248" s="5">
        <f t="shared" si="51"/>
        <v>0.1624216569050001</v>
      </c>
    </row>
    <row r="249" spans="1:15" hidden="1">
      <c r="A249">
        <v>247</v>
      </c>
      <c r="B249">
        <f t="shared" si="39"/>
        <v>0.06</v>
      </c>
      <c r="C249" s="10">
        <f t="shared" si="40"/>
        <v>0.03</v>
      </c>
      <c r="D249" s="10">
        <f t="shared" si="41"/>
        <v>0.06</v>
      </c>
      <c r="E249" s="10">
        <f t="shared" si="42"/>
        <v>0.09</v>
      </c>
      <c r="F249" s="25">
        <f t="shared" si="43"/>
        <v>2.5350486138366879E-3</v>
      </c>
      <c r="G249" s="8">
        <f t="shared" si="44"/>
        <v>0.99746495138616331</v>
      </c>
      <c r="H249" s="13">
        <f t="shared" si="45"/>
        <v>5.1430128318229462E-3</v>
      </c>
      <c r="I249" s="8">
        <f t="shared" si="46"/>
        <v>0.99485698716817705</v>
      </c>
      <c r="J249" s="14">
        <f t="shared" si="47"/>
        <v>7.8284203424832111E-3</v>
      </c>
      <c r="K249" s="8">
        <f t="shared" si="48"/>
        <v>0.99217157965751679</v>
      </c>
      <c r="L249" s="21">
        <v>247</v>
      </c>
      <c r="M249" s="5">
        <f t="shared" si="49"/>
        <v>0.55435274071729845</v>
      </c>
      <c r="N249" s="5">
        <f t="shared" si="50"/>
        <v>0.301785352801902</v>
      </c>
      <c r="O249" s="5">
        <f t="shared" si="51"/>
        <v>0.16115015190202517</v>
      </c>
    </row>
    <row r="250" spans="1:15" hidden="1">
      <c r="A250">
        <v>248</v>
      </c>
      <c r="B250">
        <f t="shared" si="39"/>
        <v>0.06</v>
      </c>
      <c r="C250" s="10">
        <f t="shared" si="40"/>
        <v>0.03</v>
      </c>
      <c r="D250" s="10">
        <f t="shared" si="41"/>
        <v>0.06</v>
      </c>
      <c r="E250" s="10">
        <f t="shared" si="42"/>
        <v>0.09</v>
      </c>
      <c r="F250" s="25">
        <f t="shared" si="43"/>
        <v>2.5350486138366879E-3</v>
      </c>
      <c r="G250" s="8">
        <f t="shared" si="44"/>
        <v>0.99746495138616331</v>
      </c>
      <c r="H250" s="13">
        <f t="shared" si="45"/>
        <v>5.1430128318229462E-3</v>
      </c>
      <c r="I250" s="8">
        <f t="shared" si="46"/>
        <v>0.99485698716817705</v>
      </c>
      <c r="J250" s="14">
        <f t="shared" si="47"/>
        <v>7.8284203424832111E-3</v>
      </c>
      <c r="K250" s="8">
        <f t="shared" si="48"/>
        <v>0.99217157965751679</v>
      </c>
      <c r="L250" s="21">
        <v>248</v>
      </c>
      <c r="M250" s="5">
        <f t="shared" si="49"/>
        <v>0.55294742957036647</v>
      </c>
      <c r="N250" s="5">
        <f t="shared" si="50"/>
        <v>0.30023326685998558</v>
      </c>
      <c r="O250" s="5">
        <f t="shared" si="51"/>
        <v>0.15988860077468109</v>
      </c>
    </row>
    <row r="251" spans="1:15" hidden="1">
      <c r="A251">
        <v>249</v>
      </c>
      <c r="B251">
        <f t="shared" si="39"/>
        <v>0.06</v>
      </c>
      <c r="C251" s="10">
        <f t="shared" si="40"/>
        <v>0.03</v>
      </c>
      <c r="D251" s="10">
        <f t="shared" si="41"/>
        <v>0.06</v>
      </c>
      <c r="E251" s="10">
        <f t="shared" si="42"/>
        <v>0.09</v>
      </c>
      <c r="F251" s="25">
        <f t="shared" si="43"/>
        <v>2.5350486138366879E-3</v>
      </c>
      <c r="G251" s="8">
        <f t="shared" si="44"/>
        <v>0.99746495138616331</v>
      </c>
      <c r="H251" s="13">
        <f t="shared" si="45"/>
        <v>5.1430128318229462E-3</v>
      </c>
      <c r="I251" s="8">
        <f t="shared" si="46"/>
        <v>0.99485698716817705</v>
      </c>
      <c r="J251" s="14">
        <f t="shared" si="47"/>
        <v>7.8284203424832111E-3</v>
      </c>
      <c r="K251" s="8">
        <f t="shared" si="48"/>
        <v>0.99217157965751679</v>
      </c>
      <c r="L251" s="21">
        <v>249</v>
      </c>
      <c r="M251" s="5">
        <f t="shared" si="49"/>
        <v>0.5515456809555096</v>
      </c>
      <c r="N251" s="5">
        <f t="shared" si="50"/>
        <v>0.29868916331598455</v>
      </c>
      <c r="O251" s="5">
        <f t="shared" si="51"/>
        <v>0.15863692559984541</v>
      </c>
    </row>
    <row r="252" spans="1:15" hidden="1">
      <c r="A252">
        <v>250</v>
      </c>
      <c r="B252">
        <f t="shared" si="39"/>
        <v>0.06</v>
      </c>
      <c r="C252" s="10">
        <f t="shared" si="40"/>
        <v>0.03</v>
      </c>
      <c r="D252" s="10">
        <f t="shared" si="41"/>
        <v>0.06</v>
      </c>
      <c r="E252" s="10">
        <f t="shared" si="42"/>
        <v>0.09</v>
      </c>
      <c r="F252" s="25">
        <f t="shared" si="43"/>
        <v>2.5350486138366879E-3</v>
      </c>
      <c r="G252" s="8">
        <f t="shared" si="44"/>
        <v>0.99746495138616331</v>
      </c>
      <c r="H252" s="13">
        <f t="shared" si="45"/>
        <v>5.1430128318229462E-3</v>
      </c>
      <c r="I252" s="8">
        <f t="shared" si="46"/>
        <v>0.99485698716817705</v>
      </c>
      <c r="J252" s="14">
        <f t="shared" si="47"/>
        <v>7.8284203424832111E-3</v>
      </c>
      <c r="K252" s="8">
        <f t="shared" si="48"/>
        <v>0.99217157965751679</v>
      </c>
      <c r="L252" s="21">
        <v>250</v>
      </c>
      <c r="M252" s="5">
        <f t="shared" si="49"/>
        <v>0.55014748584153572</v>
      </c>
      <c r="N252" s="5">
        <f t="shared" si="50"/>
        <v>0.29715300111632398</v>
      </c>
      <c r="O252" s="5">
        <f t="shared" si="51"/>
        <v>0.15739504906441057</v>
      </c>
    </row>
    <row r="253" spans="1:15" hidden="1">
      <c r="A253">
        <v>251</v>
      </c>
      <c r="B253">
        <f t="shared" si="39"/>
        <v>0.06</v>
      </c>
      <c r="C253" s="10">
        <f t="shared" si="40"/>
        <v>0.03</v>
      </c>
      <c r="D253" s="10">
        <f t="shared" si="41"/>
        <v>0.06</v>
      </c>
      <c r="E253" s="10">
        <f t="shared" si="42"/>
        <v>0.09</v>
      </c>
      <c r="F253" s="25">
        <f t="shared" si="43"/>
        <v>2.5350486138366879E-3</v>
      </c>
      <c r="G253" s="8">
        <f t="shared" si="44"/>
        <v>0.99746495138616331</v>
      </c>
      <c r="H253" s="13">
        <f t="shared" si="45"/>
        <v>5.1430128318229462E-3</v>
      </c>
      <c r="I253" s="8">
        <f t="shared" si="46"/>
        <v>0.99485698716817705</v>
      </c>
      <c r="J253" s="14">
        <f t="shared" si="47"/>
        <v>7.8284203424832111E-3</v>
      </c>
      <c r="K253" s="8">
        <f t="shared" si="48"/>
        <v>0.99217157965751679</v>
      </c>
      <c r="L253" s="21">
        <v>251</v>
      </c>
      <c r="M253" s="5">
        <f t="shared" si="49"/>
        <v>0.54875283522014739</v>
      </c>
      <c r="N253" s="5">
        <f t="shared" si="50"/>
        <v>0.29562473941856804</v>
      </c>
      <c r="O253" s="5">
        <f t="shared" si="51"/>
        <v>0.1561628944605086</v>
      </c>
    </row>
    <row r="254" spans="1:15" hidden="1">
      <c r="A254">
        <v>252</v>
      </c>
      <c r="B254">
        <f t="shared" si="39"/>
        <v>0.06</v>
      </c>
      <c r="C254" s="10">
        <f t="shared" si="40"/>
        <v>0.03</v>
      </c>
      <c r="D254" s="10">
        <f t="shared" si="41"/>
        <v>0.06</v>
      </c>
      <c r="E254" s="10">
        <f t="shared" si="42"/>
        <v>0.09</v>
      </c>
      <c r="F254" s="25">
        <f t="shared" si="43"/>
        <v>2.5350486138366879E-3</v>
      </c>
      <c r="G254" s="8">
        <f t="shared" si="44"/>
        <v>0.99746495138616331</v>
      </c>
      <c r="H254" s="13">
        <f t="shared" si="45"/>
        <v>5.1430128318229462E-3</v>
      </c>
      <c r="I254" s="8">
        <f t="shared" si="46"/>
        <v>0.99485698716817705</v>
      </c>
      <c r="J254" s="14">
        <f t="shared" si="47"/>
        <v>7.8284203424832111E-3</v>
      </c>
      <c r="K254" s="8">
        <f t="shared" si="48"/>
        <v>0.99217157965751679</v>
      </c>
      <c r="L254" s="21">
        <v>252</v>
      </c>
      <c r="M254" s="5">
        <f t="shared" si="49"/>
        <v>0.54736172010588358</v>
      </c>
      <c r="N254" s="5">
        <f t="shared" si="50"/>
        <v>0.29410433759033405</v>
      </c>
      <c r="O254" s="5">
        <f t="shared" si="51"/>
        <v>0.1549403856807729</v>
      </c>
    </row>
    <row r="255" spans="1:15" hidden="1">
      <c r="A255">
        <v>253</v>
      </c>
      <c r="B255">
        <f t="shared" si="39"/>
        <v>0.06</v>
      </c>
      <c r="C255" s="10">
        <f t="shared" si="40"/>
        <v>0.03</v>
      </c>
      <c r="D255" s="10">
        <f t="shared" si="41"/>
        <v>0.06</v>
      </c>
      <c r="E255" s="10">
        <f t="shared" si="42"/>
        <v>0.09</v>
      </c>
      <c r="F255" s="25">
        <f t="shared" si="43"/>
        <v>2.5350486138366879E-3</v>
      </c>
      <c r="G255" s="8">
        <f t="shared" si="44"/>
        <v>0.99746495138616331</v>
      </c>
      <c r="H255" s="13">
        <f t="shared" si="45"/>
        <v>5.1430128318229462E-3</v>
      </c>
      <c r="I255" s="8">
        <f t="shared" si="46"/>
        <v>0.99485698716817705</v>
      </c>
      <c r="J255" s="14">
        <f t="shared" si="47"/>
        <v>7.8284203424832111E-3</v>
      </c>
      <c r="K255" s="8">
        <f t="shared" si="48"/>
        <v>0.99217157965751679</v>
      </c>
      <c r="L255" s="21">
        <v>253</v>
      </c>
      <c r="M255" s="5">
        <f t="shared" si="49"/>
        <v>0.54597413153606189</v>
      </c>
      <c r="N255" s="5">
        <f t="shared" si="50"/>
        <v>0.29259175520821218</v>
      </c>
      <c r="O255" s="5">
        <f t="shared" si="51"/>
        <v>0.15372744721363735</v>
      </c>
    </row>
    <row r="256" spans="1:15" hidden="1">
      <c r="A256">
        <v>254</v>
      </c>
      <c r="B256">
        <f t="shared" si="39"/>
        <v>0.06</v>
      </c>
      <c r="C256" s="10">
        <f t="shared" si="40"/>
        <v>0.03</v>
      </c>
      <c r="D256" s="10">
        <f t="shared" si="41"/>
        <v>0.06</v>
      </c>
      <c r="E256" s="10">
        <f t="shared" si="42"/>
        <v>0.09</v>
      </c>
      <c r="F256" s="25">
        <f t="shared" si="43"/>
        <v>2.5350486138366879E-3</v>
      </c>
      <c r="G256" s="8">
        <f t="shared" si="44"/>
        <v>0.99746495138616331</v>
      </c>
      <c r="H256" s="13">
        <f t="shared" si="45"/>
        <v>5.1430128318229462E-3</v>
      </c>
      <c r="I256" s="8">
        <f t="shared" si="46"/>
        <v>0.99485698716817705</v>
      </c>
      <c r="J256" s="14">
        <f t="shared" si="47"/>
        <v>7.8284203424832111E-3</v>
      </c>
      <c r="K256" s="8">
        <f t="shared" si="48"/>
        <v>0.99217157965751679</v>
      </c>
      <c r="L256" s="21">
        <v>254</v>
      </c>
      <c r="M256" s="5">
        <f t="shared" si="49"/>
        <v>0.54459006057072068</v>
      </c>
      <c r="N256" s="5">
        <f t="shared" si="50"/>
        <v>0.29108695205669072</v>
      </c>
      <c r="O256" s="5">
        <f t="shared" si="51"/>
        <v>0.15252400413867209</v>
      </c>
    </row>
    <row r="257" spans="1:15" hidden="1">
      <c r="A257">
        <v>255</v>
      </c>
      <c r="B257">
        <f t="shared" si="39"/>
        <v>0.06</v>
      </c>
      <c r="C257" s="10">
        <f t="shared" si="40"/>
        <v>0.03</v>
      </c>
      <c r="D257" s="10">
        <f t="shared" si="41"/>
        <v>0.06</v>
      </c>
      <c r="E257" s="10">
        <f t="shared" si="42"/>
        <v>0.09</v>
      </c>
      <c r="F257" s="25">
        <f t="shared" si="43"/>
        <v>2.5350486138366879E-3</v>
      </c>
      <c r="G257" s="8">
        <f t="shared" si="44"/>
        <v>0.99746495138616331</v>
      </c>
      <c r="H257" s="13">
        <f t="shared" si="45"/>
        <v>5.1430128318229462E-3</v>
      </c>
      <c r="I257" s="8">
        <f t="shared" si="46"/>
        <v>0.99485698716817705</v>
      </c>
      <c r="J257" s="14">
        <f t="shared" si="47"/>
        <v>7.8284203424832111E-3</v>
      </c>
      <c r="K257" s="8">
        <f t="shared" si="48"/>
        <v>0.99217157965751679</v>
      </c>
      <c r="L257" s="21">
        <v>255</v>
      </c>
      <c r="M257" s="5">
        <f t="shared" si="49"/>
        <v>0.5432094982925616</v>
      </c>
      <c r="N257" s="5">
        <f t="shared" si="50"/>
        <v>0.28958988812708691</v>
      </c>
      <c r="O257" s="5">
        <f t="shared" si="51"/>
        <v>0.15132998212195592</v>
      </c>
    </row>
    <row r="258" spans="1:15" hidden="1">
      <c r="A258">
        <v>256</v>
      </c>
      <c r="B258">
        <f t="shared" si="39"/>
        <v>0.06</v>
      </c>
      <c r="C258" s="10">
        <f t="shared" si="40"/>
        <v>0.03</v>
      </c>
      <c r="D258" s="10">
        <f t="shared" si="41"/>
        <v>0.06</v>
      </c>
      <c r="E258" s="10">
        <f t="shared" si="42"/>
        <v>0.09</v>
      </c>
      <c r="F258" s="25">
        <f t="shared" si="43"/>
        <v>2.5350486138366879E-3</v>
      </c>
      <c r="G258" s="8">
        <f t="shared" si="44"/>
        <v>0.99746495138616331</v>
      </c>
      <c r="H258" s="13">
        <f t="shared" si="45"/>
        <v>5.1430128318229462E-3</v>
      </c>
      <c r="I258" s="8">
        <f t="shared" si="46"/>
        <v>0.99485698716817705</v>
      </c>
      <c r="J258" s="14">
        <f t="shared" si="47"/>
        <v>7.8284203424832111E-3</v>
      </c>
      <c r="K258" s="8">
        <f t="shared" si="48"/>
        <v>0.99217157965751679</v>
      </c>
      <c r="L258" s="21">
        <v>256</v>
      </c>
      <c r="M258" s="5">
        <f t="shared" si="49"/>
        <v>0.54183243580689211</v>
      </c>
      <c r="N258" s="5">
        <f t="shared" si="50"/>
        <v>0.28810052361648314</v>
      </c>
      <c r="O258" s="5">
        <f t="shared" si="51"/>
        <v>0.15014530741148477</v>
      </c>
    </row>
    <row r="259" spans="1:15" hidden="1">
      <c r="A259">
        <v>257</v>
      </c>
      <c r="B259">
        <f t="shared" si="39"/>
        <v>0.06</v>
      </c>
      <c r="C259" s="10">
        <f t="shared" si="40"/>
        <v>0.03</v>
      </c>
      <c r="D259" s="10">
        <f t="shared" si="41"/>
        <v>0.06</v>
      </c>
      <c r="E259" s="10">
        <f t="shared" si="42"/>
        <v>0.09</v>
      </c>
      <c r="F259" s="25">
        <f t="shared" si="43"/>
        <v>2.5350486138366879E-3</v>
      </c>
      <c r="G259" s="8">
        <f t="shared" si="44"/>
        <v>0.99746495138616331</v>
      </c>
      <c r="H259" s="13">
        <f t="shared" si="45"/>
        <v>5.1430128318229462E-3</v>
      </c>
      <c r="I259" s="8">
        <f t="shared" si="46"/>
        <v>0.99485698716817705</v>
      </c>
      <c r="J259" s="14">
        <f t="shared" si="47"/>
        <v>7.8284203424832111E-3</v>
      </c>
      <c r="K259" s="8">
        <f t="shared" si="48"/>
        <v>0.99217157965751679</v>
      </c>
      <c r="L259" s="21">
        <v>257</v>
      </c>
      <c r="M259" s="5">
        <f t="shared" si="49"/>
        <v>0.54045886424156808</v>
      </c>
      <c r="N259" s="5">
        <f t="shared" si="50"/>
        <v>0.28661881892666868</v>
      </c>
      <c r="O259" s="5">
        <f t="shared" si="51"/>
        <v>0.14896990683261629</v>
      </c>
    </row>
    <row r="260" spans="1:15" hidden="1">
      <c r="A260">
        <v>258</v>
      </c>
      <c r="B260">
        <f t="shared" ref="B260:B323" si="52">IF(A260&lt;=30,0.06*(A260/30),0.06)</f>
        <v>0.06</v>
      </c>
      <c r="C260" s="10">
        <f t="shared" ref="C260:C323" si="53">50/100*B260</f>
        <v>0.03</v>
      </c>
      <c r="D260" s="10">
        <f t="shared" ref="D260:D323" si="54">100/100*B260</f>
        <v>0.06</v>
      </c>
      <c r="E260" s="10">
        <f t="shared" ref="E260:E323" si="55">150/100*B260</f>
        <v>0.09</v>
      </c>
      <c r="F260" s="25">
        <f t="shared" ref="F260:F323" si="56">1-(1-C260)^(1/12)</f>
        <v>2.5350486138366879E-3</v>
      </c>
      <c r="G260" s="8">
        <f t="shared" ref="G260:G323" si="57">1-F260</f>
        <v>0.99746495138616331</v>
      </c>
      <c r="H260" s="13">
        <f t="shared" ref="H260:H323" si="58">1-(1-D260)^(1/12)</f>
        <v>5.1430128318229462E-3</v>
      </c>
      <c r="I260" s="8">
        <f t="shared" ref="I260:I323" si="59">1-H260</f>
        <v>0.99485698716817705</v>
      </c>
      <c r="J260" s="14">
        <f t="shared" ref="J260:J323" si="60">1-(1-E260)^(1/12)</f>
        <v>7.8284203424832111E-3</v>
      </c>
      <c r="K260" s="8">
        <f t="shared" ref="K260:K323" si="61">1-J260</f>
        <v>0.99217157965751679</v>
      </c>
      <c r="L260" s="21">
        <v>258</v>
      </c>
      <c r="M260" s="5">
        <f t="shared" si="49"/>
        <v>0.53908877474693673</v>
      </c>
      <c r="N260" s="5">
        <f t="shared" si="50"/>
        <v>0.28514473466308687</v>
      </c>
      <c r="O260" s="5">
        <f t="shared" si="51"/>
        <v>0.14780370778355001</v>
      </c>
    </row>
    <row r="261" spans="1:15" hidden="1">
      <c r="A261">
        <v>259</v>
      </c>
      <c r="B261">
        <f t="shared" si="52"/>
        <v>0.06</v>
      </c>
      <c r="C261" s="10">
        <f t="shared" si="53"/>
        <v>0.03</v>
      </c>
      <c r="D261" s="10">
        <f t="shared" si="54"/>
        <v>0.06</v>
      </c>
      <c r="E261" s="10">
        <f t="shared" si="55"/>
        <v>0.09</v>
      </c>
      <c r="F261" s="25">
        <f t="shared" si="56"/>
        <v>2.5350486138366879E-3</v>
      </c>
      <c r="G261" s="8">
        <f t="shared" si="57"/>
        <v>0.99746495138616331</v>
      </c>
      <c r="H261" s="13">
        <f t="shared" si="58"/>
        <v>5.1430128318229462E-3</v>
      </c>
      <c r="I261" s="8">
        <f t="shared" si="59"/>
        <v>0.99485698716817705</v>
      </c>
      <c r="J261" s="14">
        <f t="shared" si="60"/>
        <v>7.8284203424832111E-3</v>
      </c>
      <c r="K261" s="8">
        <f t="shared" si="61"/>
        <v>0.99217157965751679</v>
      </c>
      <c r="L261" s="21">
        <v>259</v>
      </c>
      <c r="M261" s="5">
        <f t="shared" ref="M261:M324" si="62">M260*G261</f>
        <v>0.53772215849577953</v>
      </c>
      <c r="N261" s="5">
        <f t="shared" ref="N261:N324" si="63">N260*I261</f>
        <v>0.28367823163378786</v>
      </c>
      <c r="O261" s="5">
        <f t="shared" ref="O261:O324" si="64">O260*K261</f>
        <v>0.14664663823084281</v>
      </c>
    </row>
    <row r="262" spans="1:15" hidden="1">
      <c r="A262">
        <v>260</v>
      </c>
      <c r="B262">
        <f t="shared" si="52"/>
        <v>0.06</v>
      </c>
      <c r="C262" s="10">
        <f t="shared" si="53"/>
        <v>0.03</v>
      </c>
      <c r="D262" s="10">
        <f t="shared" si="54"/>
        <v>0.06</v>
      </c>
      <c r="E262" s="10">
        <f t="shared" si="55"/>
        <v>0.09</v>
      </c>
      <c r="F262" s="25">
        <f t="shared" si="56"/>
        <v>2.5350486138366879E-3</v>
      </c>
      <c r="G262" s="8">
        <f t="shared" si="57"/>
        <v>0.99746495138616331</v>
      </c>
      <c r="H262" s="13">
        <f t="shared" si="58"/>
        <v>5.1430128318229462E-3</v>
      </c>
      <c r="I262" s="8">
        <f t="shared" si="59"/>
        <v>0.99485698716817705</v>
      </c>
      <c r="J262" s="14">
        <f t="shared" si="60"/>
        <v>7.8284203424832111E-3</v>
      </c>
      <c r="K262" s="8">
        <f t="shared" si="61"/>
        <v>0.99217157965751679</v>
      </c>
      <c r="L262" s="21">
        <v>260</v>
      </c>
      <c r="M262" s="5">
        <f t="shared" si="62"/>
        <v>0.53635900668325553</v>
      </c>
      <c r="N262" s="5">
        <f t="shared" si="63"/>
        <v>0.28221927084838644</v>
      </c>
      <c r="O262" s="5">
        <f t="shared" si="64"/>
        <v>0.14549862670495969</v>
      </c>
    </row>
    <row r="263" spans="1:15" hidden="1">
      <c r="A263">
        <v>261</v>
      </c>
      <c r="B263">
        <f t="shared" si="52"/>
        <v>0.06</v>
      </c>
      <c r="C263" s="10">
        <f t="shared" si="53"/>
        <v>0.03</v>
      </c>
      <c r="D263" s="10">
        <f t="shared" si="54"/>
        <v>0.06</v>
      </c>
      <c r="E263" s="10">
        <f t="shared" si="55"/>
        <v>0.09</v>
      </c>
      <c r="F263" s="25">
        <f t="shared" si="56"/>
        <v>2.5350486138366879E-3</v>
      </c>
      <c r="G263" s="8">
        <f t="shared" si="57"/>
        <v>0.99746495138616331</v>
      </c>
      <c r="H263" s="13">
        <f t="shared" si="58"/>
        <v>5.1430128318229462E-3</v>
      </c>
      <c r="I263" s="8">
        <f t="shared" si="59"/>
        <v>0.99485698716817705</v>
      </c>
      <c r="J263" s="14">
        <f t="shared" si="60"/>
        <v>7.8284203424832111E-3</v>
      </c>
      <c r="K263" s="8">
        <f t="shared" si="61"/>
        <v>0.99217157965751679</v>
      </c>
      <c r="L263" s="21">
        <v>261</v>
      </c>
      <c r="M263" s="5">
        <f t="shared" si="62"/>
        <v>0.53499931052684435</v>
      </c>
      <c r="N263" s="5">
        <f t="shared" si="63"/>
        <v>0.28076781351702546</v>
      </c>
      <c r="O263" s="5">
        <f t="shared" si="64"/>
        <v>0.14435960229585923</v>
      </c>
    </row>
    <row r="264" spans="1:15" hidden="1">
      <c r="A264">
        <v>262</v>
      </c>
      <c r="B264">
        <f t="shared" si="52"/>
        <v>0.06</v>
      </c>
      <c r="C264" s="10">
        <f t="shared" si="53"/>
        <v>0.03</v>
      </c>
      <c r="D264" s="10">
        <f t="shared" si="54"/>
        <v>0.06</v>
      </c>
      <c r="E264" s="10">
        <f t="shared" si="55"/>
        <v>0.09</v>
      </c>
      <c r="F264" s="25">
        <f t="shared" si="56"/>
        <v>2.5350486138366879E-3</v>
      </c>
      <c r="G264" s="8">
        <f t="shared" si="57"/>
        <v>0.99746495138616331</v>
      </c>
      <c r="H264" s="13">
        <f t="shared" si="58"/>
        <v>5.1430128318229462E-3</v>
      </c>
      <c r="I264" s="8">
        <f t="shared" si="59"/>
        <v>0.99485698716817705</v>
      </c>
      <c r="J264" s="14">
        <f t="shared" si="60"/>
        <v>7.8284203424832111E-3</v>
      </c>
      <c r="K264" s="8">
        <f t="shared" si="61"/>
        <v>0.99217157965751679</v>
      </c>
      <c r="L264" s="21">
        <v>262</v>
      </c>
      <c r="M264" s="5">
        <f t="shared" si="62"/>
        <v>0.53364306126628969</v>
      </c>
      <c r="N264" s="5">
        <f t="shared" si="63"/>
        <v>0.2793238210493445</v>
      </c>
      <c r="O264" s="5">
        <f t="shared" si="64"/>
        <v>0.14322949464861354</v>
      </c>
    </row>
    <row r="265" spans="1:15" hidden="1">
      <c r="A265">
        <v>263</v>
      </c>
      <c r="B265">
        <f t="shared" si="52"/>
        <v>0.06</v>
      </c>
      <c r="C265" s="10">
        <f t="shared" si="53"/>
        <v>0.03</v>
      </c>
      <c r="D265" s="10">
        <f t="shared" si="54"/>
        <v>0.06</v>
      </c>
      <c r="E265" s="10">
        <f t="shared" si="55"/>
        <v>0.09</v>
      </c>
      <c r="F265" s="25">
        <f t="shared" si="56"/>
        <v>2.5350486138366879E-3</v>
      </c>
      <c r="G265" s="8">
        <f t="shared" si="57"/>
        <v>0.99746495138616331</v>
      </c>
      <c r="H265" s="13">
        <f t="shared" si="58"/>
        <v>5.1430128318229462E-3</v>
      </c>
      <c r="I265" s="8">
        <f t="shared" si="59"/>
        <v>0.99485698716817705</v>
      </c>
      <c r="J265" s="14">
        <f t="shared" si="60"/>
        <v>7.8284203424832111E-3</v>
      </c>
      <c r="K265" s="8">
        <f t="shared" si="61"/>
        <v>0.99217157965751679</v>
      </c>
      <c r="L265" s="21">
        <v>263</v>
      </c>
      <c r="M265" s="5">
        <f t="shared" si="62"/>
        <v>0.53229025016354303</v>
      </c>
      <c r="N265" s="5">
        <f t="shared" si="63"/>
        <v>0.27788725505345391</v>
      </c>
      <c r="O265" s="5">
        <f t="shared" si="64"/>
        <v>0.14210823395906275</v>
      </c>
    </row>
    <row r="266" spans="1:15" hidden="1">
      <c r="A266">
        <v>264</v>
      </c>
      <c r="B266">
        <f t="shared" si="52"/>
        <v>0.06</v>
      </c>
      <c r="C266" s="10">
        <f t="shared" si="53"/>
        <v>0.03</v>
      </c>
      <c r="D266" s="10">
        <f t="shared" si="54"/>
        <v>0.06</v>
      </c>
      <c r="E266" s="10">
        <f t="shared" si="55"/>
        <v>0.09</v>
      </c>
      <c r="F266" s="25">
        <f t="shared" si="56"/>
        <v>2.5350486138366879E-3</v>
      </c>
      <c r="G266" s="8">
        <f t="shared" si="57"/>
        <v>0.99746495138616331</v>
      </c>
      <c r="H266" s="13">
        <f t="shared" si="58"/>
        <v>5.1430128318229462E-3</v>
      </c>
      <c r="I266" s="8">
        <f t="shared" si="59"/>
        <v>0.99485698716817705</v>
      </c>
      <c r="J266" s="14">
        <f t="shared" si="60"/>
        <v>7.8284203424832111E-3</v>
      </c>
      <c r="K266" s="8">
        <f t="shared" si="61"/>
        <v>0.99217157965751679</v>
      </c>
      <c r="L266" s="21">
        <v>264</v>
      </c>
      <c r="M266" s="5">
        <f t="shared" si="62"/>
        <v>0.53094086850270716</v>
      </c>
      <c r="N266" s="5">
        <f t="shared" si="63"/>
        <v>0.27645807733491395</v>
      </c>
      <c r="O266" s="5">
        <f t="shared" si="64"/>
        <v>0.14099575096950326</v>
      </c>
    </row>
    <row r="267" spans="1:15" hidden="1">
      <c r="A267">
        <v>265</v>
      </c>
      <c r="B267">
        <f t="shared" si="52"/>
        <v>0.06</v>
      </c>
      <c r="C267" s="10">
        <f t="shared" si="53"/>
        <v>0.03</v>
      </c>
      <c r="D267" s="10">
        <f t="shared" si="54"/>
        <v>0.06</v>
      </c>
      <c r="E267" s="10">
        <f t="shared" si="55"/>
        <v>0.09</v>
      </c>
      <c r="F267" s="25">
        <f t="shared" si="56"/>
        <v>2.5350486138366879E-3</v>
      </c>
      <c r="G267" s="8">
        <f t="shared" si="57"/>
        <v>0.99746495138616331</v>
      </c>
      <c r="H267" s="13">
        <f t="shared" si="58"/>
        <v>5.1430128318229462E-3</v>
      </c>
      <c r="I267" s="8">
        <f t="shared" si="59"/>
        <v>0.99485698716817705</v>
      </c>
      <c r="J267" s="14">
        <f t="shared" si="60"/>
        <v>7.8284203424832111E-3</v>
      </c>
      <c r="K267" s="8">
        <f t="shared" si="61"/>
        <v>0.99217157965751679</v>
      </c>
      <c r="L267" s="21">
        <v>265</v>
      </c>
      <c r="M267" s="5">
        <f t="shared" si="62"/>
        <v>0.52959490758998018</v>
      </c>
      <c r="N267" s="5">
        <f t="shared" si="63"/>
        <v>0.2750362498957194</v>
      </c>
      <c r="O267" s="5">
        <f t="shared" si="64"/>
        <v>0.13989197696440991</v>
      </c>
    </row>
    <row r="268" spans="1:15" hidden="1">
      <c r="A268">
        <v>266</v>
      </c>
      <c r="B268">
        <f t="shared" si="52"/>
        <v>0.06</v>
      </c>
      <c r="C268" s="10">
        <f t="shared" si="53"/>
        <v>0.03</v>
      </c>
      <c r="D268" s="10">
        <f t="shared" si="54"/>
        <v>0.06</v>
      </c>
      <c r="E268" s="10">
        <f t="shared" si="55"/>
        <v>0.09</v>
      </c>
      <c r="F268" s="25">
        <f t="shared" si="56"/>
        <v>2.5350486138366879E-3</v>
      </c>
      <c r="G268" s="8">
        <f t="shared" si="57"/>
        <v>0.99746495138616331</v>
      </c>
      <c r="H268" s="13">
        <f t="shared" si="58"/>
        <v>5.1430128318229462E-3</v>
      </c>
      <c r="I268" s="8">
        <f t="shared" si="59"/>
        <v>0.99485698716817705</v>
      </c>
      <c r="J268" s="14">
        <f t="shared" si="60"/>
        <v>7.8284203424832111E-3</v>
      </c>
      <c r="K268" s="8">
        <f t="shared" si="61"/>
        <v>0.99217157965751679</v>
      </c>
      <c r="L268" s="21">
        <v>266</v>
      </c>
      <c r="M268" s="5">
        <f t="shared" si="62"/>
        <v>0.52825235875359922</v>
      </c>
      <c r="N268" s="5">
        <f t="shared" si="63"/>
        <v>0.27362173493328923</v>
      </c>
      <c r="O268" s="5">
        <f t="shared" si="64"/>
        <v>0.13879684376619153</v>
      </c>
    </row>
    <row r="269" spans="1:15" hidden="1">
      <c r="A269">
        <v>267</v>
      </c>
      <c r="B269">
        <f t="shared" si="52"/>
        <v>0.06</v>
      </c>
      <c r="C269" s="10">
        <f t="shared" si="53"/>
        <v>0.03</v>
      </c>
      <c r="D269" s="10">
        <f t="shared" si="54"/>
        <v>0.06</v>
      </c>
      <c r="E269" s="10">
        <f t="shared" si="55"/>
        <v>0.09</v>
      </c>
      <c r="F269" s="25">
        <f t="shared" si="56"/>
        <v>2.5350486138366879E-3</v>
      </c>
      <c r="G269" s="8">
        <f t="shared" si="57"/>
        <v>0.99746495138616331</v>
      </c>
      <c r="H269" s="13">
        <f t="shared" si="58"/>
        <v>5.1430128318229462E-3</v>
      </c>
      <c r="I269" s="8">
        <f t="shared" si="59"/>
        <v>0.99485698716817705</v>
      </c>
      <c r="J269" s="14">
        <f t="shared" si="60"/>
        <v>7.8284203424832111E-3</v>
      </c>
      <c r="K269" s="8">
        <f t="shared" si="61"/>
        <v>0.99217157965751679</v>
      </c>
      <c r="L269" s="21">
        <v>267</v>
      </c>
      <c r="M269" s="5">
        <f t="shared" si="62"/>
        <v>0.52691321334378494</v>
      </c>
      <c r="N269" s="5">
        <f t="shared" si="63"/>
        <v>0.27221449483946164</v>
      </c>
      <c r="O269" s="5">
        <f t="shared" si="64"/>
        <v>0.13771028373097982</v>
      </c>
    </row>
    <row r="270" spans="1:15" hidden="1">
      <c r="A270">
        <v>268</v>
      </c>
      <c r="B270">
        <f t="shared" si="52"/>
        <v>0.06</v>
      </c>
      <c r="C270" s="10">
        <f t="shared" si="53"/>
        <v>0.03</v>
      </c>
      <c r="D270" s="10">
        <f t="shared" si="54"/>
        <v>0.06</v>
      </c>
      <c r="E270" s="10">
        <f t="shared" si="55"/>
        <v>0.09</v>
      </c>
      <c r="F270" s="25">
        <f t="shared" si="56"/>
        <v>2.5350486138366879E-3</v>
      </c>
      <c r="G270" s="8">
        <f t="shared" si="57"/>
        <v>0.99746495138616331</v>
      </c>
      <c r="H270" s="13">
        <f t="shared" si="58"/>
        <v>5.1430128318229462E-3</v>
      </c>
      <c r="I270" s="8">
        <f t="shared" si="59"/>
        <v>0.99485698716817705</v>
      </c>
      <c r="J270" s="14">
        <f t="shared" si="60"/>
        <v>7.8284203424832111E-3</v>
      </c>
      <c r="K270" s="8">
        <f t="shared" si="61"/>
        <v>0.99217157965751679</v>
      </c>
      <c r="L270" s="21">
        <v>268</v>
      </c>
      <c r="M270" s="5">
        <f t="shared" si="62"/>
        <v>0.52557746273268557</v>
      </c>
      <c r="N270" s="5">
        <f t="shared" si="63"/>
        <v>0.27081449219949411</v>
      </c>
      <c r="O270" s="5">
        <f t="shared" si="64"/>
        <v>0.13663222974445108</v>
      </c>
    </row>
    <row r="271" spans="1:15" hidden="1">
      <c r="A271">
        <v>269</v>
      </c>
      <c r="B271">
        <f t="shared" si="52"/>
        <v>0.06</v>
      </c>
      <c r="C271" s="10">
        <f t="shared" si="53"/>
        <v>0.03</v>
      </c>
      <c r="D271" s="10">
        <f t="shared" si="54"/>
        <v>0.06</v>
      </c>
      <c r="E271" s="10">
        <f t="shared" si="55"/>
        <v>0.09</v>
      </c>
      <c r="F271" s="25">
        <f t="shared" si="56"/>
        <v>2.5350486138366879E-3</v>
      </c>
      <c r="G271" s="8">
        <f t="shared" si="57"/>
        <v>0.99746495138616331</v>
      </c>
      <c r="H271" s="13">
        <f t="shared" si="58"/>
        <v>5.1430128318229462E-3</v>
      </c>
      <c r="I271" s="8">
        <f t="shared" si="59"/>
        <v>0.99485698716817705</v>
      </c>
      <c r="J271" s="14">
        <f t="shared" si="60"/>
        <v>7.8284203424832111E-3</v>
      </c>
      <c r="K271" s="8">
        <f t="shared" si="61"/>
        <v>0.99217157965751679</v>
      </c>
      <c r="L271" s="21">
        <v>269</v>
      </c>
      <c r="M271" s="5">
        <f t="shared" si="62"/>
        <v>0.52424509831432131</v>
      </c>
      <c r="N271" s="5">
        <f t="shared" si="63"/>
        <v>0.26942168979106851</v>
      </c>
      <c r="O271" s="5">
        <f t="shared" si="64"/>
        <v>0.13556261521768079</v>
      </c>
    </row>
    <row r="272" spans="1:15" hidden="1">
      <c r="A272">
        <v>270</v>
      </c>
      <c r="B272">
        <f t="shared" si="52"/>
        <v>0.06</v>
      </c>
      <c r="C272" s="10">
        <f t="shared" si="53"/>
        <v>0.03</v>
      </c>
      <c r="D272" s="10">
        <f t="shared" si="54"/>
        <v>0.06</v>
      </c>
      <c r="E272" s="10">
        <f t="shared" si="55"/>
        <v>0.09</v>
      </c>
      <c r="F272" s="25">
        <f t="shared" si="56"/>
        <v>2.5350486138366879E-3</v>
      </c>
      <c r="G272" s="8">
        <f t="shared" si="57"/>
        <v>0.99746495138616331</v>
      </c>
      <c r="H272" s="13">
        <f t="shared" si="58"/>
        <v>5.1430128318229462E-3</v>
      </c>
      <c r="I272" s="8">
        <f t="shared" si="59"/>
        <v>0.99485698716817705</v>
      </c>
      <c r="J272" s="14">
        <f t="shared" si="60"/>
        <v>7.8284203424832111E-3</v>
      </c>
      <c r="K272" s="8">
        <f t="shared" si="61"/>
        <v>0.99217157965751679</v>
      </c>
      <c r="L272" s="21">
        <v>270</v>
      </c>
      <c r="M272" s="5">
        <f t="shared" si="62"/>
        <v>0.52291611150452888</v>
      </c>
      <c r="N272" s="5">
        <f t="shared" si="63"/>
        <v>0.2680360505833016</v>
      </c>
      <c r="O272" s="5">
        <f t="shared" si="64"/>
        <v>0.13450137408303048</v>
      </c>
    </row>
    <row r="273" spans="1:15" hidden="1">
      <c r="A273">
        <v>271</v>
      </c>
      <c r="B273">
        <f t="shared" si="52"/>
        <v>0.06</v>
      </c>
      <c r="C273" s="10">
        <f t="shared" si="53"/>
        <v>0.03</v>
      </c>
      <c r="D273" s="10">
        <f t="shared" si="54"/>
        <v>0.06</v>
      </c>
      <c r="E273" s="10">
        <f t="shared" si="55"/>
        <v>0.09</v>
      </c>
      <c r="F273" s="25">
        <f t="shared" si="56"/>
        <v>2.5350486138366879E-3</v>
      </c>
      <c r="G273" s="8">
        <f t="shared" si="57"/>
        <v>0.99746495138616331</v>
      </c>
      <c r="H273" s="13">
        <f t="shared" si="58"/>
        <v>5.1430128318229462E-3</v>
      </c>
      <c r="I273" s="8">
        <f t="shared" si="59"/>
        <v>0.99485698716817705</v>
      </c>
      <c r="J273" s="14">
        <f t="shared" si="60"/>
        <v>7.8284203424832111E-3</v>
      </c>
      <c r="K273" s="8">
        <f t="shared" si="61"/>
        <v>0.99217157965751679</v>
      </c>
      <c r="L273" s="21">
        <v>271</v>
      </c>
      <c r="M273" s="5">
        <f t="shared" si="62"/>
        <v>0.52159049374090649</v>
      </c>
      <c r="N273" s="5">
        <f t="shared" si="63"/>
        <v>0.26665753773576051</v>
      </c>
      <c r="O273" s="5">
        <f t="shared" si="64"/>
        <v>0.13344844079006693</v>
      </c>
    </row>
    <row r="274" spans="1:15" hidden="1">
      <c r="A274">
        <v>272</v>
      </c>
      <c r="B274">
        <f t="shared" si="52"/>
        <v>0.06</v>
      </c>
      <c r="C274" s="10">
        <f t="shared" si="53"/>
        <v>0.03</v>
      </c>
      <c r="D274" s="10">
        <f t="shared" si="54"/>
        <v>0.06</v>
      </c>
      <c r="E274" s="10">
        <f t="shared" si="55"/>
        <v>0.09</v>
      </c>
      <c r="F274" s="25">
        <f t="shared" si="56"/>
        <v>2.5350486138366879E-3</v>
      </c>
      <c r="G274" s="8">
        <f t="shared" si="57"/>
        <v>0.99746495138616331</v>
      </c>
      <c r="H274" s="13">
        <f t="shared" si="58"/>
        <v>5.1430128318229462E-3</v>
      </c>
      <c r="I274" s="8">
        <f t="shared" si="59"/>
        <v>0.99485698716817705</v>
      </c>
      <c r="J274" s="14">
        <f t="shared" si="60"/>
        <v>7.8284203424832111E-3</v>
      </c>
      <c r="K274" s="8">
        <f t="shared" si="61"/>
        <v>0.99217157965751679</v>
      </c>
      <c r="L274" s="21">
        <v>272</v>
      </c>
      <c r="M274" s="5">
        <f t="shared" si="62"/>
        <v>0.52026823648275822</v>
      </c>
      <c r="N274" s="5">
        <f t="shared" si="63"/>
        <v>0.26528611459748319</v>
      </c>
      <c r="O274" s="5">
        <f t="shared" si="64"/>
        <v>0.1324037503015133</v>
      </c>
    </row>
    <row r="275" spans="1:15" hidden="1">
      <c r="A275">
        <v>273</v>
      </c>
      <c r="B275">
        <f t="shared" si="52"/>
        <v>0.06</v>
      </c>
      <c r="C275" s="10">
        <f t="shared" si="53"/>
        <v>0.03</v>
      </c>
      <c r="D275" s="10">
        <f t="shared" si="54"/>
        <v>0.06</v>
      </c>
      <c r="E275" s="10">
        <f t="shared" si="55"/>
        <v>0.09</v>
      </c>
      <c r="F275" s="25">
        <f t="shared" si="56"/>
        <v>2.5350486138366879E-3</v>
      </c>
      <c r="G275" s="8">
        <f t="shared" si="57"/>
        <v>0.99746495138616331</v>
      </c>
      <c r="H275" s="13">
        <f t="shared" si="58"/>
        <v>5.1430128318229462E-3</v>
      </c>
      <c r="I275" s="8">
        <f t="shared" si="59"/>
        <v>0.99485698716817705</v>
      </c>
      <c r="J275" s="14">
        <f t="shared" si="60"/>
        <v>7.8284203424832111E-3</v>
      </c>
      <c r="K275" s="8">
        <f t="shared" si="61"/>
        <v>0.99217157965751679</v>
      </c>
      <c r="L275" s="21">
        <v>273</v>
      </c>
      <c r="M275" s="5">
        <f t="shared" si="62"/>
        <v>0.51894933121103937</v>
      </c>
      <c r="N275" s="5">
        <f t="shared" si="63"/>
        <v>0.26392174470600388</v>
      </c>
      <c r="O275" s="5">
        <f t="shared" si="64"/>
        <v>0.13136723808923187</v>
      </c>
    </row>
    <row r="276" spans="1:15" hidden="1">
      <c r="A276">
        <v>274</v>
      </c>
      <c r="B276">
        <f t="shared" si="52"/>
        <v>0.06</v>
      </c>
      <c r="C276" s="10">
        <f t="shared" si="53"/>
        <v>0.03</v>
      </c>
      <c r="D276" s="10">
        <f t="shared" si="54"/>
        <v>0.06</v>
      </c>
      <c r="E276" s="10">
        <f t="shared" si="55"/>
        <v>0.09</v>
      </c>
      <c r="F276" s="25">
        <f t="shared" si="56"/>
        <v>2.5350486138366879E-3</v>
      </c>
      <c r="G276" s="8">
        <f t="shared" si="57"/>
        <v>0.99746495138616331</v>
      </c>
      <c r="H276" s="13">
        <f t="shared" si="58"/>
        <v>5.1430128318229462E-3</v>
      </c>
      <c r="I276" s="8">
        <f t="shared" si="59"/>
        <v>0.99485698716817705</v>
      </c>
      <c r="J276" s="14">
        <f t="shared" si="60"/>
        <v>7.8284203424832111E-3</v>
      </c>
      <c r="K276" s="8">
        <f t="shared" si="61"/>
        <v>0.99217157965751679</v>
      </c>
      <c r="L276" s="21">
        <v>274</v>
      </c>
      <c r="M276" s="5">
        <f t="shared" si="62"/>
        <v>0.5176337694283013</v>
      </c>
      <c r="N276" s="5">
        <f t="shared" si="63"/>
        <v>0.2625643917863838</v>
      </c>
      <c r="O276" s="5">
        <f t="shared" si="64"/>
        <v>0.1303388401302383</v>
      </c>
    </row>
    <row r="277" spans="1:15" hidden="1">
      <c r="A277">
        <v>275</v>
      </c>
      <c r="B277">
        <f t="shared" si="52"/>
        <v>0.06</v>
      </c>
      <c r="C277" s="10">
        <f t="shared" si="53"/>
        <v>0.03</v>
      </c>
      <c r="D277" s="10">
        <f t="shared" si="54"/>
        <v>0.06</v>
      </c>
      <c r="E277" s="10">
        <f t="shared" si="55"/>
        <v>0.09</v>
      </c>
      <c r="F277" s="25">
        <f t="shared" si="56"/>
        <v>2.5350486138366879E-3</v>
      </c>
      <c r="G277" s="8">
        <f t="shared" si="57"/>
        <v>0.99746495138616331</v>
      </c>
      <c r="H277" s="13">
        <f t="shared" si="58"/>
        <v>5.1430128318229462E-3</v>
      </c>
      <c r="I277" s="8">
        <f t="shared" si="59"/>
        <v>0.99485698716817705</v>
      </c>
      <c r="J277" s="14">
        <f t="shared" si="60"/>
        <v>7.8284203424832111E-3</v>
      </c>
      <c r="K277" s="8">
        <f t="shared" si="61"/>
        <v>0.99217157965751679</v>
      </c>
      <c r="L277" s="21">
        <v>275</v>
      </c>
      <c r="M277" s="5">
        <f t="shared" si="62"/>
        <v>0.51632154265863706</v>
      </c>
      <c r="N277" s="5">
        <f t="shared" si="63"/>
        <v>0.26121401975024666</v>
      </c>
      <c r="O277" s="5">
        <f t="shared" si="64"/>
        <v>0.12931849290274708</v>
      </c>
    </row>
    <row r="278" spans="1:15" hidden="1">
      <c r="A278">
        <v>276</v>
      </c>
      <c r="B278">
        <f t="shared" si="52"/>
        <v>0.06</v>
      </c>
      <c r="C278" s="10">
        <f t="shared" si="53"/>
        <v>0.03</v>
      </c>
      <c r="D278" s="10">
        <f t="shared" si="54"/>
        <v>0.06</v>
      </c>
      <c r="E278" s="10">
        <f t="shared" si="55"/>
        <v>0.09</v>
      </c>
      <c r="F278" s="25">
        <f t="shared" si="56"/>
        <v>2.5350486138366879E-3</v>
      </c>
      <c r="G278" s="8">
        <f t="shared" si="57"/>
        <v>0.99746495138616331</v>
      </c>
      <c r="H278" s="13">
        <f t="shared" si="58"/>
        <v>5.1430128318229462E-3</v>
      </c>
      <c r="I278" s="8">
        <f t="shared" si="59"/>
        <v>0.99485698716817705</v>
      </c>
      <c r="J278" s="14">
        <f t="shared" si="60"/>
        <v>7.8284203424832111E-3</v>
      </c>
      <c r="K278" s="8">
        <f t="shared" si="61"/>
        <v>0.99217157965751679</v>
      </c>
      <c r="L278" s="21">
        <v>276</v>
      </c>
      <c r="M278" s="5">
        <f t="shared" si="62"/>
        <v>0.51501264244762623</v>
      </c>
      <c r="N278" s="5">
        <f t="shared" si="63"/>
        <v>0.2598705926948191</v>
      </c>
      <c r="O278" s="5">
        <f t="shared" si="64"/>
        <v>0.12830613338224794</v>
      </c>
    </row>
    <row r="279" spans="1:15" hidden="1">
      <c r="A279">
        <v>277</v>
      </c>
      <c r="B279">
        <f t="shared" si="52"/>
        <v>0.06</v>
      </c>
      <c r="C279" s="10">
        <f t="shared" si="53"/>
        <v>0.03</v>
      </c>
      <c r="D279" s="10">
        <f t="shared" si="54"/>
        <v>0.06</v>
      </c>
      <c r="E279" s="10">
        <f t="shared" si="55"/>
        <v>0.09</v>
      </c>
      <c r="F279" s="25">
        <f t="shared" si="56"/>
        <v>2.5350486138366879E-3</v>
      </c>
      <c r="G279" s="8">
        <f t="shared" si="57"/>
        <v>0.99746495138616331</v>
      </c>
      <c r="H279" s="13">
        <f t="shared" si="58"/>
        <v>5.1430128318229462E-3</v>
      </c>
      <c r="I279" s="8">
        <f t="shared" si="59"/>
        <v>0.99485698716817705</v>
      </c>
      <c r="J279" s="14">
        <f t="shared" si="60"/>
        <v>7.8284203424832111E-3</v>
      </c>
      <c r="K279" s="8">
        <f t="shared" si="61"/>
        <v>0.99217157965751679</v>
      </c>
      <c r="L279" s="21">
        <v>277</v>
      </c>
      <c r="M279" s="5">
        <f t="shared" si="62"/>
        <v>0.51370706036228098</v>
      </c>
      <c r="N279" s="5">
        <f t="shared" si="63"/>
        <v>0.25853407490197622</v>
      </c>
      <c r="O279" s="5">
        <f t="shared" si="64"/>
        <v>0.12730169903761299</v>
      </c>
    </row>
    <row r="280" spans="1:15" hidden="1">
      <c r="A280">
        <v>278</v>
      </c>
      <c r="B280">
        <f t="shared" si="52"/>
        <v>0.06</v>
      </c>
      <c r="C280" s="10">
        <f t="shared" si="53"/>
        <v>0.03</v>
      </c>
      <c r="D280" s="10">
        <f t="shared" si="54"/>
        <v>0.06</v>
      </c>
      <c r="E280" s="10">
        <f t="shared" si="55"/>
        <v>0.09</v>
      </c>
      <c r="F280" s="25">
        <f t="shared" si="56"/>
        <v>2.5350486138366879E-3</v>
      </c>
      <c r="G280" s="8">
        <f t="shared" si="57"/>
        <v>0.99746495138616331</v>
      </c>
      <c r="H280" s="13">
        <f t="shared" si="58"/>
        <v>5.1430128318229462E-3</v>
      </c>
      <c r="I280" s="8">
        <f t="shared" si="59"/>
        <v>0.99485698716817705</v>
      </c>
      <c r="J280" s="14">
        <f t="shared" si="60"/>
        <v>7.8284203424832111E-3</v>
      </c>
      <c r="K280" s="8">
        <f t="shared" si="61"/>
        <v>0.99217157965751679</v>
      </c>
      <c r="L280" s="21">
        <v>278</v>
      </c>
      <c r="M280" s="5">
        <f t="shared" si="62"/>
        <v>0.51240478799099143</v>
      </c>
      <c r="N280" s="5">
        <f t="shared" si="63"/>
        <v>0.25720443083729189</v>
      </c>
      <c r="O280" s="5">
        <f t="shared" si="64"/>
        <v>0.12630512782723427</v>
      </c>
    </row>
    <row r="281" spans="1:15" hidden="1">
      <c r="A281">
        <v>279</v>
      </c>
      <c r="B281">
        <f t="shared" si="52"/>
        <v>0.06</v>
      </c>
      <c r="C281" s="10">
        <f t="shared" si="53"/>
        <v>0.03</v>
      </c>
      <c r="D281" s="10">
        <f t="shared" si="54"/>
        <v>0.06</v>
      </c>
      <c r="E281" s="10">
        <f t="shared" si="55"/>
        <v>0.09</v>
      </c>
      <c r="F281" s="25">
        <f t="shared" si="56"/>
        <v>2.5350486138366879E-3</v>
      </c>
      <c r="G281" s="8">
        <f t="shared" si="57"/>
        <v>0.99746495138616331</v>
      </c>
      <c r="H281" s="13">
        <f t="shared" si="58"/>
        <v>5.1430128318229462E-3</v>
      </c>
      <c r="I281" s="8">
        <f t="shared" si="59"/>
        <v>0.99485698716817705</v>
      </c>
      <c r="J281" s="14">
        <f t="shared" si="60"/>
        <v>7.8284203424832111E-3</v>
      </c>
      <c r="K281" s="8">
        <f t="shared" si="61"/>
        <v>0.99217157965751679</v>
      </c>
      <c r="L281" s="21">
        <v>279</v>
      </c>
      <c r="M281" s="5">
        <f t="shared" si="62"/>
        <v>0.51110581694347157</v>
      </c>
      <c r="N281" s="5">
        <f t="shared" si="63"/>
        <v>0.25588162514909396</v>
      </c>
      <c r="O281" s="5">
        <f t="shared" si="64"/>
        <v>0.1253163581951916</v>
      </c>
    </row>
    <row r="282" spans="1:15" hidden="1">
      <c r="A282">
        <v>280</v>
      </c>
      <c r="B282">
        <f t="shared" si="52"/>
        <v>0.06</v>
      </c>
      <c r="C282" s="10">
        <f t="shared" si="53"/>
        <v>0.03</v>
      </c>
      <c r="D282" s="10">
        <f t="shared" si="54"/>
        <v>0.06</v>
      </c>
      <c r="E282" s="10">
        <f t="shared" si="55"/>
        <v>0.09</v>
      </c>
      <c r="F282" s="25">
        <f t="shared" si="56"/>
        <v>2.5350486138366879E-3</v>
      </c>
      <c r="G282" s="8">
        <f t="shared" si="57"/>
        <v>0.99746495138616331</v>
      </c>
      <c r="H282" s="13">
        <f t="shared" si="58"/>
        <v>5.1430128318229462E-3</v>
      </c>
      <c r="I282" s="8">
        <f t="shared" si="59"/>
        <v>0.99485698716817705</v>
      </c>
      <c r="J282" s="14">
        <f t="shared" si="60"/>
        <v>7.8284203424832111E-3</v>
      </c>
      <c r="K282" s="8">
        <f t="shared" si="61"/>
        <v>0.99217157965751679</v>
      </c>
      <c r="L282" s="21">
        <v>280</v>
      </c>
      <c r="M282" s="5">
        <f t="shared" si="62"/>
        <v>0.50981013885070514</v>
      </c>
      <c r="N282" s="5">
        <f t="shared" si="63"/>
        <v>0.25456562266752447</v>
      </c>
      <c r="O282" s="5">
        <f t="shared" si="64"/>
        <v>0.12433532906745046</v>
      </c>
    </row>
    <row r="283" spans="1:15" hidden="1">
      <c r="A283">
        <v>281</v>
      </c>
      <c r="B283">
        <f t="shared" si="52"/>
        <v>0.06</v>
      </c>
      <c r="C283" s="10">
        <f t="shared" si="53"/>
        <v>0.03</v>
      </c>
      <c r="D283" s="10">
        <f t="shared" si="54"/>
        <v>0.06</v>
      </c>
      <c r="E283" s="10">
        <f t="shared" si="55"/>
        <v>0.09</v>
      </c>
      <c r="F283" s="25">
        <f t="shared" si="56"/>
        <v>2.5350486138366879E-3</v>
      </c>
      <c r="G283" s="8">
        <f t="shared" si="57"/>
        <v>0.99746495138616331</v>
      </c>
      <c r="H283" s="13">
        <f t="shared" si="58"/>
        <v>5.1430128318229462E-3</v>
      </c>
      <c r="I283" s="8">
        <f t="shared" si="59"/>
        <v>0.99485698716817705</v>
      </c>
      <c r="J283" s="14">
        <f t="shared" si="60"/>
        <v>7.8284203424832111E-3</v>
      </c>
      <c r="K283" s="8">
        <f t="shared" si="61"/>
        <v>0.99217157965751679</v>
      </c>
      <c r="L283" s="21">
        <v>281</v>
      </c>
      <c r="M283" s="5">
        <f t="shared" si="62"/>
        <v>0.5085177453648918</v>
      </c>
      <c r="N283" s="5">
        <f t="shared" si="63"/>
        <v>0.25325638840360437</v>
      </c>
      <c r="O283" s="5">
        <f t="shared" si="64"/>
        <v>0.12336197984808948</v>
      </c>
    </row>
    <row r="284" spans="1:15" hidden="1">
      <c r="A284">
        <v>282</v>
      </c>
      <c r="B284">
        <f t="shared" si="52"/>
        <v>0.06</v>
      </c>
      <c r="C284" s="10">
        <f t="shared" si="53"/>
        <v>0.03</v>
      </c>
      <c r="D284" s="10">
        <f t="shared" si="54"/>
        <v>0.06</v>
      </c>
      <c r="E284" s="10">
        <f t="shared" si="55"/>
        <v>0.09</v>
      </c>
      <c r="F284" s="25">
        <f t="shared" si="56"/>
        <v>2.5350486138366879E-3</v>
      </c>
      <c r="G284" s="8">
        <f t="shared" si="57"/>
        <v>0.99746495138616331</v>
      </c>
      <c r="H284" s="13">
        <f t="shared" si="58"/>
        <v>5.1430128318229462E-3</v>
      </c>
      <c r="I284" s="8">
        <f t="shared" si="59"/>
        <v>0.99485698716817705</v>
      </c>
      <c r="J284" s="14">
        <f t="shared" si="60"/>
        <v>7.8284203424832111E-3</v>
      </c>
      <c r="K284" s="8">
        <f t="shared" si="61"/>
        <v>0.99217157965751679</v>
      </c>
      <c r="L284" s="21">
        <v>282</v>
      </c>
      <c r="M284" s="5">
        <f t="shared" si="62"/>
        <v>0.50722862815939318</v>
      </c>
      <c r="N284" s="5">
        <f t="shared" si="63"/>
        <v>0.2519538875483035</v>
      </c>
      <c r="O284" s="5">
        <f t="shared" si="64"/>
        <v>0.1223962504155577</v>
      </c>
    </row>
    <row r="285" spans="1:15" hidden="1">
      <c r="A285">
        <v>283</v>
      </c>
      <c r="B285">
        <f t="shared" si="52"/>
        <v>0.06</v>
      </c>
      <c r="C285" s="10">
        <f t="shared" si="53"/>
        <v>0.03</v>
      </c>
      <c r="D285" s="10">
        <f t="shared" si="54"/>
        <v>0.06</v>
      </c>
      <c r="E285" s="10">
        <f t="shared" si="55"/>
        <v>0.09</v>
      </c>
      <c r="F285" s="25">
        <f t="shared" si="56"/>
        <v>2.5350486138366879E-3</v>
      </c>
      <c r="G285" s="8">
        <f t="shared" si="57"/>
        <v>0.99746495138616331</v>
      </c>
      <c r="H285" s="13">
        <f t="shared" si="58"/>
        <v>5.1430128318229462E-3</v>
      </c>
      <c r="I285" s="8">
        <f t="shared" si="59"/>
        <v>0.99485698716817705</v>
      </c>
      <c r="J285" s="14">
        <f t="shared" si="60"/>
        <v>7.8284203424832111E-3</v>
      </c>
      <c r="K285" s="8">
        <f t="shared" si="61"/>
        <v>0.99217157965751679</v>
      </c>
      <c r="L285" s="21">
        <v>283</v>
      </c>
      <c r="M285" s="5">
        <f t="shared" si="62"/>
        <v>0.50594277892867945</v>
      </c>
      <c r="N285" s="5">
        <f t="shared" si="63"/>
        <v>0.25065808547161489</v>
      </c>
      <c r="O285" s="5">
        <f t="shared" si="64"/>
        <v>0.12143808111896087</v>
      </c>
    </row>
    <row r="286" spans="1:15" hidden="1">
      <c r="A286">
        <v>284</v>
      </c>
      <c r="B286">
        <f t="shared" si="52"/>
        <v>0.06</v>
      </c>
      <c r="C286" s="10">
        <f t="shared" si="53"/>
        <v>0.03</v>
      </c>
      <c r="D286" s="10">
        <f t="shared" si="54"/>
        <v>0.06</v>
      </c>
      <c r="E286" s="10">
        <f t="shared" si="55"/>
        <v>0.09</v>
      </c>
      <c r="F286" s="25">
        <f t="shared" si="56"/>
        <v>2.5350486138366879E-3</v>
      </c>
      <c r="G286" s="8">
        <f t="shared" si="57"/>
        <v>0.99746495138616331</v>
      </c>
      <c r="H286" s="13">
        <f t="shared" si="58"/>
        <v>5.1430128318229462E-3</v>
      </c>
      <c r="I286" s="8">
        <f t="shared" si="59"/>
        <v>0.99485698716817705</v>
      </c>
      <c r="J286" s="14">
        <f t="shared" si="60"/>
        <v>7.8284203424832111E-3</v>
      </c>
      <c r="K286" s="8">
        <f t="shared" si="61"/>
        <v>0.99217157965751679</v>
      </c>
      <c r="L286" s="21">
        <v>284</v>
      </c>
      <c r="M286" s="5">
        <f t="shared" si="62"/>
        <v>0.50466018938827562</v>
      </c>
      <c r="N286" s="5">
        <f t="shared" si="63"/>
        <v>0.2493689477216342</v>
      </c>
      <c r="O286" s="5">
        <f t="shared" si="64"/>
        <v>0.12048741277437708</v>
      </c>
    </row>
    <row r="287" spans="1:15" hidden="1">
      <c r="A287">
        <v>285</v>
      </c>
      <c r="B287">
        <f t="shared" si="52"/>
        <v>0.06</v>
      </c>
      <c r="C287" s="10">
        <f t="shared" si="53"/>
        <v>0.03</v>
      </c>
      <c r="D287" s="10">
        <f t="shared" si="54"/>
        <v>0.06</v>
      </c>
      <c r="E287" s="10">
        <f t="shared" si="55"/>
        <v>0.09</v>
      </c>
      <c r="F287" s="25">
        <f t="shared" si="56"/>
        <v>2.5350486138366879E-3</v>
      </c>
      <c r="G287" s="8">
        <f t="shared" si="57"/>
        <v>0.99746495138616331</v>
      </c>
      <c r="H287" s="13">
        <f t="shared" si="58"/>
        <v>5.1430128318229462E-3</v>
      </c>
      <c r="I287" s="8">
        <f t="shared" si="59"/>
        <v>0.99485698716817705</v>
      </c>
      <c r="J287" s="14">
        <f t="shared" si="60"/>
        <v>7.8284203424832111E-3</v>
      </c>
      <c r="K287" s="8">
        <f t="shared" si="61"/>
        <v>0.99217157965751679</v>
      </c>
      <c r="L287" s="21">
        <v>285</v>
      </c>
      <c r="M287" s="5">
        <f t="shared" si="62"/>
        <v>0.50338085127470833</v>
      </c>
      <c r="N287" s="5">
        <f t="shared" si="63"/>
        <v>0.24808644002364366</v>
      </c>
      <c r="O287" s="5">
        <f t="shared" si="64"/>
        <v>0.11954418666120098</v>
      </c>
    </row>
    <row r="288" spans="1:15" hidden="1">
      <c r="A288">
        <v>286</v>
      </c>
      <c r="B288">
        <f t="shared" si="52"/>
        <v>0.06</v>
      </c>
      <c r="C288" s="10">
        <f t="shared" si="53"/>
        <v>0.03</v>
      </c>
      <c r="D288" s="10">
        <f t="shared" si="54"/>
        <v>0.06</v>
      </c>
      <c r="E288" s="10">
        <f t="shared" si="55"/>
        <v>0.09</v>
      </c>
      <c r="F288" s="25">
        <f t="shared" si="56"/>
        <v>2.5350486138366879E-3</v>
      </c>
      <c r="G288" s="8">
        <f t="shared" si="57"/>
        <v>0.99746495138616331</v>
      </c>
      <c r="H288" s="13">
        <f t="shared" si="58"/>
        <v>5.1430128318229462E-3</v>
      </c>
      <c r="I288" s="8">
        <f t="shared" si="59"/>
        <v>0.99485698716817705</v>
      </c>
      <c r="J288" s="14">
        <f t="shared" si="60"/>
        <v>7.8284203424832111E-3</v>
      </c>
      <c r="K288" s="8">
        <f t="shared" si="61"/>
        <v>0.99217157965751679</v>
      </c>
      <c r="L288" s="21">
        <v>286</v>
      </c>
      <c r="M288" s="5">
        <f t="shared" si="62"/>
        <v>0.50210475634545249</v>
      </c>
      <c r="N288" s="5">
        <f t="shared" si="63"/>
        <v>0.24681052827920077</v>
      </c>
      <c r="O288" s="5">
        <f t="shared" si="64"/>
        <v>0.11860834451851682</v>
      </c>
    </row>
    <row r="289" spans="1:15" hidden="1">
      <c r="A289">
        <v>287</v>
      </c>
      <c r="B289">
        <f t="shared" si="52"/>
        <v>0.06</v>
      </c>
      <c r="C289" s="10">
        <f t="shared" si="53"/>
        <v>0.03</v>
      </c>
      <c r="D289" s="10">
        <f t="shared" si="54"/>
        <v>0.06</v>
      </c>
      <c r="E289" s="10">
        <f t="shared" si="55"/>
        <v>0.09</v>
      </c>
      <c r="F289" s="25">
        <f t="shared" si="56"/>
        <v>2.5350486138366879E-3</v>
      </c>
      <c r="G289" s="8">
        <f t="shared" si="57"/>
        <v>0.99746495138616331</v>
      </c>
      <c r="H289" s="13">
        <f t="shared" si="58"/>
        <v>5.1430128318229462E-3</v>
      </c>
      <c r="I289" s="8">
        <f t="shared" si="59"/>
        <v>0.99485698716817705</v>
      </c>
      <c r="J289" s="14">
        <f t="shared" si="60"/>
        <v>7.8284203424832111E-3</v>
      </c>
      <c r="K289" s="8">
        <f t="shared" si="61"/>
        <v>0.99217157965751679</v>
      </c>
      <c r="L289" s="21">
        <v>287</v>
      </c>
      <c r="M289" s="5">
        <f t="shared" si="62"/>
        <v>0.50083189637887815</v>
      </c>
      <c r="N289" s="5">
        <f t="shared" si="63"/>
        <v>0.24554117856523183</v>
      </c>
      <c r="O289" s="5">
        <f t="shared" si="64"/>
        <v>0.1176798285414998</v>
      </c>
    </row>
    <row r="290" spans="1:15" hidden="1">
      <c r="A290">
        <v>288</v>
      </c>
      <c r="B290">
        <f t="shared" si="52"/>
        <v>0.06</v>
      </c>
      <c r="C290" s="10">
        <f t="shared" si="53"/>
        <v>0.03</v>
      </c>
      <c r="D290" s="10">
        <f t="shared" si="54"/>
        <v>0.06</v>
      </c>
      <c r="E290" s="10">
        <f t="shared" si="55"/>
        <v>0.09</v>
      </c>
      <c r="F290" s="25">
        <f t="shared" si="56"/>
        <v>2.5350486138366879E-3</v>
      </c>
      <c r="G290" s="8">
        <f t="shared" si="57"/>
        <v>0.99746495138616331</v>
      </c>
      <c r="H290" s="13">
        <f t="shared" si="58"/>
        <v>5.1430128318229462E-3</v>
      </c>
      <c r="I290" s="8">
        <f t="shared" si="59"/>
        <v>0.99485698716817705</v>
      </c>
      <c r="J290" s="14">
        <f t="shared" si="60"/>
        <v>7.8284203424832111E-3</v>
      </c>
      <c r="K290" s="8">
        <f t="shared" si="61"/>
        <v>0.99217157965751679</v>
      </c>
      <c r="L290" s="21">
        <v>288</v>
      </c>
      <c r="M290" s="5">
        <f t="shared" si="62"/>
        <v>0.49956226317419766</v>
      </c>
      <c r="N290" s="5">
        <f t="shared" si="63"/>
        <v>0.24427835713312993</v>
      </c>
      <c r="O290" s="5">
        <f t="shared" si="64"/>
        <v>0.11675858137784559</v>
      </c>
    </row>
    <row r="291" spans="1:15" hidden="1">
      <c r="A291">
        <v>289</v>
      </c>
      <c r="B291">
        <f t="shared" si="52"/>
        <v>0.06</v>
      </c>
      <c r="C291" s="10">
        <f t="shared" si="53"/>
        <v>0.03</v>
      </c>
      <c r="D291" s="10">
        <f t="shared" si="54"/>
        <v>0.06</v>
      </c>
      <c r="E291" s="10">
        <f t="shared" si="55"/>
        <v>0.09</v>
      </c>
      <c r="F291" s="25">
        <f t="shared" si="56"/>
        <v>2.5350486138366879E-3</v>
      </c>
      <c r="G291" s="8">
        <f t="shared" si="57"/>
        <v>0.99746495138616331</v>
      </c>
      <c r="H291" s="13">
        <f t="shared" si="58"/>
        <v>5.1430128318229462E-3</v>
      </c>
      <c r="I291" s="8">
        <f t="shared" si="59"/>
        <v>0.99485698716817705</v>
      </c>
      <c r="J291" s="14">
        <f t="shared" si="60"/>
        <v>7.8284203424832111E-3</v>
      </c>
      <c r="K291" s="8">
        <f t="shared" si="61"/>
        <v>0.99217157965751679</v>
      </c>
      <c r="L291" s="21">
        <v>289</v>
      </c>
      <c r="M291" s="5">
        <f t="shared" si="62"/>
        <v>0.49829584855141279</v>
      </c>
      <c r="N291" s="5">
        <f t="shared" si="63"/>
        <v>0.24302203040785761</v>
      </c>
      <c r="O291" s="5">
        <f t="shared" si="64"/>
        <v>0.11584454612422779</v>
      </c>
    </row>
    <row r="292" spans="1:15" hidden="1">
      <c r="A292">
        <v>290</v>
      </c>
      <c r="B292">
        <f t="shared" si="52"/>
        <v>0.06</v>
      </c>
      <c r="C292" s="10">
        <f t="shared" si="53"/>
        <v>0.03</v>
      </c>
      <c r="D292" s="10">
        <f t="shared" si="54"/>
        <v>0.06</v>
      </c>
      <c r="E292" s="10">
        <f t="shared" si="55"/>
        <v>0.09</v>
      </c>
      <c r="F292" s="25">
        <f t="shared" si="56"/>
        <v>2.5350486138366879E-3</v>
      </c>
      <c r="G292" s="8">
        <f t="shared" si="57"/>
        <v>0.99746495138616331</v>
      </c>
      <c r="H292" s="13">
        <f t="shared" si="58"/>
        <v>5.1430128318229462E-3</v>
      </c>
      <c r="I292" s="8">
        <f t="shared" si="59"/>
        <v>0.99485698716817705</v>
      </c>
      <c r="J292" s="14">
        <f t="shared" si="60"/>
        <v>7.8284203424832111E-3</v>
      </c>
      <c r="K292" s="8">
        <f t="shared" si="61"/>
        <v>0.99217157965751679</v>
      </c>
      <c r="L292" s="21">
        <v>290</v>
      </c>
      <c r="M292" s="5">
        <f t="shared" si="62"/>
        <v>0.49703264435126193</v>
      </c>
      <c r="N292" s="5">
        <f t="shared" si="63"/>
        <v>0.24177216498705434</v>
      </c>
      <c r="O292" s="5">
        <f t="shared" si="64"/>
        <v>0.11493766632278314</v>
      </c>
    </row>
    <row r="293" spans="1:15" hidden="1">
      <c r="A293">
        <v>291</v>
      </c>
      <c r="B293">
        <f t="shared" si="52"/>
        <v>0.06</v>
      </c>
      <c r="C293" s="10">
        <f t="shared" si="53"/>
        <v>0.03</v>
      </c>
      <c r="D293" s="10">
        <f t="shared" si="54"/>
        <v>0.06</v>
      </c>
      <c r="E293" s="10">
        <f t="shared" si="55"/>
        <v>0.09</v>
      </c>
      <c r="F293" s="25">
        <f t="shared" si="56"/>
        <v>2.5350486138366879E-3</v>
      </c>
      <c r="G293" s="8">
        <f t="shared" si="57"/>
        <v>0.99746495138616331</v>
      </c>
      <c r="H293" s="13">
        <f t="shared" si="58"/>
        <v>5.1430128318229462E-3</v>
      </c>
      <c r="I293" s="8">
        <f t="shared" si="59"/>
        <v>0.99485698716817705</v>
      </c>
      <c r="J293" s="14">
        <f t="shared" si="60"/>
        <v>7.8284203424832111E-3</v>
      </c>
      <c r="K293" s="8">
        <f t="shared" si="61"/>
        <v>0.99217157965751679</v>
      </c>
      <c r="L293" s="21">
        <v>291</v>
      </c>
      <c r="M293" s="5">
        <f t="shared" si="62"/>
        <v>0.49577264243516767</v>
      </c>
      <c r="N293" s="5">
        <f t="shared" si="63"/>
        <v>0.24052872764014829</v>
      </c>
      <c r="O293" s="5">
        <f t="shared" si="64"/>
        <v>0.11403788595762432</v>
      </c>
    </row>
    <row r="294" spans="1:15" hidden="1">
      <c r="A294">
        <v>292</v>
      </c>
      <c r="B294">
        <f t="shared" si="52"/>
        <v>0.06</v>
      </c>
      <c r="C294" s="10">
        <f t="shared" si="53"/>
        <v>0.03</v>
      </c>
      <c r="D294" s="10">
        <f t="shared" si="54"/>
        <v>0.06</v>
      </c>
      <c r="E294" s="10">
        <f t="shared" si="55"/>
        <v>0.09</v>
      </c>
      <c r="F294" s="25">
        <f t="shared" si="56"/>
        <v>2.5350486138366879E-3</v>
      </c>
      <c r="G294" s="8">
        <f t="shared" si="57"/>
        <v>0.99746495138616331</v>
      </c>
      <c r="H294" s="13">
        <f t="shared" si="58"/>
        <v>5.1430128318229462E-3</v>
      </c>
      <c r="I294" s="8">
        <f t="shared" si="59"/>
        <v>0.99485698716817705</v>
      </c>
      <c r="J294" s="14">
        <f t="shared" si="60"/>
        <v>7.8284203424832111E-3</v>
      </c>
      <c r="K294" s="8">
        <f t="shared" si="61"/>
        <v>0.99217157965751679</v>
      </c>
      <c r="L294" s="21">
        <v>292</v>
      </c>
      <c r="M294" s="5">
        <f t="shared" si="62"/>
        <v>0.49451583468518423</v>
      </c>
      <c r="N294" s="5">
        <f t="shared" si="63"/>
        <v>0.23929168530747297</v>
      </c>
      <c r="O294" s="5">
        <f t="shared" si="64"/>
        <v>0.11314514945137988</v>
      </c>
    </row>
    <row r="295" spans="1:15" hidden="1">
      <c r="A295">
        <v>293</v>
      </c>
      <c r="B295">
        <f t="shared" si="52"/>
        <v>0.06</v>
      </c>
      <c r="C295" s="10">
        <f t="shared" si="53"/>
        <v>0.03</v>
      </c>
      <c r="D295" s="10">
        <f t="shared" si="54"/>
        <v>0.06</v>
      </c>
      <c r="E295" s="10">
        <f t="shared" si="55"/>
        <v>0.09</v>
      </c>
      <c r="F295" s="25">
        <f t="shared" si="56"/>
        <v>2.5350486138366879E-3</v>
      </c>
      <c r="G295" s="8">
        <f t="shared" si="57"/>
        <v>0.99746495138616331</v>
      </c>
      <c r="H295" s="13">
        <f t="shared" si="58"/>
        <v>5.1430128318229462E-3</v>
      </c>
      <c r="I295" s="8">
        <f t="shared" si="59"/>
        <v>0.99485698716817705</v>
      </c>
      <c r="J295" s="14">
        <f t="shared" si="60"/>
        <v>7.8284203424832111E-3</v>
      </c>
      <c r="K295" s="8">
        <f t="shared" si="61"/>
        <v>0.99217157965751679</v>
      </c>
      <c r="L295" s="21">
        <v>293</v>
      </c>
      <c r="M295" s="5">
        <f t="shared" si="62"/>
        <v>0.49326221300394524</v>
      </c>
      <c r="N295" s="5">
        <f t="shared" si="63"/>
        <v>0.2380610050993881</v>
      </c>
      <c r="O295" s="5">
        <f t="shared" si="64"/>
        <v>0.11225940166176139</v>
      </c>
    </row>
    <row r="296" spans="1:15" hidden="1">
      <c r="A296">
        <v>294</v>
      </c>
      <c r="B296">
        <f t="shared" si="52"/>
        <v>0.06</v>
      </c>
      <c r="C296" s="10">
        <f t="shared" si="53"/>
        <v>0.03</v>
      </c>
      <c r="D296" s="10">
        <f t="shared" si="54"/>
        <v>0.06</v>
      </c>
      <c r="E296" s="10">
        <f t="shared" si="55"/>
        <v>0.09</v>
      </c>
      <c r="F296" s="25">
        <f t="shared" si="56"/>
        <v>2.5350486138366879E-3</v>
      </c>
      <c r="G296" s="8">
        <f t="shared" si="57"/>
        <v>0.99746495138616331</v>
      </c>
      <c r="H296" s="13">
        <f t="shared" si="58"/>
        <v>5.1430128318229462E-3</v>
      </c>
      <c r="I296" s="8">
        <f t="shared" si="59"/>
        <v>0.99485698716817705</v>
      </c>
      <c r="J296" s="14">
        <f t="shared" si="60"/>
        <v>7.8284203424832111E-3</v>
      </c>
      <c r="K296" s="8">
        <f t="shared" si="61"/>
        <v>0.99217157965751679</v>
      </c>
      <c r="L296" s="21">
        <v>294</v>
      </c>
      <c r="M296" s="5">
        <f t="shared" si="62"/>
        <v>0.49201176931461155</v>
      </c>
      <c r="N296" s="5">
        <f t="shared" si="63"/>
        <v>0.23683665429540529</v>
      </c>
      <c r="O296" s="5">
        <f t="shared" si="64"/>
        <v>0.11138058787815747</v>
      </c>
    </row>
    <row r="297" spans="1:15" hidden="1">
      <c r="A297">
        <v>295</v>
      </c>
      <c r="B297">
        <f t="shared" si="52"/>
        <v>0.06</v>
      </c>
      <c r="C297" s="10">
        <f t="shared" si="53"/>
        <v>0.03</v>
      </c>
      <c r="D297" s="10">
        <f t="shared" si="54"/>
        <v>0.06</v>
      </c>
      <c r="E297" s="10">
        <f t="shared" si="55"/>
        <v>0.09</v>
      </c>
      <c r="F297" s="25">
        <f t="shared" si="56"/>
        <v>2.5350486138366879E-3</v>
      </c>
      <c r="G297" s="8">
        <f t="shared" si="57"/>
        <v>0.99746495138616331</v>
      </c>
      <c r="H297" s="13">
        <f t="shared" si="58"/>
        <v>5.1430128318229462E-3</v>
      </c>
      <c r="I297" s="8">
        <f t="shared" si="59"/>
        <v>0.99485698716817705</v>
      </c>
      <c r="J297" s="14">
        <f t="shared" si="60"/>
        <v>7.8284203424832111E-3</v>
      </c>
      <c r="K297" s="8">
        <f t="shared" si="61"/>
        <v>0.99217157965751679</v>
      </c>
      <c r="L297" s="21">
        <v>295</v>
      </c>
      <c r="M297" s="5">
        <f t="shared" si="62"/>
        <v>0.49076449556081919</v>
      </c>
      <c r="N297" s="5">
        <f t="shared" si="63"/>
        <v>0.235618600343318</v>
      </c>
      <c r="O297" s="5">
        <f t="shared" si="64"/>
        <v>0.11050865381825437</v>
      </c>
    </row>
    <row r="298" spans="1:15" hidden="1">
      <c r="A298">
        <v>296</v>
      </c>
      <c r="B298">
        <f t="shared" si="52"/>
        <v>0.06</v>
      </c>
      <c r="C298" s="10">
        <f t="shared" si="53"/>
        <v>0.03</v>
      </c>
      <c r="D298" s="10">
        <f t="shared" si="54"/>
        <v>0.06</v>
      </c>
      <c r="E298" s="10">
        <f t="shared" si="55"/>
        <v>0.09</v>
      </c>
      <c r="F298" s="25">
        <f t="shared" si="56"/>
        <v>2.5350486138366879E-3</v>
      </c>
      <c r="G298" s="8">
        <f t="shared" si="57"/>
        <v>0.99746495138616331</v>
      </c>
      <c r="H298" s="13">
        <f t="shared" si="58"/>
        <v>5.1430128318229462E-3</v>
      </c>
      <c r="I298" s="8">
        <f t="shared" si="59"/>
        <v>0.99485698716817705</v>
      </c>
      <c r="J298" s="14">
        <f t="shared" si="60"/>
        <v>7.8284203424832111E-3</v>
      </c>
      <c r="K298" s="8">
        <f t="shared" si="61"/>
        <v>0.99217157965751679</v>
      </c>
      <c r="L298" s="21">
        <v>296</v>
      </c>
      <c r="M298" s="5">
        <f t="shared" si="62"/>
        <v>0.48952038370662748</v>
      </c>
      <c r="N298" s="5">
        <f t="shared" si="63"/>
        <v>0.23440681085833615</v>
      </c>
      <c r="O298" s="5">
        <f t="shared" si="64"/>
        <v>0.10964354562468311</v>
      </c>
    </row>
    <row r="299" spans="1:15" hidden="1">
      <c r="A299">
        <v>297</v>
      </c>
      <c r="B299">
        <f t="shared" si="52"/>
        <v>0.06</v>
      </c>
      <c r="C299" s="10">
        <f t="shared" si="53"/>
        <v>0.03</v>
      </c>
      <c r="D299" s="10">
        <f t="shared" si="54"/>
        <v>0.06</v>
      </c>
      <c r="E299" s="10">
        <f t="shared" si="55"/>
        <v>0.09</v>
      </c>
      <c r="F299" s="25">
        <f t="shared" si="56"/>
        <v>2.5350486138366879E-3</v>
      </c>
      <c r="G299" s="8">
        <f t="shared" si="57"/>
        <v>0.99746495138616331</v>
      </c>
      <c r="H299" s="13">
        <f t="shared" si="58"/>
        <v>5.1430128318229462E-3</v>
      </c>
      <c r="I299" s="8">
        <f t="shared" si="59"/>
        <v>0.99485698716817705</v>
      </c>
      <c r="J299" s="14">
        <f t="shared" si="60"/>
        <v>7.8284203424832111E-3</v>
      </c>
      <c r="K299" s="8">
        <f t="shared" si="61"/>
        <v>0.99217157965751679</v>
      </c>
      <c r="L299" s="21">
        <v>297</v>
      </c>
      <c r="M299" s="5">
        <f t="shared" si="62"/>
        <v>0.48827942573646721</v>
      </c>
      <c r="N299" s="5">
        <f t="shared" si="63"/>
        <v>0.23320125362222502</v>
      </c>
      <c r="O299" s="5">
        <f t="shared" si="64"/>
        <v>0.10878520986169285</v>
      </c>
    </row>
    <row r="300" spans="1:15" hidden="1">
      <c r="A300">
        <v>298</v>
      </c>
      <c r="B300">
        <f t="shared" si="52"/>
        <v>0.06</v>
      </c>
      <c r="C300" s="10">
        <f t="shared" si="53"/>
        <v>0.03</v>
      </c>
      <c r="D300" s="10">
        <f t="shared" si="54"/>
        <v>0.06</v>
      </c>
      <c r="E300" s="10">
        <f t="shared" si="55"/>
        <v>0.09</v>
      </c>
      <c r="F300" s="25">
        <f t="shared" si="56"/>
        <v>2.5350486138366879E-3</v>
      </c>
      <c r="G300" s="8">
        <f t="shared" si="57"/>
        <v>0.99746495138616331</v>
      </c>
      <c r="H300" s="13">
        <f t="shared" si="58"/>
        <v>5.1430128318229462E-3</v>
      </c>
      <c r="I300" s="8">
        <f t="shared" si="59"/>
        <v>0.99485698716817705</v>
      </c>
      <c r="J300" s="14">
        <f t="shared" si="60"/>
        <v>7.8284203424832111E-3</v>
      </c>
      <c r="K300" s="8">
        <f t="shared" si="61"/>
        <v>0.99217157965751679</v>
      </c>
      <c r="L300" s="21">
        <v>298</v>
      </c>
      <c r="M300" s="5">
        <f t="shared" si="62"/>
        <v>0.48704161365508902</v>
      </c>
      <c r="N300" s="5">
        <f t="shared" si="63"/>
        <v>0.23200189658244871</v>
      </c>
      <c r="O300" s="5">
        <f t="shared" si="64"/>
        <v>0.10793359351185026</v>
      </c>
    </row>
    <row r="301" spans="1:15" hidden="1">
      <c r="A301">
        <v>299</v>
      </c>
      <c r="B301">
        <f t="shared" si="52"/>
        <v>0.06</v>
      </c>
      <c r="C301" s="10">
        <f t="shared" si="53"/>
        <v>0.03</v>
      </c>
      <c r="D301" s="10">
        <f t="shared" si="54"/>
        <v>0.06</v>
      </c>
      <c r="E301" s="10">
        <f t="shared" si="55"/>
        <v>0.09</v>
      </c>
      <c r="F301" s="25">
        <f t="shared" si="56"/>
        <v>2.5350486138366879E-3</v>
      </c>
      <c r="G301" s="8">
        <f t="shared" si="57"/>
        <v>0.99746495138616331</v>
      </c>
      <c r="H301" s="13">
        <f t="shared" si="58"/>
        <v>5.1430128318229462E-3</v>
      </c>
      <c r="I301" s="8">
        <f t="shared" si="59"/>
        <v>0.99485698716817705</v>
      </c>
      <c r="J301" s="14">
        <f t="shared" si="60"/>
        <v>7.8284203424832111E-3</v>
      </c>
      <c r="K301" s="8">
        <f t="shared" si="61"/>
        <v>0.99217157965751679</v>
      </c>
      <c r="L301" s="21">
        <v>299</v>
      </c>
      <c r="M301" s="5">
        <f t="shared" si="62"/>
        <v>0.48580693948751191</v>
      </c>
      <c r="N301" s="5">
        <f t="shared" si="63"/>
        <v>0.23080870785131791</v>
      </c>
      <c r="O301" s="5">
        <f t="shared" si="64"/>
        <v>0.10708864397276478</v>
      </c>
    </row>
    <row r="302" spans="1:15" hidden="1">
      <c r="A302">
        <v>300</v>
      </c>
      <c r="B302">
        <f t="shared" si="52"/>
        <v>0.06</v>
      </c>
      <c r="C302" s="10">
        <f t="shared" si="53"/>
        <v>0.03</v>
      </c>
      <c r="D302" s="10">
        <f t="shared" si="54"/>
        <v>0.06</v>
      </c>
      <c r="E302" s="10">
        <f t="shared" si="55"/>
        <v>0.09</v>
      </c>
      <c r="F302" s="25">
        <f t="shared" si="56"/>
        <v>2.5350486138366879E-3</v>
      </c>
      <c r="G302" s="8">
        <f t="shared" si="57"/>
        <v>0.99746495138616331</v>
      </c>
      <c r="H302" s="13">
        <f t="shared" si="58"/>
        <v>5.1430128318229462E-3</v>
      </c>
      <c r="I302" s="8">
        <f t="shared" si="59"/>
        <v>0.99485698716817705</v>
      </c>
      <c r="J302" s="14">
        <f t="shared" si="60"/>
        <v>7.8284203424832111E-3</v>
      </c>
      <c r="K302" s="8">
        <f t="shared" si="61"/>
        <v>0.99217157965751679</v>
      </c>
      <c r="L302" s="21">
        <v>300</v>
      </c>
      <c r="M302" s="5">
        <f t="shared" si="62"/>
        <v>0.48457539527897187</v>
      </c>
      <c r="N302" s="5">
        <f t="shared" si="63"/>
        <v>0.22962165570514209</v>
      </c>
      <c r="O302" s="5">
        <f t="shared" si="64"/>
        <v>0.10625030905383945</v>
      </c>
    </row>
    <row r="303" spans="1:15" hidden="1">
      <c r="A303">
        <v>301</v>
      </c>
      <c r="B303">
        <f t="shared" si="52"/>
        <v>0.06</v>
      </c>
      <c r="C303" s="10">
        <f t="shared" si="53"/>
        <v>0.03</v>
      </c>
      <c r="D303" s="10">
        <f t="shared" si="54"/>
        <v>0.06</v>
      </c>
      <c r="E303" s="10">
        <f t="shared" si="55"/>
        <v>0.09</v>
      </c>
      <c r="F303" s="25">
        <f t="shared" si="56"/>
        <v>2.5350486138366879E-3</v>
      </c>
      <c r="G303" s="8">
        <f t="shared" si="57"/>
        <v>0.99746495138616331</v>
      </c>
      <c r="H303" s="13">
        <f t="shared" si="58"/>
        <v>5.1430128318229462E-3</v>
      </c>
      <c r="I303" s="8">
        <f t="shared" si="59"/>
        <v>0.99485698716817705</v>
      </c>
      <c r="J303" s="14">
        <f t="shared" si="60"/>
        <v>7.8284203424832111E-3</v>
      </c>
      <c r="K303" s="8">
        <f t="shared" si="61"/>
        <v>0.99217157965751679</v>
      </c>
      <c r="L303" s="21">
        <v>301</v>
      </c>
      <c r="M303" s="5">
        <f t="shared" si="62"/>
        <v>0.48334697309487057</v>
      </c>
      <c r="N303" s="5">
        <f t="shared" si="63"/>
        <v>0.22844070858338611</v>
      </c>
      <c r="O303" s="5">
        <f t="shared" si="64"/>
        <v>0.10541853697304725</v>
      </c>
    </row>
    <row r="304" spans="1:15" hidden="1">
      <c r="A304">
        <v>302</v>
      </c>
      <c r="B304">
        <f t="shared" si="52"/>
        <v>0.06</v>
      </c>
      <c r="C304" s="10">
        <f t="shared" si="53"/>
        <v>0.03</v>
      </c>
      <c r="D304" s="10">
        <f t="shared" si="54"/>
        <v>0.06</v>
      </c>
      <c r="E304" s="10">
        <f t="shared" si="55"/>
        <v>0.09</v>
      </c>
      <c r="F304" s="25">
        <f t="shared" si="56"/>
        <v>2.5350486138366879E-3</v>
      </c>
      <c r="G304" s="8">
        <f t="shared" si="57"/>
        <v>0.99746495138616331</v>
      </c>
      <c r="H304" s="13">
        <f t="shared" si="58"/>
        <v>5.1430128318229462E-3</v>
      </c>
      <c r="I304" s="8">
        <f t="shared" si="59"/>
        <v>0.99485698716817705</v>
      </c>
      <c r="J304" s="14">
        <f t="shared" si="60"/>
        <v>7.8284203424832111E-3</v>
      </c>
      <c r="K304" s="8">
        <f t="shared" si="61"/>
        <v>0.99217157965751679</v>
      </c>
      <c r="L304" s="21">
        <v>302</v>
      </c>
      <c r="M304" s="5">
        <f t="shared" si="62"/>
        <v>0.48212166502072423</v>
      </c>
      <c r="N304" s="5">
        <f t="shared" si="63"/>
        <v>0.22726583508783102</v>
      </c>
      <c r="O304" s="5">
        <f t="shared" si="64"/>
        <v>0.10459327635373263</v>
      </c>
    </row>
    <row r="305" spans="1:15" hidden="1">
      <c r="A305">
        <v>303</v>
      </c>
      <c r="B305">
        <f t="shared" si="52"/>
        <v>0.06</v>
      </c>
      <c r="C305" s="10">
        <f t="shared" si="53"/>
        <v>0.03</v>
      </c>
      <c r="D305" s="10">
        <f t="shared" si="54"/>
        <v>0.06</v>
      </c>
      <c r="E305" s="10">
        <f t="shared" si="55"/>
        <v>0.09</v>
      </c>
      <c r="F305" s="25">
        <f t="shared" si="56"/>
        <v>2.5350486138366879E-3</v>
      </c>
      <c r="G305" s="8">
        <f t="shared" si="57"/>
        <v>0.99746495138616331</v>
      </c>
      <c r="H305" s="13">
        <f t="shared" si="58"/>
        <v>5.1430128318229462E-3</v>
      </c>
      <c r="I305" s="8">
        <f t="shared" si="59"/>
        <v>0.99485698716817705</v>
      </c>
      <c r="J305" s="14">
        <f t="shared" si="60"/>
        <v>7.8284203424832111E-3</v>
      </c>
      <c r="K305" s="8">
        <f t="shared" si="61"/>
        <v>0.99217157965751679</v>
      </c>
      <c r="L305" s="21">
        <v>303</v>
      </c>
      <c r="M305" s="5">
        <f t="shared" si="62"/>
        <v>0.48089946316211279</v>
      </c>
      <c r="N305" s="5">
        <f t="shared" si="63"/>
        <v>0.22609700398173935</v>
      </c>
      <c r="O305" s="5">
        <f t="shared" si="64"/>
        <v>0.10377447622143809</v>
      </c>
    </row>
    <row r="306" spans="1:15" hidden="1">
      <c r="A306">
        <v>304</v>
      </c>
      <c r="B306">
        <f t="shared" si="52"/>
        <v>0.06</v>
      </c>
      <c r="C306" s="10">
        <f t="shared" si="53"/>
        <v>0.03</v>
      </c>
      <c r="D306" s="10">
        <f t="shared" si="54"/>
        <v>0.06</v>
      </c>
      <c r="E306" s="10">
        <f t="shared" si="55"/>
        <v>0.09</v>
      </c>
      <c r="F306" s="25">
        <f t="shared" si="56"/>
        <v>2.5350486138366879E-3</v>
      </c>
      <c r="G306" s="8">
        <f t="shared" si="57"/>
        <v>0.99746495138616331</v>
      </c>
      <c r="H306" s="13">
        <f t="shared" si="58"/>
        <v>5.1430128318229462E-3</v>
      </c>
      <c r="I306" s="8">
        <f t="shared" si="59"/>
        <v>0.99485698716817705</v>
      </c>
      <c r="J306" s="14">
        <f t="shared" si="60"/>
        <v>7.8284203424832111E-3</v>
      </c>
      <c r="K306" s="8">
        <f t="shared" si="61"/>
        <v>0.99217157965751679</v>
      </c>
      <c r="L306" s="21">
        <v>304</v>
      </c>
      <c r="M306" s="5">
        <f t="shared" si="62"/>
        <v>0.47968035964462885</v>
      </c>
      <c r="N306" s="5">
        <f t="shared" si="63"/>
        <v>0.22493418418902453</v>
      </c>
      <c r="O306" s="5">
        <f t="shared" si="64"/>
        <v>0.10296208600075565</v>
      </c>
    </row>
    <row r="307" spans="1:15" hidden="1">
      <c r="A307">
        <v>305</v>
      </c>
      <c r="B307">
        <f t="shared" si="52"/>
        <v>0.06</v>
      </c>
      <c r="C307" s="10">
        <f t="shared" si="53"/>
        <v>0.03</v>
      </c>
      <c r="D307" s="10">
        <f t="shared" si="54"/>
        <v>0.06</v>
      </c>
      <c r="E307" s="10">
        <f t="shared" si="55"/>
        <v>0.09</v>
      </c>
      <c r="F307" s="25">
        <f t="shared" si="56"/>
        <v>2.5350486138366879E-3</v>
      </c>
      <c r="G307" s="8">
        <f t="shared" si="57"/>
        <v>0.99746495138616331</v>
      </c>
      <c r="H307" s="13">
        <f t="shared" si="58"/>
        <v>5.1430128318229462E-3</v>
      </c>
      <c r="I307" s="8">
        <f t="shared" si="59"/>
        <v>0.99485698716817705</v>
      </c>
      <c r="J307" s="14">
        <f t="shared" si="60"/>
        <v>7.8284203424832111E-3</v>
      </c>
      <c r="K307" s="8">
        <f t="shared" si="61"/>
        <v>0.99217157965751679</v>
      </c>
      <c r="L307" s="21">
        <v>305</v>
      </c>
      <c r="M307" s="5">
        <f t="shared" si="62"/>
        <v>0.47846434661382703</v>
      </c>
      <c r="N307" s="5">
        <f t="shared" si="63"/>
        <v>0.22377734479342476</v>
      </c>
      <c r="O307" s="5">
        <f t="shared" si="64"/>
        <v>0.10215605551220283</v>
      </c>
    </row>
    <row r="308" spans="1:15" hidden="1">
      <c r="A308">
        <v>306</v>
      </c>
      <c r="B308">
        <f t="shared" si="52"/>
        <v>0.06</v>
      </c>
      <c r="C308" s="10">
        <f t="shared" si="53"/>
        <v>0.03</v>
      </c>
      <c r="D308" s="10">
        <f t="shared" si="54"/>
        <v>0.06</v>
      </c>
      <c r="E308" s="10">
        <f t="shared" si="55"/>
        <v>0.09</v>
      </c>
      <c r="F308" s="25">
        <f t="shared" si="56"/>
        <v>2.5350486138366879E-3</v>
      </c>
      <c r="G308" s="8">
        <f t="shared" si="57"/>
        <v>0.99746495138616331</v>
      </c>
      <c r="H308" s="13">
        <f t="shared" si="58"/>
        <v>5.1430128318229462E-3</v>
      </c>
      <c r="I308" s="8">
        <f t="shared" si="59"/>
        <v>0.99485698716817705</v>
      </c>
      <c r="J308" s="14">
        <f t="shared" si="60"/>
        <v>7.8284203424832111E-3</v>
      </c>
      <c r="K308" s="8">
        <f t="shared" si="61"/>
        <v>0.99217157965751679</v>
      </c>
      <c r="L308" s="21">
        <v>306</v>
      </c>
      <c r="M308" s="5">
        <f t="shared" si="62"/>
        <v>0.47725141623517336</v>
      </c>
      <c r="N308" s="5">
        <f t="shared" si="63"/>
        <v>0.22262645503768091</v>
      </c>
      <c r="O308" s="5">
        <f t="shared" si="64"/>
        <v>0.10135633496912326</v>
      </c>
    </row>
    <row r="309" spans="1:15" hidden="1">
      <c r="A309">
        <v>307</v>
      </c>
      <c r="B309">
        <f t="shared" si="52"/>
        <v>0.06</v>
      </c>
      <c r="C309" s="10">
        <f t="shared" si="53"/>
        <v>0.03</v>
      </c>
      <c r="D309" s="10">
        <f t="shared" si="54"/>
        <v>0.06</v>
      </c>
      <c r="E309" s="10">
        <f t="shared" si="55"/>
        <v>0.09</v>
      </c>
      <c r="F309" s="25">
        <f t="shared" si="56"/>
        <v>2.5350486138366879E-3</v>
      </c>
      <c r="G309" s="8">
        <f t="shared" si="57"/>
        <v>0.99746495138616331</v>
      </c>
      <c r="H309" s="13">
        <f t="shared" si="58"/>
        <v>5.1430128318229462E-3</v>
      </c>
      <c r="I309" s="8">
        <f t="shared" si="59"/>
        <v>0.99485698716817705</v>
      </c>
      <c r="J309" s="14">
        <f t="shared" si="60"/>
        <v>7.8284203424832111E-3</v>
      </c>
      <c r="K309" s="8">
        <f t="shared" si="61"/>
        <v>0.99217157965751679</v>
      </c>
      <c r="L309" s="21">
        <v>307</v>
      </c>
      <c r="M309" s="5">
        <f t="shared" si="62"/>
        <v>0.47604156069399478</v>
      </c>
      <c r="N309" s="5">
        <f t="shared" si="63"/>
        <v>0.22148148432271886</v>
      </c>
      <c r="O309" s="5">
        <f t="shared" si="64"/>
        <v>0.10056287497461143</v>
      </c>
    </row>
    <row r="310" spans="1:15" hidden="1">
      <c r="A310">
        <v>308</v>
      </c>
      <c r="B310">
        <f t="shared" si="52"/>
        <v>0.06</v>
      </c>
      <c r="C310" s="10">
        <f t="shared" si="53"/>
        <v>0.03</v>
      </c>
      <c r="D310" s="10">
        <f t="shared" si="54"/>
        <v>0.06</v>
      </c>
      <c r="E310" s="10">
        <f t="shared" si="55"/>
        <v>0.09</v>
      </c>
      <c r="F310" s="25">
        <f t="shared" si="56"/>
        <v>2.5350486138366879E-3</v>
      </c>
      <c r="G310" s="8">
        <f t="shared" si="57"/>
        <v>0.99746495138616331</v>
      </c>
      <c r="H310" s="13">
        <f t="shared" si="58"/>
        <v>5.1430128318229462E-3</v>
      </c>
      <c r="I310" s="8">
        <f t="shared" si="59"/>
        <v>0.99485698716817705</v>
      </c>
      <c r="J310" s="14">
        <f t="shared" si="60"/>
        <v>7.8284203424832111E-3</v>
      </c>
      <c r="K310" s="8">
        <f t="shared" si="61"/>
        <v>0.99217157965751679</v>
      </c>
      <c r="L310" s="21">
        <v>308</v>
      </c>
      <c r="M310" s="5">
        <f t="shared" si="62"/>
        <v>0.4748347721954288</v>
      </c>
      <c r="N310" s="5">
        <f t="shared" si="63"/>
        <v>0.22034240220683593</v>
      </c>
      <c r="O310" s="5">
        <f t="shared" si="64"/>
        <v>9.9775626518461585E-2</v>
      </c>
    </row>
    <row r="311" spans="1:15" hidden="1">
      <c r="A311">
        <v>309</v>
      </c>
      <c r="B311">
        <f t="shared" si="52"/>
        <v>0.06</v>
      </c>
      <c r="C311" s="10">
        <f t="shared" si="53"/>
        <v>0.03</v>
      </c>
      <c r="D311" s="10">
        <f t="shared" si="54"/>
        <v>0.06</v>
      </c>
      <c r="E311" s="10">
        <f t="shared" si="55"/>
        <v>0.09</v>
      </c>
      <c r="F311" s="25">
        <f t="shared" si="56"/>
        <v>2.5350486138366879E-3</v>
      </c>
      <c r="G311" s="8">
        <f t="shared" si="57"/>
        <v>0.99746495138616331</v>
      </c>
      <c r="H311" s="13">
        <f t="shared" si="58"/>
        <v>5.1430128318229462E-3</v>
      </c>
      <c r="I311" s="8">
        <f t="shared" si="59"/>
        <v>0.99485698716817705</v>
      </c>
      <c r="J311" s="14">
        <f t="shared" si="60"/>
        <v>7.8284203424832111E-3</v>
      </c>
      <c r="K311" s="8">
        <f t="shared" si="61"/>
        <v>0.99217157965751679</v>
      </c>
      <c r="L311" s="21">
        <v>309</v>
      </c>
      <c r="M311" s="5">
        <f t="shared" si="62"/>
        <v>0.47363104296437331</v>
      </c>
      <c r="N311" s="5">
        <f t="shared" si="63"/>
        <v>0.21920917840489149</v>
      </c>
      <c r="O311" s="5">
        <f t="shared" si="64"/>
        <v>9.8994540974140455E-2</v>
      </c>
    </row>
    <row r="312" spans="1:15" hidden="1">
      <c r="A312">
        <v>310</v>
      </c>
      <c r="B312">
        <f t="shared" si="52"/>
        <v>0.06</v>
      </c>
      <c r="C312" s="10">
        <f t="shared" si="53"/>
        <v>0.03</v>
      </c>
      <c r="D312" s="10">
        <f t="shared" si="54"/>
        <v>0.06</v>
      </c>
      <c r="E312" s="10">
        <f t="shared" si="55"/>
        <v>0.09</v>
      </c>
      <c r="F312" s="25">
        <f t="shared" si="56"/>
        <v>2.5350486138366879E-3</v>
      </c>
      <c r="G312" s="8">
        <f t="shared" si="57"/>
        <v>0.99746495138616331</v>
      </c>
      <c r="H312" s="13">
        <f t="shared" si="58"/>
        <v>5.1430128318229462E-3</v>
      </c>
      <c r="I312" s="8">
        <f t="shared" si="59"/>
        <v>0.99485698716817705</v>
      </c>
      <c r="J312" s="14">
        <f t="shared" si="60"/>
        <v>7.8284203424832111E-3</v>
      </c>
      <c r="K312" s="8">
        <f t="shared" si="61"/>
        <v>0.99217157965751679</v>
      </c>
      <c r="L312" s="21">
        <v>310</v>
      </c>
      <c r="M312" s="5">
        <f t="shared" si="62"/>
        <v>0.47243036524543647</v>
      </c>
      <c r="N312" s="5">
        <f t="shared" si="63"/>
        <v>0.21808178278750176</v>
      </c>
      <c r="O312" s="5">
        <f t="shared" si="64"/>
        <v>9.8219570095783706E-2</v>
      </c>
    </row>
    <row r="313" spans="1:15" hidden="1">
      <c r="A313">
        <v>311</v>
      </c>
      <c r="B313">
        <f t="shared" si="52"/>
        <v>0.06</v>
      </c>
      <c r="C313" s="10">
        <f t="shared" si="53"/>
        <v>0.03</v>
      </c>
      <c r="D313" s="10">
        <f t="shared" si="54"/>
        <v>0.06</v>
      </c>
      <c r="E313" s="10">
        <f t="shared" si="55"/>
        <v>0.09</v>
      </c>
      <c r="F313" s="25">
        <f t="shared" si="56"/>
        <v>2.5350486138366879E-3</v>
      </c>
      <c r="G313" s="8">
        <f t="shared" si="57"/>
        <v>0.99746495138616331</v>
      </c>
      <c r="H313" s="13">
        <f t="shared" si="58"/>
        <v>5.1430128318229462E-3</v>
      </c>
      <c r="I313" s="8">
        <f t="shared" si="59"/>
        <v>0.99485698716817705</v>
      </c>
      <c r="J313" s="14">
        <f t="shared" si="60"/>
        <v>7.8284203424832111E-3</v>
      </c>
      <c r="K313" s="8">
        <f t="shared" si="61"/>
        <v>0.99217157965751679</v>
      </c>
      <c r="L313" s="21">
        <v>311</v>
      </c>
      <c r="M313" s="5">
        <f t="shared" si="62"/>
        <v>0.47123273130288668</v>
      </c>
      <c r="N313" s="5">
        <f t="shared" si="63"/>
        <v>0.21696018538023881</v>
      </c>
      <c r="O313" s="5">
        <f t="shared" si="64"/>
        <v>9.7450666015215917E-2</v>
      </c>
    </row>
    <row r="314" spans="1:15" hidden="1">
      <c r="A314">
        <v>312</v>
      </c>
      <c r="B314">
        <f t="shared" si="52"/>
        <v>0.06</v>
      </c>
      <c r="C314" s="10">
        <f t="shared" si="53"/>
        <v>0.03</v>
      </c>
      <c r="D314" s="10">
        <f t="shared" si="54"/>
        <v>0.06</v>
      </c>
      <c r="E314" s="10">
        <f t="shared" si="55"/>
        <v>0.09</v>
      </c>
      <c r="F314" s="25">
        <f t="shared" si="56"/>
        <v>2.5350486138366879E-3</v>
      </c>
      <c r="G314" s="8">
        <f t="shared" si="57"/>
        <v>0.99746495138616331</v>
      </c>
      <c r="H314" s="13">
        <f t="shared" si="58"/>
        <v>5.1430128318229462E-3</v>
      </c>
      <c r="I314" s="8">
        <f t="shared" si="59"/>
        <v>0.99485698716817705</v>
      </c>
      <c r="J314" s="14">
        <f t="shared" si="60"/>
        <v>7.8284203424832111E-3</v>
      </c>
      <c r="K314" s="8">
        <f t="shared" si="61"/>
        <v>0.99217157965751679</v>
      </c>
      <c r="L314" s="21">
        <v>312</v>
      </c>
      <c r="M314" s="5">
        <f t="shared" si="62"/>
        <v>0.4700381334206028</v>
      </c>
      <c r="N314" s="5">
        <f t="shared" si="63"/>
        <v>0.21584435636283356</v>
      </c>
      <c r="O314" s="5">
        <f t="shared" si="64"/>
        <v>9.6687781238993867E-2</v>
      </c>
    </row>
    <row r="315" spans="1:15" hidden="1">
      <c r="A315">
        <v>313</v>
      </c>
      <c r="B315">
        <f t="shared" si="52"/>
        <v>0.06</v>
      </c>
      <c r="C315" s="10">
        <f t="shared" si="53"/>
        <v>0.03</v>
      </c>
      <c r="D315" s="10">
        <f t="shared" si="54"/>
        <v>0.06</v>
      </c>
      <c r="E315" s="10">
        <f t="shared" si="55"/>
        <v>0.09</v>
      </c>
      <c r="F315" s="25">
        <f t="shared" si="56"/>
        <v>2.5350486138366879E-3</v>
      </c>
      <c r="G315" s="8">
        <f t="shared" si="57"/>
        <v>0.99746495138616331</v>
      </c>
      <c r="H315" s="13">
        <f t="shared" si="58"/>
        <v>5.1430128318229462E-3</v>
      </c>
      <c r="I315" s="8">
        <f t="shared" si="59"/>
        <v>0.99485698716817705</v>
      </c>
      <c r="J315" s="14">
        <f t="shared" si="60"/>
        <v>7.8284203424832111E-3</v>
      </c>
      <c r="K315" s="8">
        <f t="shared" si="61"/>
        <v>0.99217157965751679</v>
      </c>
      <c r="L315" s="21">
        <v>313</v>
      </c>
      <c r="M315" s="5">
        <f t="shared" si="62"/>
        <v>0.4688465639020245</v>
      </c>
      <c r="N315" s="5">
        <f t="shared" si="63"/>
        <v>0.21473426606838295</v>
      </c>
      <c r="O315" s="5">
        <f t="shared" si="64"/>
        <v>9.5930868645472955E-2</v>
      </c>
    </row>
    <row r="316" spans="1:15" hidden="1">
      <c r="A316">
        <v>314</v>
      </c>
      <c r="B316">
        <f t="shared" si="52"/>
        <v>0.06</v>
      </c>
      <c r="C316" s="10">
        <f t="shared" si="53"/>
        <v>0.03</v>
      </c>
      <c r="D316" s="10">
        <f t="shared" si="54"/>
        <v>0.06</v>
      </c>
      <c r="E316" s="10">
        <f t="shared" si="55"/>
        <v>0.09</v>
      </c>
      <c r="F316" s="25">
        <f t="shared" si="56"/>
        <v>2.5350486138366879E-3</v>
      </c>
      <c r="G316" s="8">
        <f t="shared" si="57"/>
        <v>0.99746495138616331</v>
      </c>
      <c r="H316" s="13">
        <f t="shared" si="58"/>
        <v>5.1430128318229462E-3</v>
      </c>
      <c r="I316" s="8">
        <f t="shared" si="59"/>
        <v>0.99485698716817705</v>
      </c>
      <c r="J316" s="14">
        <f t="shared" si="60"/>
        <v>7.8284203424832111E-3</v>
      </c>
      <c r="K316" s="8">
        <f t="shared" si="61"/>
        <v>0.99217157965751679</v>
      </c>
      <c r="L316" s="21">
        <v>314</v>
      </c>
      <c r="M316" s="5">
        <f t="shared" si="62"/>
        <v>0.46765801507010257</v>
      </c>
      <c r="N316" s="5">
        <f t="shared" si="63"/>
        <v>0.21362988498256116</v>
      </c>
      <c r="O316" s="5">
        <f t="shared" si="64"/>
        <v>9.5179881481896655E-2</v>
      </c>
    </row>
    <row r="317" spans="1:15" hidden="1">
      <c r="A317">
        <v>315</v>
      </c>
      <c r="B317">
        <f t="shared" si="52"/>
        <v>0.06</v>
      </c>
      <c r="C317" s="10">
        <f t="shared" si="53"/>
        <v>0.03</v>
      </c>
      <c r="D317" s="10">
        <f t="shared" si="54"/>
        <v>0.06</v>
      </c>
      <c r="E317" s="10">
        <f t="shared" si="55"/>
        <v>0.09</v>
      </c>
      <c r="F317" s="25">
        <f t="shared" si="56"/>
        <v>2.5350486138366879E-3</v>
      </c>
      <c r="G317" s="8">
        <f t="shared" si="57"/>
        <v>0.99746495138616331</v>
      </c>
      <c r="H317" s="13">
        <f t="shared" si="58"/>
        <v>5.1430128318229462E-3</v>
      </c>
      <c r="I317" s="8">
        <f t="shared" si="59"/>
        <v>0.99485698716817705</v>
      </c>
      <c r="J317" s="14">
        <f t="shared" si="60"/>
        <v>7.8284203424832111E-3</v>
      </c>
      <c r="K317" s="8">
        <f t="shared" si="61"/>
        <v>0.99217157965751679</v>
      </c>
      <c r="L317" s="21">
        <v>315</v>
      </c>
      <c r="M317" s="5">
        <f t="shared" si="62"/>
        <v>0.4664724792672495</v>
      </c>
      <c r="N317" s="5">
        <f t="shared" si="63"/>
        <v>0.212531183742835</v>
      </c>
      <c r="O317" s="5">
        <f t="shared" si="64"/>
        <v>9.4434773361508628E-2</v>
      </c>
    </row>
    <row r="318" spans="1:15" hidden="1">
      <c r="A318">
        <v>316</v>
      </c>
      <c r="B318">
        <f t="shared" si="52"/>
        <v>0.06</v>
      </c>
      <c r="C318" s="10">
        <f t="shared" si="53"/>
        <v>0.03</v>
      </c>
      <c r="D318" s="10">
        <f t="shared" si="54"/>
        <v>0.06</v>
      </c>
      <c r="E318" s="10">
        <f t="shared" si="55"/>
        <v>0.09</v>
      </c>
      <c r="F318" s="25">
        <f t="shared" si="56"/>
        <v>2.5350486138366879E-3</v>
      </c>
      <c r="G318" s="8">
        <f t="shared" si="57"/>
        <v>0.99746495138616331</v>
      </c>
      <c r="H318" s="13">
        <f t="shared" si="58"/>
        <v>5.1430128318229462E-3</v>
      </c>
      <c r="I318" s="8">
        <f t="shared" si="59"/>
        <v>0.99485698716817705</v>
      </c>
      <c r="J318" s="14">
        <f t="shared" si="60"/>
        <v>7.8284203424832111E-3</v>
      </c>
      <c r="K318" s="8">
        <f t="shared" si="61"/>
        <v>0.99217157965751679</v>
      </c>
      <c r="L318" s="21">
        <v>316</v>
      </c>
      <c r="M318" s="5">
        <f t="shared" si="62"/>
        <v>0.46528994885529007</v>
      </c>
      <c r="N318" s="5">
        <f t="shared" si="63"/>
        <v>0.21143813313768309</v>
      </c>
      <c r="O318" s="5">
        <f t="shared" si="64"/>
        <v>9.3695498260687599E-2</v>
      </c>
    </row>
    <row r="319" spans="1:15" hidden="1">
      <c r="A319">
        <v>317</v>
      </c>
      <c r="B319">
        <f t="shared" si="52"/>
        <v>0.06</v>
      </c>
      <c r="C319" s="10">
        <f t="shared" si="53"/>
        <v>0.03</v>
      </c>
      <c r="D319" s="10">
        <f t="shared" si="54"/>
        <v>0.06</v>
      </c>
      <c r="E319" s="10">
        <f t="shared" si="55"/>
        <v>0.09</v>
      </c>
      <c r="F319" s="25">
        <f t="shared" si="56"/>
        <v>2.5350486138366879E-3</v>
      </c>
      <c r="G319" s="8">
        <f t="shared" si="57"/>
        <v>0.99746495138616331</v>
      </c>
      <c r="H319" s="13">
        <f t="shared" si="58"/>
        <v>5.1430128318229462E-3</v>
      </c>
      <c r="I319" s="8">
        <f t="shared" si="59"/>
        <v>0.99485698716817705</v>
      </c>
      <c r="J319" s="14">
        <f t="shared" si="60"/>
        <v>7.8284203424832111E-3</v>
      </c>
      <c r="K319" s="8">
        <f t="shared" si="61"/>
        <v>0.99217157965751679</v>
      </c>
      <c r="L319" s="21">
        <v>317</v>
      </c>
      <c r="M319" s="5">
        <f t="shared" si="62"/>
        <v>0.46411041621541232</v>
      </c>
      <c r="N319" s="5">
        <f t="shared" si="63"/>
        <v>0.2103507041058193</v>
      </c>
      <c r="O319" s="5">
        <f t="shared" si="64"/>
        <v>9.2962010516104532E-2</v>
      </c>
    </row>
    <row r="320" spans="1:15" hidden="1">
      <c r="A320">
        <v>318</v>
      </c>
      <c r="B320">
        <f t="shared" si="52"/>
        <v>0.06</v>
      </c>
      <c r="C320" s="10">
        <f t="shared" si="53"/>
        <v>0.03</v>
      </c>
      <c r="D320" s="10">
        <f t="shared" si="54"/>
        <v>0.06</v>
      </c>
      <c r="E320" s="10">
        <f t="shared" si="55"/>
        <v>0.09</v>
      </c>
      <c r="F320" s="25">
        <f t="shared" si="56"/>
        <v>2.5350486138366879E-3</v>
      </c>
      <c r="G320" s="8">
        <f t="shared" si="57"/>
        <v>0.99746495138616331</v>
      </c>
      <c r="H320" s="13">
        <f t="shared" si="58"/>
        <v>5.1430128318229462E-3</v>
      </c>
      <c r="I320" s="8">
        <f t="shared" si="59"/>
        <v>0.99485698716817705</v>
      </c>
      <c r="J320" s="14">
        <f t="shared" si="60"/>
        <v>7.8284203424832111E-3</v>
      </c>
      <c r="K320" s="8">
        <f t="shared" si="61"/>
        <v>0.99217157965751679</v>
      </c>
      <c r="L320" s="21">
        <v>318</v>
      </c>
      <c r="M320" s="5">
        <f t="shared" si="62"/>
        <v>0.46293387374811829</v>
      </c>
      <c r="N320" s="5">
        <f t="shared" si="63"/>
        <v>0.20926886773542008</v>
      </c>
      <c r="O320" s="5">
        <f t="shared" si="64"/>
        <v>9.2234264821902126E-2</v>
      </c>
    </row>
    <row r="321" spans="1:15" hidden="1">
      <c r="A321">
        <v>319</v>
      </c>
      <c r="B321">
        <f t="shared" si="52"/>
        <v>0.06</v>
      </c>
      <c r="C321" s="10">
        <f t="shared" si="53"/>
        <v>0.03</v>
      </c>
      <c r="D321" s="10">
        <f t="shared" si="54"/>
        <v>0.06</v>
      </c>
      <c r="E321" s="10">
        <f t="shared" si="55"/>
        <v>0.09</v>
      </c>
      <c r="F321" s="25">
        <f t="shared" si="56"/>
        <v>2.5350486138366879E-3</v>
      </c>
      <c r="G321" s="8">
        <f t="shared" si="57"/>
        <v>0.99746495138616331</v>
      </c>
      <c r="H321" s="13">
        <f t="shared" si="58"/>
        <v>5.1430128318229462E-3</v>
      </c>
      <c r="I321" s="8">
        <f t="shared" si="59"/>
        <v>0.99485698716817705</v>
      </c>
      <c r="J321" s="14">
        <f t="shared" si="60"/>
        <v>7.8284203424832111E-3</v>
      </c>
      <c r="K321" s="8">
        <f t="shared" si="61"/>
        <v>0.99217157965751679</v>
      </c>
      <c r="L321" s="21">
        <v>319</v>
      </c>
      <c r="M321" s="5">
        <f t="shared" si="62"/>
        <v>0.46176031387317507</v>
      </c>
      <c r="N321" s="5">
        <f t="shared" si="63"/>
        <v>0.20819259526335576</v>
      </c>
      <c r="O321" s="5">
        <f t="shared" si="64"/>
        <v>9.151221622689637E-2</v>
      </c>
    </row>
    <row r="322" spans="1:15" hidden="1">
      <c r="A322">
        <v>320</v>
      </c>
      <c r="B322">
        <f t="shared" si="52"/>
        <v>0.06</v>
      </c>
      <c r="C322" s="10">
        <f t="shared" si="53"/>
        <v>0.03</v>
      </c>
      <c r="D322" s="10">
        <f t="shared" si="54"/>
        <v>0.06</v>
      </c>
      <c r="E322" s="10">
        <f t="shared" si="55"/>
        <v>0.09</v>
      </c>
      <c r="F322" s="25">
        <f t="shared" si="56"/>
        <v>2.5350486138366879E-3</v>
      </c>
      <c r="G322" s="8">
        <f t="shared" si="57"/>
        <v>0.99746495138616331</v>
      </c>
      <c r="H322" s="13">
        <f t="shared" si="58"/>
        <v>5.1430128318229462E-3</v>
      </c>
      <c r="I322" s="8">
        <f t="shared" si="59"/>
        <v>0.99485698716817705</v>
      </c>
      <c r="J322" s="14">
        <f t="shared" si="60"/>
        <v>7.8284203424832111E-3</v>
      </c>
      <c r="K322" s="8">
        <f t="shared" si="61"/>
        <v>0.99217157965751679</v>
      </c>
      <c r="L322" s="21">
        <v>320</v>
      </c>
      <c r="M322" s="5">
        <f t="shared" si="62"/>
        <v>0.46058972902956608</v>
      </c>
      <c r="N322" s="5">
        <f t="shared" si="63"/>
        <v>0.20712185807442579</v>
      </c>
      <c r="O322" s="5">
        <f t="shared" si="64"/>
        <v>9.0795820131800015E-2</v>
      </c>
    </row>
    <row r="323" spans="1:15" hidden="1">
      <c r="A323">
        <v>321</v>
      </c>
      <c r="B323">
        <f t="shared" si="52"/>
        <v>0.06</v>
      </c>
      <c r="C323" s="10">
        <f t="shared" si="53"/>
        <v>0.03</v>
      </c>
      <c r="D323" s="10">
        <f t="shared" si="54"/>
        <v>0.06</v>
      </c>
      <c r="E323" s="10">
        <f t="shared" si="55"/>
        <v>0.09</v>
      </c>
      <c r="F323" s="25">
        <f t="shared" si="56"/>
        <v>2.5350486138366879E-3</v>
      </c>
      <c r="G323" s="8">
        <f t="shared" si="57"/>
        <v>0.99746495138616331</v>
      </c>
      <c r="H323" s="13">
        <f t="shared" si="58"/>
        <v>5.1430128318229462E-3</v>
      </c>
      <c r="I323" s="8">
        <f t="shared" si="59"/>
        <v>0.99485698716817705</v>
      </c>
      <c r="J323" s="14">
        <f t="shared" si="60"/>
        <v>7.8284203424832111E-3</v>
      </c>
      <c r="K323" s="8">
        <f t="shared" si="61"/>
        <v>0.99217157965751679</v>
      </c>
      <c r="L323" s="21">
        <v>321</v>
      </c>
      <c r="M323" s="5">
        <f t="shared" si="62"/>
        <v>0.45942211167544228</v>
      </c>
      <c r="N323" s="5">
        <f t="shared" si="63"/>
        <v>0.20605662770059802</v>
      </c>
      <c r="O323" s="5">
        <f t="shared" si="64"/>
        <v>9.0085032286467789E-2</v>
      </c>
    </row>
    <row r="324" spans="1:15" hidden="1">
      <c r="A324">
        <v>322</v>
      </c>
      <c r="B324">
        <f t="shared" ref="B324:B363" si="65">IF(A324&lt;=30,0.06*(A324/30),0.06)</f>
        <v>0.06</v>
      </c>
      <c r="C324" s="10">
        <f t="shared" ref="C324:C363" si="66">50/100*B324</f>
        <v>0.03</v>
      </c>
      <c r="D324" s="10">
        <f t="shared" ref="D324:D363" si="67">100/100*B324</f>
        <v>0.06</v>
      </c>
      <c r="E324" s="10">
        <f t="shared" ref="E324:E363" si="68">150/100*B324</f>
        <v>0.09</v>
      </c>
      <c r="F324" s="25">
        <f t="shared" ref="F324:F363" si="69">1-(1-C324)^(1/12)</f>
        <v>2.5350486138366879E-3</v>
      </c>
      <c r="G324" s="8">
        <f t="shared" ref="G324:G363" si="70">1-F324</f>
        <v>0.99746495138616331</v>
      </c>
      <c r="H324" s="13">
        <f t="shared" ref="H324:H363" si="71">1-(1-D324)^(1/12)</f>
        <v>5.1430128318229462E-3</v>
      </c>
      <c r="I324" s="8">
        <f t="shared" ref="I324:I363" si="72">1-H324</f>
        <v>0.99485698716817705</v>
      </c>
      <c r="J324" s="14">
        <f t="shared" ref="J324:J363" si="73">1-(1-E324)^(1/12)</f>
        <v>7.8284203424832111E-3</v>
      </c>
      <c r="K324" s="8">
        <f t="shared" ref="K324:K363" si="74">1-J324</f>
        <v>0.99217157965751679</v>
      </c>
      <c r="L324" s="21">
        <v>322</v>
      </c>
      <c r="M324" s="5">
        <f t="shared" si="62"/>
        <v>0.45825745428807352</v>
      </c>
      <c r="N324" s="5">
        <f t="shared" si="63"/>
        <v>0.20499687582025167</v>
      </c>
      <c r="O324" s="5">
        <f t="shared" si="64"/>
        <v>8.9379808787163145E-2</v>
      </c>
    </row>
    <row r="325" spans="1:15" hidden="1">
      <c r="A325">
        <v>323</v>
      </c>
      <c r="B325">
        <f t="shared" si="65"/>
        <v>0.06</v>
      </c>
      <c r="C325" s="10">
        <f t="shared" si="66"/>
        <v>0.03</v>
      </c>
      <c r="D325" s="10">
        <f t="shared" si="67"/>
        <v>0.06</v>
      </c>
      <c r="E325" s="10">
        <f t="shared" si="68"/>
        <v>0.09</v>
      </c>
      <c r="F325" s="25">
        <f t="shared" si="69"/>
        <v>2.5350486138366879E-3</v>
      </c>
      <c r="G325" s="8">
        <f t="shared" si="70"/>
        <v>0.99746495138616331</v>
      </c>
      <c r="H325" s="13">
        <f t="shared" si="71"/>
        <v>5.1430128318229462E-3</v>
      </c>
      <c r="I325" s="8">
        <f t="shared" si="72"/>
        <v>0.99485698716817705</v>
      </c>
      <c r="J325" s="14">
        <f t="shared" si="73"/>
        <v>7.8284203424832111E-3</v>
      </c>
      <c r="K325" s="8">
        <f t="shared" si="74"/>
        <v>0.99217157965751679</v>
      </c>
      <c r="L325" s="21">
        <v>323</v>
      </c>
      <c r="M325" s="5">
        <f t="shared" ref="M325:M363" si="75">M324*G325</f>
        <v>0.45709574936380021</v>
      </c>
      <c r="N325" s="5">
        <f t="shared" ref="N325:N363" si="76">N324*I325</f>
        <v>0.20394257425742449</v>
      </c>
      <c r="O325" s="5">
        <f t="shared" ref="O325:O363" si="77">O324*K325</f>
        <v>8.8680106073846451E-2</v>
      </c>
    </row>
    <row r="326" spans="1:15" hidden="1">
      <c r="A326">
        <v>324</v>
      </c>
      <c r="B326">
        <f t="shared" si="65"/>
        <v>0.06</v>
      </c>
      <c r="C326" s="10">
        <f t="shared" si="66"/>
        <v>0.03</v>
      </c>
      <c r="D326" s="10">
        <f t="shared" si="67"/>
        <v>0.06</v>
      </c>
      <c r="E326" s="10">
        <f t="shared" si="68"/>
        <v>0.09</v>
      </c>
      <c r="F326" s="25">
        <f t="shared" si="69"/>
        <v>2.5350486138366879E-3</v>
      </c>
      <c r="G326" s="8">
        <f t="shared" si="70"/>
        <v>0.99746495138616331</v>
      </c>
      <c r="H326" s="13">
        <f t="shared" si="71"/>
        <v>5.1430128318229462E-3</v>
      </c>
      <c r="I326" s="8">
        <f t="shared" si="72"/>
        <v>0.99485698716817705</v>
      </c>
      <c r="J326" s="14">
        <f t="shared" si="73"/>
        <v>7.8284203424832111E-3</v>
      </c>
      <c r="K326" s="8">
        <f t="shared" si="74"/>
        <v>0.99217157965751679</v>
      </c>
      <c r="L326" s="21">
        <v>324</v>
      </c>
      <c r="M326" s="5">
        <f t="shared" si="75"/>
        <v>0.45593698941798488</v>
      </c>
      <c r="N326" s="5">
        <f t="shared" si="76"/>
        <v>0.20289369498106355</v>
      </c>
      <c r="O326" s="5">
        <f t="shared" si="77"/>
        <v>8.7985880927484383E-2</v>
      </c>
    </row>
    <row r="327" spans="1:15" hidden="1">
      <c r="A327">
        <v>325</v>
      </c>
      <c r="B327">
        <f t="shared" si="65"/>
        <v>0.06</v>
      </c>
      <c r="C327" s="10">
        <f t="shared" si="66"/>
        <v>0.03</v>
      </c>
      <c r="D327" s="10">
        <f t="shared" si="67"/>
        <v>0.06</v>
      </c>
      <c r="E327" s="10">
        <f t="shared" si="68"/>
        <v>0.09</v>
      </c>
      <c r="F327" s="25">
        <f t="shared" si="69"/>
        <v>2.5350486138366879E-3</v>
      </c>
      <c r="G327" s="8">
        <f t="shared" si="70"/>
        <v>0.99746495138616331</v>
      </c>
      <c r="H327" s="13">
        <f t="shared" si="71"/>
        <v>5.1430128318229462E-3</v>
      </c>
      <c r="I327" s="8">
        <f t="shared" si="72"/>
        <v>0.99485698716817705</v>
      </c>
      <c r="J327" s="14">
        <f t="shared" si="73"/>
        <v>7.8284203424832111E-3</v>
      </c>
      <c r="K327" s="8">
        <f t="shared" si="74"/>
        <v>0.99217157965751679</v>
      </c>
      <c r="L327" s="21">
        <v>325</v>
      </c>
      <c r="M327" s="5">
        <f t="shared" si="75"/>
        <v>0.45478116698496396</v>
      </c>
      <c r="N327" s="5">
        <f t="shared" si="76"/>
        <v>0.20185021010427998</v>
      </c>
      <c r="O327" s="5">
        <f t="shared" si="77"/>
        <v>8.7297090467380364E-2</v>
      </c>
    </row>
    <row r="328" spans="1:15" hidden="1">
      <c r="A328">
        <v>326</v>
      </c>
      <c r="B328">
        <f t="shared" si="65"/>
        <v>0.06</v>
      </c>
      <c r="C328" s="10">
        <f t="shared" si="66"/>
        <v>0.03</v>
      </c>
      <c r="D328" s="10">
        <f t="shared" si="67"/>
        <v>0.06</v>
      </c>
      <c r="E328" s="10">
        <f t="shared" si="68"/>
        <v>0.09</v>
      </c>
      <c r="F328" s="25">
        <f t="shared" si="69"/>
        <v>2.5350486138366879E-3</v>
      </c>
      <c r="G328" s="8">
        <f t="shared" si="70"/>
        <v>0.99746495138616331</v>
      </c>
      <c r="H328" s="13">
        <f t="shared" si="71"/>
        <v>5.1430128318229462E-3</v>
      </c>
      <c r="I328" s="8">
        <f t="shared" si="72"/>
        <v>0.99485698716817705</v>
      </c>
      <c r="J328" s="14">
        <f t="shared" si="73"/>
        <v>7.8284203424832111E-3</v>
      </c>
      <c r="K328" s="8">
        <f t="shared" si="74"/>
        <v>0.99217157965751679</v>
      </c>
      <c r="L328" s="21">
        <v>326</v>
      </c>
      <c r="M328" s="5">
        <f t="shared" si="75"/>
        <v>0.4536282746179997</v>
      </c>
      <c r="N328" s="5">
        <f t="shared" si="76"/>
        <v>0.20081209188360752</v>
      </c>
      <c r="O328" s="5">
        <f t="shared" si="77"/>
        <v>8.661369214852592E-2</v>
      </c>
    </row>
    <row r="329" spans="1:15" hidden="1">
      <c r="A329">
        <v>327</v>
      </c>
      <c r="B329">
        <f t="shared" si="65"/>
        <v>0.06</v>
      </c>
      <c r="C329" s="10">
        <f t="shared" si="66"/>
        <v>0.03</v>
      </c>
      <c r="D329" s="10">
        <f t="shared" si="67"/>
        <v>0.06</v>
      </c>
      <c r="E329" s="10">
        <f t="shared" si="68"/>
        <v>0.09</v>
      </c>
      <c r="F329" s="25">
        <f t="shared" si="69"/>
        <v>2.5350486138366879E-3</v>
      </c>
      <c r="G329" s="8">
        <f t="shared" si="70"/>
        <v>0.99746495138616331</v>
      </c>
      <c r="H329" s="13">
        <f t="shared" si="71"/>
        <v>5.1430128318229462E-3</v>
      </c>
      <c r="I329" s="8">
        <f t="shared" si="72"/>
        <v>0.99485698716817705</v>
      </c>
      <c r="J329" s="14">
        <f t="shared" si="73"/>
        <v>7.8284203424832111E-3</v>
      </c>
      <c r="K329" s="8">
        <f t="shared" si="74"/>
        <v>0.99217157965751679</v>
      </c>
      <c r="L329" s="21">
        <v>327</v>
      </c>
      <c r="M329" s="5">
        <f t="shared" si="75"/>
        <v>0.45247830488923224</v>
      </c>
      <c r="N329" s="5">
        <f t="shared" si="76"/>
        <v>0.19977931271826491</v>
      </c>
      <c r="O329" s="5">
        <f t="shared" si="77"/>
        <v>8.5935643758972821E-2</v>
      </c>
    </row>
    <row r="330" spans="1:15" hidden="1">
      <c r="A330">
        <v>328</v>
      </c>
      <c r="B330">
        <f t="shared" si="65"/>
        <v>0.06</v>
      </c>
      <c r="C330" s="10">
        <f t="shared" si="66"/>
        <v>0.03</v>
      </c>
      <c r="D330" s="10">
        <f t="shared" si="67"/>
        <v>0.06</v>
      </c>
      <c r="E330" s="10">
        <f t="shared" si="68"/>
        <v>0.09</v>
      </c>
      <c r="F330" s="25">
        <f t="shared" si="69"/>
        <v>2.5350486138366879E-3</v>
      </c>
      <c r="G330" s="8">
        <f t="shared" si="70"/>
        <v>0.99746495138616331</v>
      </c>
      <c r="H330" s="13">
        <f t="shared" si="71"/>
        <v>5.1430128318229462E-3</v>
      </c>
      <c r="I330" s="8">
        <f t="shared" si="72"/>
        <v>0.99485698716817705</v>
      </c>
      <c r="J330" s="14">
        <f t="shared" si="73"/>
        <v>7.8284203424832111E-3</v>
      </c>
      <c r="K330" s="8">
        <f t="shared" si="74"/>
        <v>0.99217157965751679</v>
      </c>
      <c r="L330" s="21">
        <v>328</v>
      </c>
      <c r="M330" s="5">
        <f t="shared" si="75"/>
        <v>0.45133125038963162</v>
      </c>
      <c r="N330" s="5">
        <f t="shared" si="76"/>
        <v>0.1987518451494221</v>
      </c>
      <c r="O330" s="5">
        <f t="shared" si="77"/>
        <v>8.5262903417225686E-2</v>
      </c>
    </row>
    <row r="331" spans="1:15" hidden="1">
      <c r="A331">
        <v>329</v>
      </c>
      <c r="B331">
        <f t="shared" si="65"/>
        <v>0.06</v>
      </c>
      <c r="C331" s="10">
        <f t="shared" si="66"/>
        <v>0.03</v>
      </c>
      <c r="D331" s="10">
        <f t="shared" si="67"/>
        <v>0.06</v>
      </c>
      <c r="E331" s="10">
        <f t="shared" si="68"/>
        <v>0.09</v>
      </c>
      <c r="F331" s="25">
        <f t="shared" si="69"/>
        <v>2.5350486138366879E-3</v>
      </c>
      <c r="G331" s="8">
        <f t="shared" si="70"/>
        <v>0.99746495138616331</v>
      </c>
      <c r="H331" s="13">
        <f t="shared" si="71"/>
        <v>5.1430128318229462E-3</v>
      </c>
      <c r="I331" s="8">
        <f t="shared" si="72"/>
        <v>0.99485698716817705</v>
      </c>
      <c r="J331" s="14">
        <f t="shared" si="73"/>
        <v>7.8284203424832111E-3</v>
      </c>
      <c r="K331" s="8">
        <f t="shared" si="74"/>
        <v>0.99217157965751679</v>
      </c>
      <c r="L331" s="21">
        <v>329</v>
      </c>
      <c r="M331" s="5">
        <f t="shared" si="75"/>
        <v>0.45018710372895021</v>
      </c>
      <c r="N331" s="5">
        <f t="shared" si="76"/>
        <v>0.19772966185947013</v>
      </c>
      <c r="O331" s="5">
        <f t="shared" si="77"/>
        <v>8.4595429569655101E-2</v>
      </c>
    </row>
    <row r="332" spans="1:15" hidden="1">
      <c r="A332">
        <v>330</v>
      </c>
      <c r="B332">
        <f t="shared" si="65"/>
        <v>0.06</v>
      </c>
      <c r="C332" s="10">
        <f t="shared" si="66"/>
        <v>0.03</v>
      </c>
      <c r="D332" s="10">
        <f t="shared" si="67"/>
        <v>0.06</v>
      </c>
      <c r="E332" s="10">
        <f t="shared" si="68"/>
        <v>0.09</v>
      </c>
      <c r="F332" s="25">
        <f t="shared" si="69"/>
        <v>2.5350486138366879E-3</v>
      </c>
      <c r="G332" s="8">
        <f t="shared" si="70"/>
        <v>0.99746495138616331</v>
      </c>
      <c r="H332" s="13">
        <f t="shared" si="71"/>
        <v>5.1430128318229462E-3</v>
      </c>
      <c r="I332" s="8">
        <f t="shared" si="72"/>
        <v>0.99485698716817705</v>
      </c>
      <c r="J332" s="14">
        <f t="shared" si="73"/>
        <v>7.8284203424832111E-3</v>
      </c>
      <c r="K332" s="8">
        <f t="shared" si="74"/>
        <v>0.99217157965751679</v>
      </c>
      <c r="L332" s="21">
        <v>330</v>
      </c>
      <c r="M332" s="5">
        <f t="shared" si="75"/>
        <v>0.449045857535675</v>
      </c>
      <c r="N332" s="5">
        <f t="shared" si="76"/>
        <v>0.19671273567129488</v>
      </c>
      <c r="O332" s="5">
        <f t="shared" si="77"/>
        <v>8.3933180987930914E-2</v>
      </c>
    </row>
    <row r="333" spans="1:15" hidden="1">
      <c r="A333">
        <v>331</v>
      </c>
      <c r="B333">
        <f t="shared" si="65"/>
        <v>0.06</v>
      </c>
      <c r="C333" s="10">
        <f t="shared" si="66"/>
        <v>0.03</v>
      </c>
      <c r="D333" s="10">
        <f t="shared" si="67"/>
        <v>0.06</v>
      </c>
      <c r="E333" s="10">
        <f t="shared" si="68"/>
        <v>0.09</v>
      </c>
      <c r="F333" s="25">
        <f t="shared" si="69"/>
        <v>2.5350486138366879E-3</v>
      </c>
      <c r="G333" s="8">
        <f t="shared" si="70"/>
        <v>0.99746495138616331</v>
      </c>
      <c r="H333" s="13">
        <f t="shared" si="71"/>
        <v>5.1430128318229462E-3</v>
      </c>
      <c r="I333" s="8">
        <f t="shared" si="72"/>
        <v>0.99485698716817705</v>
      </c>
      <c r="J333" s="14">
        <f t="shared" si="73"/>
        <v>7.8284203424832111E-3</v>
      </c>
      <c r="K333" s="8">
        <f t="shared" si="74"/>
        <v>0.99217157965751679</v>
      </c>
      <c r="L333" s="21">
        <v>331</v>
      </c>
      <c r="M333" s="5">
        <f t="shared" si="75"/>
        <v>0.44790750445698008</v>
      </c>
      <c r="N333" s="5">
        <f t="shared" si="76"/>
        <v>0.19570103954755441</v>
      </c>
      <c r="O333" s="5">
        <f t="shared" si="77"/>
        <v>8.3276116766475672E-2</v>
      </c>
    </row>
    <row r="334" spans="1:15" hidden="1">
      <c r="A334">
        <v>332</v>
      </c>
      <c r="B334">
        <f t="shared" si="65"/>
        <v>0.06</v>
      </c>
      <c r="C334" s="10">
        <f t="shared" si="66"/>
        <v>0.03</v>
      </c>
      <c r="D334" s="10">
        <f t="shared" si="67"/>
        <v>0.06</v>
      </c>
      <c r="E334" s="10">
        <f t="shared" si="68"/>
        <v>0.09</v>
      </c>
      <c r="F334" s="25">
        <f t="shared" si="69"/>
        <v>2.5350486138366879E-3</v>
      </c>
      <c r="G334" s="8">
        <f t="shared" si="70"/>
        <v>0.99746495138616331</v>
      </c>
      <c r="H334" s="13">
        <f t="shared" si="71"/>
        <v>5.1430128318229462E-3</v>
      </c>
      <c r="I334" s="8">
        <f t="shared" si="72"/>
        <v>0.99485698716817705</v>
      </c>
      <c r="J334" s="14">
        <f t="shared" si="73"/>
        <v>7.8284203424832111E-3</v>
      </c>
      <c r="K334" s="8">
        <f t="shared" si="74"/>
        <v>0.99217157965751679</v>
      </c>
      <c r="L334" s="21">
        <v>332</v>
      </c>
      <c r="M334" s="5">
        <f t="shared" si="75"/>
        <v>0.44677203715867936</v>
      </c>
      <c r="N334" s="5">
        <f t="shared" si="76"/>
        <v>0.19469454658996024</v>
      </c>
      <c r="O334" s="5">
        <f t="shared" si="77"/>
        <v>8.262419631993799E-2</v>
      </c>
    </row>
    <row r="335" spans="1:15" hidden="1">
      <c r="A335">
        <v>333</v>
      </c>
      <c r="B335">
        <f t="shared" si="65"/>
        <v>0.06</v>
      </c>
      <c r="C335" s="10">
        <f t="shared" si="66"/>
        <v>0.03</v>
      </c>
      <c r="D335" s="10">
        <f t="shared" si="67"/>
        <v>0.06</v>
      </c>
      <c r="E335" s="10">
        <f t="shared" si="68"/>
        <v>0.09</v>
      </c>
      <c r="F335" s="25">
        <f t="shared" si="69"/>
        <v>2.5350486138366879E-3</v>
      </c>
      <c r="G335" s="8">
        <f t="shared" si="70"/>
        <v>0.99746495138616331</v>
      </c>
      <c r="H335" s="13">
        <f t="shared" si="71"/>
        <v>5.1430128318229462E-3</v>
      </c>
      <c r="I335" s="8">
        <f t="shared" si="72"/>
        <v>0.99485698716817705</v>
      </c>
      <c r="J335" s="14">
        <f t="shared" si="73"/>
        <v>7.8284203424832111E-3</v>
      </c>
      <c r="K335" s="8">
        <f t="shared" si="74"/>
        <v>0.99217157965751679</v>
      </c>
      <c r="L335" s="21">
        <v>333</v>
      </c>
      <c r="M335" s="5">
        <f t="shared" si="75"/>
        <v>0.44563944832517927</v>
      </c>
      <c r="N335" s="5">
        <f t="shared" si="76"/>
        <v>0.19369323003856212</v>
      </c>
      <c r="O335" s="5">
        <f t="shared" si="77"/>
        <v>8.1977379380685667E-2</v>
      </c>
    </row>
    <row r="336" spans="1:15" hidden="1">
      <c r="A336">
        <v>334</v>
      </c>
      <c r="B336">
        <f t="shared" si="65"/>
        <v>0.06</v>
      </c>
      <c r="C336" s="10">
        <f t="shared" si="66"/>
        <v>0.03</v>
      </c>
      <c r="D336" s="10">
        <f t="shared" si="67"/>
        <v>0.06</v>
      </c>
      <c r="E336" s="10">
        <f t="shared" si="68"/>
        <v>0.09</v>
      </c>
      <c r="F336" s="25">
        <f t="shared" si="69"/>
        <v>2.5350486138366879E-3</v>
      </c>
      <c r="G336" s="8">
        <f t="shared" si="70"/>
        <v>0.99746495138616331</v>
      </c>
      <c r="H336" s="13">
        <f t="shared" si="71"/>
        <v>5.1430128318229462E-3</v>
      </c>
      <c r="I336" s="8">
        <f t="shared" si="72"/>
        <v>0.99485698716817705</v>
      </c>
      <c r="J336" s="14">
        <f t="shared" si="73"/>
        <v>7.8284203424832111E-3</v>
      </c>
      <c r="K336" s="8">
        <f t="shared" si="74"/>
        <v>0.99217157965751679</v>
      </c>
      <c r="L336" s="21">
        <v>334</v>
      </c>
      <c r="M336" s="5">
        <f t="shared" si="75"/>
        <v>0.44450973065943156</v>
      </c>
      <c r="N336" s="5">
        <f t="shared" si="76"/>
        <v>0.19269706327103656</v>
      </c>
      <c r="O336" s="5">
        <f t="shared" si="77"/>
        <v>8.1335625996318439E-2</v>
      </c>
    </row>
    <row r="337" spans="1:15" hidden="1">
      <c r="A337">
        <v>335</v>
      </c>
      <c r="B337">
        <f t="shared" si="65"/>
        <v>0.06</v>
      </c>
      <c r="C337" s="10">
        <f t="shared" si="66"/>
        <v>0.03</v>
      </c>
      <c r="D337" s="10">
        <f t="shared" si="67"/>
        <v>0.06</v>
      </c>
      <c r="E337" s="10">
        <f t="shared" si="68"/>
        <v>0.09</v>
      </c>
      <c r="F337" s="25">
        <f t="shared" si="69"/>
        <v>2.5350486138366879E-3</v>
      </c>
      <c r="G337" s="8">
        <f t="shared" si="70"/>
        <v>0.99746495138616331</v>
      </c>
      <c r="H337" s="13">
        <f t="shared" si="71"/>
        <v>5.1430128318229462E-3</v>
      </c>
      <c r="I337" s="8">
        <f t="shared" si="72"/>
        <v>0.99485698716817705</v>
      </c>
      <c r="J337" s="14">
        <f t="shared" si="73"/>
        <v>7.8284203424832111E-3</v>
      </c>
      <c r="K337" s="8">
        <f t="shared" si="74"/>
        <v>0.99217157965751679</v>
      </c>
      <c r="L337" s="21">
        <v>335</v>
      </c>
      <c r="M337" s="5">
        <f t="shared" si="75"/>
        <v>0.44338287688288647</v>
      </c>
      <c r="N337" s="5">
        <f t="shared" si="76"/>
        <v>0.19170601980197902</v>
      </c>
      <c r="O337" s="5">
        <f t="shared" si="77"/>
        <v>8.0698896527200248E-2</v>
      </c>
    </row>
    <row r="338" spans="1:15" hidden="1">
      <c r="A338">
        <v>336</v>
      </c>
      <c r="B338">
        <f t="shared" si="65"/>
        <v>0.06</v>
      </c>
      <c r="C338" s="10">
        <f t="shared" si="66"/>
        <v>0.03</v>
      </c>
      <c r="D338" s="10">
        <f t="shared" si="67"/>
        <v>0.06</v>
      </c>
      <c r="E338" s="10">
        <f t="shared" si="68"/>
        <v>0.09</v>
      </c>
      <c r="F338" s="25">
        <f t="shared" si="69"/>
        <v>2.5350486138366879E-3</v>
      </c>
      <c r="G338" s="8">
        <f t="shared" si="70"/>
        <v>0.99746495138616331</v>
      </c>
      <c r="H338" s="13">
        <f t="shared" si="71"/>
        <v>5.1430128318229462E-3</v>
      </c>
      <c r="I338" s="8">
        <f t="shared" si="72"/>
        <v>0.99485698716817705</v>
      </c>
      <c r="J338" s="14">
        <f t="shared" si="73"/>
        <v>7.8284203424832111E-3</v>
      </c>
      <c r="K338" s="8">
        <f t="shared" si="74"/>
        <v>0.99217157965751679</v>
      </c>
      <c r="L338" s="21">
        <v>336</v>
      </c>
      <c r="M338" s="5">
        <f t="shared" si="75"/>
        <v>0.44225887973544559</v>
      </c>
      <c r="N338" s="5">
        <f t="shared" si="76"/>
        <v>0.19072007328219973</v>
      </c>
      <c r="O338" s="5">
        <f t="shared" si="77"/>
        <v>8.0067151644010764E-2</v>
      </c>
    </row>
    <row r="339" spans="1:15" hidden="1">
      <c r="A339">
        <v>337</v>
      </c>
      <c r="B339">
        <f t="shared" si="65"/>
        <v>0.06</v>
      </c>
      <c r="C339" s="10">
        <f t="shared" si="66"/>
        <v>0.03</v>
      </c>
      <c r="D339" s="10">
        <f t="shared" si="67"/>
        <v>0.06</v>
      </c>
      <c r="E339" s="10">
        <f t="shared" si="68"/>
        <v>0.09</v>
      </c>
      <c r="F339" s="25">
        <f t="shared" si="69"/>
        <v>2.5350486138366879E-3</v>
      </c>
      <c r="G339" s="8">
        <f t="shared" si="70"/>
        <v>0.99746495138616331</v>
      </c>
      <c r="H339" s="13">
        <f t="shared" si="71"/>
        <v>5.1430128318229462E-3</v>
      </c>
      <c r="I339" s="8">
        <f t="shared" si="72"/>
        <v>0.99485698716817705</v>
      </c>
      <c r="J339" s="14">
        <f t="shared" si="73"/>
        <v>7.8284203424832111E-3</v>
      </c>
      <c r="K339" s="8">
        <f t="shared" si="74"/>
        <v>0.99217157965751679</v>
      </c>
      <c r="L339" s="21">
        <v>337</v>
      </c>
      <c r="M339" s="5">
        <f t="shared" si="75"/>
        <v>0.44113773197541528</v>
      </c>
      <c r="N339" s="5">
        <f t="shared" si="76"/>
        <v>0.18973919749802315</v>
      </c>
      <c r="O339" s="5">
        <f t="shared" si="77"/>
        <v>7.9440352325316099E-2</v>
      </c>
    </row>
    <row r="340" spans="1:15" hidden="1">
      <c r="A340">
        <v>338</v>
      </c>
      <c r="B340">
        <f t="shared" si="65"/>
        <v>0.06</v>
      </c>
      <c r="C340" s="10">
        <f t="shared" si="66"/>
        <v>0.03</v>
      </c>
      <c r="D340" s="10">
        <f t="shared" si="67"/>
        <v>0.06</v>
      </c>
      <c r="E340" s="10">
        <f t="shared" si="68"/>
        <v>0.09</v>
      </c>
      <c r="F340" s="25">
        <f t="shared" si="69"/>
        <v>2.5350486138366879E-3</v>
      </c>
      <c r="G340" s="8">
        <f t="shared" si="70"/>
        <v>0.99746495138616331</v>
      </c>
      <c r="H340" s="13">
        <f t="shared" si="71"/>
        <v>5.1430128318229462E-3</v>
      </c>
      <c r="I340" s="8">
        <f t="shared" si="72"/>
        <v>0.99485698716817705</v>
      </c>
      <c r="J340" s="14">
        <f t="shared" si="73"/>
        <v>7.8284203424832111E-3</v>
      </c>
      <c r="K340" s="8">
        <f t="shared" si="74"/>
        <v>0.99217157965751679</v>
      </c>
      <c r="L340" s="21">
        <v>338</v>
      </c>
      <c r="M340" s="5">
        <f t="shared" si="75"/>
        <v>0.44001942637945995</v>
      </c>
      <c r="N340" s="5">
        <f t="shared" si="76"/>
        <v>0.18876336637059102</v>
      </c>
      <c r="O340" s="5">
        <f t="shared" si="77"/>
        <v>7.8818459855158562E-2</v>
      </c>
    </row>
    <row r="341" spans="1:15" hidden="1">
      <c r="A341">
        <v>339</v>
      </c>
      <c r="B341">
        <f t="shared" si="65"/>
        <v>0.06</v>
      </c>
      <c r="C341" s="10">
        <f t="shared" si="66"/>
        <v>0.03</v>
      </c>
      <c r="D341" s="10">
        <f t="shared" si="67"/>
        <v>0.06</v>
      </c>
      <c r="E341" s="10">
        <f t="shared" si="68"/>
        <v>0.09</v>
      </c>
      <c r="F341" s="25">
        <f t="shared" si="69"/>
        <v>2.5350486138366879E-3</v>
      </c>
      <c r="G341" s="8">
        <f t="shared" si="70"/>
        <v>0.99746495138616331</v>
      </c>
      <c r="H341" s="13">
        <f t="shared" si="71"/>
        <v>5.1430128318229462E-3</v>
      </c>
      <c r="I341" s="8">
        <f t="shared" si="72"/>
        <v>0.99485698716817705</v>
      </c>
      <c r="J341" s="14">
        <f t="shared" si="73"/>
        <v>7.8284203424832111E-3</v>
      </c>
      <c r="K341" s="8">
        <f t="shared" si="74"/>
        <v>0.99217157965751679</v>
      </c>
      <c r="L341" s="21">
        <v>339</v>
      </c>
      <c r="M341" s="5">
        <f t="shared" si="75"/>
        <v>0.43890395574255547</v>
      </c>
      <c r="N341" s="5">
        <f t="shared" si="76"/>
        <v>0.18779255395516897</v>
      </c>
      <c r="O341" s="5">
        <f t="shared" si="77"/>
        <v>7.8201435820665244E-2</v>
      </c>
    </row>
    <row r="342" spans="1:15" hidden="1">
      <c r="A342">
        <v>340</v>
      </c>
      <c r="B342">
        <f t="shared" si="65"/>
        <v>0.06</v>
      </c>
      <c r="C342" s="10">
        <f t="shared" si="66"/>
        <v>0.03</v>
      </c>
      <c r="D342" s="10">
        <f t="shared" si="67"/>
        <v>0.06</v>
      </c>
      <c r="E342" s="10">
        <f t="shared" si="68"/>
        <v>0.09</v>
      </c>
      <c r="F342" s="25">
        <f t="shared" si="69"/>
        <v>2.5350486138366879E-3</v>
      </c>
      <c r="G342" s="8">
        <f t="shared" si="70"/>
        <v>0.99746495138616331</v>
      </c>
      <c r="H342" s="13">
        <f t="shared" si="71"/>
        <v>5.1430128318229462E-3</v>
      </c>
      <c r="I342" s="8">
        <f t="shared" si="72"/>
        <v>0.99485698716817705</v>
      </c>
      <c r="J342" s="14">
        <f t="shared" si="73"/>
        <v>7.8284203424832111E-3</v>
      </c>
      <c r="K342" s="8">
        <f t="shared" si="74"/>
        <v>0.99217157965751679</v>
      </c>
      <c r="L342" s="21">
        <v>340</v>
      </c>
      <c r="M342" s="5">
        <f t="shared" si="75"/>
        <v>0.43779131287794287</v>
      </c>
      <c r="N342" s="5">
        <f t="shared" si="76"/>
        <v>0.18682673444045675</v>
      </c>
      <c r="O342" s="5">
        <f t="shared" si="77"/>
        <v>7.7589242109675355E-2</v>
      </c>
    </row>
    <row r="343" spans="1:15" hidden="1">
      <c r="A343">
        <v>341</v>
      </c>
      <c r="B343">
        <f t="shared" si="65"/>
        <v>0.06</v>
      </c>
      <c r="C343" s="10">
        <f t="shared" si="66"/>
        <v>0.03</v>
      </c>
      <c r="D343" s="10">
        <f t="shared" si="67"/>
        <v>0.06</v>
      </c>
      <c r="E343" s="10">
        <f t="shared" si="68"/>
        <v>0.09</v>
      </c>
      <c r="F343" s="25">
        <f t="shared" si="69"/>
        <v>2.5350486138366879E-3</v>
      </c>
      <c r="G343" s="8">
        <f t="shared" si="70"/>
        <v>0.99746495138616331</v>
      </c>
      <c r="H343" s="13">
        <f t="shared" si="71"/>
        <v>5.1430128318229462E-3</v>
      </c>
      <c r="I343" s="8">
        <f t="shared" si="72"/>
        <v>0.99485698716817705</v>
      </c>
      <c r="J343" s="14">
        <f t="shared" si="73"/>
        <v>7.8284203424832111E-3</v>
      </c>
      <c r="K343" s="8">
        <f t="shared" si="74"/>
        <v>0.99217157965751679</v>
      </c>
      <c r="L343" s="21">
        <v>341</v>
      </c>
      <c r="M343" s="5">
        <f t="shared" si="75"/>
        <v>0.43668149061708189</v>
      </c>
      <c r="N343" s="5">
        <f t="shared" si="76"/>
        <v>0.1858658821479019</v>
      </c>
      <c r="O343" s="5">
        <f t="shared" si="77"/>
        <v>7.6981840908386112E-2</v>
      </c>
    </row>
    <row r="344" spans="1:15" hidden="1">
      <c r="A344">
        <v>342</v>
      </c>
      <c r="B344">
        <f t="shared" si="65"/>
        <v>0.06</v>
      </c>
      <c r="C344" s="10">
        <f t="shared" si="66"/>
        <v>0.03</v>
      </c>
      <c r="D344" s="10">
        <f t="shared" si="67"/>
        <v>0.06</v>
      </c>
      <c r="E344" s="10">
        <f t="shared" si="68"/>
        <v>0.09</v>
      </c>
      <c r="F344" s="25">
        <f t="shared" si="69"/>
        <v>2.5350486138366879E-3</v>
      </c>
      <c r="G344" s="8">
        <f t="shared" si="70"/>
        <v>0.99746495138616331</v>
      </c>
      <c r="H344" s="13">
        <f t="shared" si="71"/>
        <v>5.1430128318229462E-3</v>
      </c>
      <c r="I344" s="8">
        <f t="shared" si="72"/>
        <v>0.99485698716817705</v>
      </c>
      <c r="J344" s="14">
        <f t="shared" si="73"/>
        <v>7.8284203424832111E-3</v>
      </c>
      <c r="K344" s="8">
        <f t="shared" si="74"/>
        <v>0.99217157965751679</v>
      </c>
      <c r="L344" s="21">
        <v>342</v>
      </c>
      <c r="M344" s="5">
        <f t="shared" si="75"/>
        <v>0.4355744818096049</v>
      </c>
      <c r="N344" s="5">
        <f t="shared" si="76"/>
        <v>0.18490997153101715</v>
      </c>
      <c r="O344" s="5">
        <f t="shared" si="77"/>
        <v>7.6379194699017092E-2</v>
      </c>
    </row>
    <row r="345" spans="1:15" hidden="1">
      <c r="A345">
        <v>343</v>
      </c>
      <c r="B345">
        <f t="shared" si="65"/>
        <v>0.06</v>
      </c>
      <c r="C345" s="10">
        <f t="shared" si="66"/>
        <v>0.03</v>
      </c>
      <c r="D345" s="10">
        <f t="shared" si="67"/>
        <v>0.06</v>
      </c>
      <c r="E345" s="10">
        <f t="shared" si="68"/>
        <v>0.09</v>
      </c>
      <c r="F345" s="25">
        <f t="shared" si="69"/>
        <v>2.5350486138366879E-3</v>
      </c>
      <c r="G345" s="8">
        <f t="shared" si="70"/>
        <v>0.99746495138616331</v>
      </c>
      <c r="H345" s="13">
        <f t="shared" si="71"/>
        <v>5.1430128318229462E-3</v>
      </c>
      <c r="I345" s="8">
        <f t="shared" si="72"/>
        <v>0.99485698716817705</v>
      </c>
      <c r="J345" s="14">
        <f t="shared" si="73"/>
        <v>7.8284203424832111E-3</v>
      </c>
      <c r="K345" s="8">
        <f t="shared" si="74"/>
        <v>0.99217157965751679</v>
      </c>
      <c r="L345" s="21">
        <v>343</v>
      </c>
      <c r="M345" s="5">
        <f t="shared" si="75"/>
        <v>0.43447027932327081</v>
      </c>
      <c r="N345" s="5">
        <f t="shared" si="76"/>
        <v>0.18395897717470111</v>
      </c>
      <c r="O345" s="5">
        <f t="shared" si="77"/>
        <v>7.5781266257492819E-2</v>
      </c>
    </row>
    <row r="346" spans="1:15" hidden="1">
      <c r="A346">
        <v>344</v>
      </c>
      <c r="B346">
        <f t="shared" si="65"/>
        <v>0.06</v>
      </c>
      <c r="C346" s="10">
        <f t="shared" si="66"/>
        <v>0.03</v>
      </c>
      <c r="D346" s="10">
        <f t="shared" si="67"/>
        <v>0.06</v>
      </c>
      <c r="E346" s="10">
        <f t="shared" si="68"/>
        <v>0.09</v>
      </c>
      <c r="F346" s="25">
        <f t="shared" si="69"/>
        <v>2.5350486138366879E-3</v>
      </c>
      <c r="G346" s="8">
        <f t="shared" si="70"/>
        <v>0.99746495138616331</v>
      </c>
      <c r="H346" s="13">
        <f t="shared" si="71"/>
        <v>5.1430128318229462E-3</v>
      </c>
      <c r="I346" s="8">
        <f t="shared" si="72"/>
        <v>0.99485698716817705</v>
      </c>
      <c r="J346" s="14">
        <f t="shared" si="73"/>
        <v>7.8284203424832111E-3</v>
      </c>
      <c r="K346" s="8">
        <f t="shared" si="74"/>
        <v>0.99217157965751679</v>
      </c>
      <c r="L346" s="21">
        <v>344</v>
      </c>
      <c r="M346" s="5">
        <f t="shared" si="75"/>
        <v>0.4333688760439191</v>
      </c>
      <c r="N346" s="5">
        <f t="shared" si="76"/>
        <v>0.1830128737945626</v>
      </c>
      <c r="O346" s="5">
        <f t="shared" si="77"/>
        <v>7.5188018651143523E-2</v>
      </c>
    </row>
    <row r="347" spans="1:15" hidden="1">
      <c r="A347">
        <v>345</v>
      </c>
      <c r="B347">
        <f t="shared" si="65"/>
        <v>0.06</v>
      </c>
      <c r="C347" s="10">
        <f t="shared" si="66"/>
        <v>0.03</v>
      </c>
      <c r="D347" s="10">
        <f t="shared" si="67"/>
        <v>0.06</v>
      </c>
      <c r="E347" s="10">
        <f t="shared" si="68"/>
        <v>0.09</v>
      </c>
      <c r="F347" s="25">
        <f t="shared" si="69"/>
        <v>2.5350486138366879E-3</v>
      </c>
      <c r="G347" s="8">
        <f t="shared" si="70"/>
        <v>0.99746495138616331</v>
      </c>
      <c r="H347" s="13">
        <f t="shared" si="71"/>
        <v>5.1430128318229462E-3</v>
      </c>
      <c r="I347" s="8">
        <f t="shared" si="72"/>
        <v>0.99485698716817705</v>
      </c>
      <c r="J347" s="14">
        <f t="shared" si="73"/>
        <v>7.8284203424832111E-3</v>
      </c>
      <c r="K347" s="8">
        <f t="shared" si="74"/>
        <v>0.99217157965751679</v>
      </c>
      <c r="L347" s="21">
        <v>345</v>
      </c>
      <c r="M347" s="5">
        <f t="shared" si="75"/>
        <v>0.43227026487542403</v>
      </c>
      <c r="N347" s="5">
        <f t="shared" si="76"/>
        <v>0.18207163623624836</v>
      </c>
      <c r="O347" s="5">
        <f t="shared" si="77"/>
        <v>7.459941523642391E-2</v>
      </c>
    </row>
    <row r="348" spans="1:15" hidden="1">
      <c r="A348">
        <v>346</v>
      </c>
      <c r="B348">
        <f t="shared" si="65"/>
        <v>0.06</v>
      </c>
      <c r="C348" s="10">
        <f t="shared" si="66"/>
        <v>0.03</v>
      </c>
      <c r="D348" s="10">
        <f t="shared" si="67"/>
        <v>0.06</v>
      </c>
      <c r="E348" s="10">
        <f t="shared" si="68"/>
        <v>0.09</v>
      </c>
      <c r="F348" s="25">
        <f t="shared" si="69"/>
        <v>2.5350486138366879E-3</v>
      </c>
      <c r="G348" s="8">
        <f t="shared" si="70"/>
        <v>0.99746495138616331</v>
      </c>
      <c r="H348" s="13">
        <f t="shared" si="71"/>
        <v>5.1430128318229462E-3</v>
      </c>
      <c r="I348" s="8">
        <f t="shared" si="72"/>
        <v>0.99485698716817705</v>
      </c>
      <c r="J348" s="14">
        <f t="shared" si="73"/>
        <v>7.8284203424832111E-3</v>
      </c>
      <c r="K348" s="8">
        <f t="shared" si="74"/>
        <v>0.99217157965751679</v>
      </c>
      <c r="L348" s="21">
        <v>346</v>
      </c>
      <c r="M348" s="5">
        <f t="shared" si="75"/>
        <v>0.43117443873964878</v>
      </c>
      <c r="N348" s="5">
        <f t="shared" si="76"/>
        <v>0.18113523947477433</v>
      </c>
      <c r="O348" s="5">
        <f t="shared" si="77"/>
        <v>7.4015419656649734E-2</v>
      </c>
    </row>
    <row r="349" spans="1:15" hidden="1">
      <c r="A349">
        <v>347</v>
      </c>
      <c r="B349">
        <f t="shared" si="65"/>
        <v>0.06</v>
      </c>
      <c r="C349" s="10">
        <f t="shared" si="66"/>
        <v>0.03</v>
      </c>
      <c r="D349" s="10">
        <f t="shared" si="67"/>
        <v>0.06</v>
      </c>
      <c r="E349" s="10">
        <f t="shared" si="68"/>
        <v>0.09</v>
      </c>
      <c r="F349" s="25">
        <f t="shared" si="69"/>
        <v>2.5350486138366879E-3</v>
      </c>
      <c r="G349" s="8">
        <f t="shared" si="70"/>
        <v>0.99746495138616331</v>
      </c>
      <c r="H349" s="13">
        <f t="shared" si="71"/>
        <v>5.1430128318229462E-3</v>
      </c>
      <c r="I349" s="8">
        <f t="shared" si="72"/>
        <v>0.99485698716817705</v>
      </c>
      <c r="J349" s="14">
        <f t="shared" si="73"/>
        <v>7.8284203424832111E-3</v>
      </c>
      <c r="K349" s="8">
        <f t="shared" si="74"/>
        <v>0.99217157965751679</v>
      </c>
      <c r="L349" s="21">
        <v>347</v>
      </c>
      <c r="M349" s="5">
        <f t="shared" si="75"/>
        <v>0.43008139057640005</v>
      </c>
      <c r="N349" s="5">
        <f t="shared" si="76"/>
        <v>0.18020365861386026</v>
      </c>
      <c r="O349" s="5">
        <f t="shared" si="77"/>
        <v>7.3435995839752188E-2</v>
      </c>
    </row>
    <row r="350" spans="1:15" hidden="1">
      <c r="A350">
        <v>348</v>
      </c>
      <c r="B350">
        <f t="shared" si="65"/>
        <v>0.06</v>
      </c>
      <c r="C350" s="10">
        <f t="shared" si="66"/>
        <v>0.03</v>
      </c>
      <c r="D350" s="10">
        <f t="shared" si="67"/>
        <v>0.06</v>
      </c>
      <c r="E350" s="10">
        <f t="shared" si="68"/>
        <v>0.09</v>
      </c>
      <c r="F350" s="25">
        <f t="shared" si="69"/>
        <v>2.5350486138366879E-3</v>
      </c>
      <c r="G350" s="8">
        <f t="shared" si="70"/>
        <v>0.99746495138616331</v>
      </c>
      <c r="H350" s="13">
        <f t="shared" si="71"/>
        <v>5.1430128318229462E-3</v>
      </c>
      <c r="I350" s="8">
        <f t="shared" si="72"/>
        <v>0.99485698716817705</v>
      </c>
      <c r="J350" s="14">
        <f t="shared" si="73"/>
        <v>7.8284203424832111E-3</v>
      </c>
      <c r="K350" s="8">
        <f t="shared" si="74"/>
        <v>0.99217157965751679</v>
      </c>
      <c r="L350" s="21">
        <v>348</v>
      </c>
      <c r="M350" s="5">
        <f t="shared" si="75"/>
        <v>0.42899111334338241</v>
      </c>
      <c r="N350" s="5">
        <f t="shared" si="76"/>
        <v>0.17927686888526773</v>
      </c>
      <c r="O350" s="5">
        <f t="shared" si="77"/>
        <v>7.2861107996049765E-2</v>
      </c>
    </row>
    <row r="351" spans="1:15" hidden="1">
      <c r="A351">
        <v>349</v>
      </c>
      <c r="B351">
        <f t="shared" si="65"/>
        <v>0.06</v>
      </c>
      <c r="C351" s="10">
        <f t="shared" si="66"/>
        <v>0.03</v>
      </c>
      <c r="D351" s="10">
        <f t="shared" si="67"/>
        <v>0.06</v>
      </c>
      <c r="E351" s="10">
        <f t="shared" si="68"/>
        <v>0.09</v>
      </c>
      <c r="F351" s="25">
        <f t="shared" si="69"/>
        <v>2.5350486138366879E-3</v>
      </c>
      <c r="G351" s="8">
        <f t="shared" si="70"/>
        <v>0.99746495138616331</v>
      </c>
      <c r="H351" s="13">
        <f t="shared" si="71"/>
        <v>5.1430128318229462E-3</v>
      </c>
      <c r="I351" s="8">
        <f t="shared" si="72"/>
        <v>0.99485698716817705</v>
      </c>
      <c r="J351" s="14">
        <f t="shared" si="73"/>
        <v>7.8284203424832111E-3</v>
      </c>
      <c r="K351" s="8">
        <f t="shared" si="74"/>
        <v>0.99217157965751679</v>
      </c>
      <c r="L351" s="21">
        <v>349</v>
      </c>
      <c r="M351" s="5">
        <f t="shared" si="75"/>
        <v>0.42790360001615302</v>
      </c>
      <c r="N351" s="5">
        <f t="shared" si="76"/>
        <v>0.17835484564814175</v>
      </c>
      <c r="O351" s="5">
        <f t="shared" si="77"/>
        <v>7.2290720616037626E-2</v>
      </c>
    </row>
    <row r="352" spans="1:15" hidden="1">
      <c r="A352">
        <v>350</v>
      </c>
      <c r="B352">
        <f t="shared" si="65"/>
        <v>0.06</v>
      </c>
      <c r="C352" s="10">
        <f t="shared" si="66"/>
        <v>0.03</v>
      </c>
      <c r="D352" s="10">
        <f t="shared" si="67"/>
        <v>0.06</v>
      </c>
      <c r="E352" s="10">
        <f t="shared" si="68"/>
        <v>0.09</v>
      </c>
      <c r="F352" s="25">
        <f t="shared" si="69"/>
        <v>2.5350486138366879E-3</v>
      </c>
      <c r="G352" s="8">
        <f t="shared" si="70"/>
        <v>0.99746495138616331</v>
      </c>
      <c r="H352" s="13">
        <f t="shared" si="71"/>
        <v>5.1430128318229462E-3</v>
      </c>
      <c r="I352" s="8">
        <f t="shared" si="72"/>
        <v>0.99485698716817705</v>
      </c>
      <c r="J352" s="14">
        <f t="shared" si="73"/>
        <v>7.8284203424832111E-3</v>
      </c>
      <c r="K352" s="8">
        <f t="shared" si="74"/>
        <v>0.99217157965751679</v>
      </c>
      <c r="L352" s="21">
        <v>350</v>
      </c>
      <c r="M352" s="5">
        <f t="shared" si="75"/>
        <v>0.42681884358807637</v>
      </c>
      <c r="N352" s="5">
        <f t="shared" si="76"/>
        <v>0.17743756438835556</v>
      </c>
      <c r="O352" s="5">
        <f t="shared" si="77"/>
        <v>7.1724798468194267E-2</v>
      </c>
    </row>
    <row r="353" spans="1:15" hidden="1">
      <c r="A353">
        <v>351</v>
      </c>
      <c r="B353">
        <f t="shared" si="65"/>
        <v>0.06</v>
      </c>
      <c r="C353" s="10">
        <f t="shared" si="66"/>
        <v>0.03</v>
      </c>
      <c r="D353" s="10">
        <f t="shared" si="67"/>
        <v>0.06</v>
      </c>
      <c r="E353" s="10">
        <f t="shared" si="68"/>
        <v>0.09</v>
      </c>
      <c r="F353" s="25">
        <f t="shared" si="69"/>
        <v>2.5350486138366879E-3</v>
      </c>
      <c r="G353" s="8">
        <f t="shared" si="70"/>
        <v>0.99746495138616331</v>
      </c>
      <c r="H353" s="13">
        <f t="shared" si="71"/>
        <v>5.1430128318229462E-3</v>
      </c>
      <c r="I353" s="8">
        <f t="shared" si="72"/>
        <v>0.99485698716817705</v>
      </c>
      <c r="J353" s="14">
        <f t="shared" si="73"/>
        <v>7.8284203424832111E-3</v>
      </c>
      <c r="K353" s="8">
        <f t="shared" si="74"/>
        <v>0.99217157965751679</v>
      </c>
      <c r="L353" s="21">
        <v>351</v>
      </c>
      <c r="M353" s="5">
        <f t="shared" si="75"/>
        <v>0.42573683707027904</v>
      </c>
      <c r="N353" s="5">
        <f t="shared" si="76"/>
        <v>0.17652500071785884</v>
      </c>
      <c r="O353" s="5">
        <f t="shared" si="77"/>
        <v>7.1163306596805351E-2</v>
      </c>
    </row>
    <row r="354" spans="1:15" hidden="1">
      <c r="A354">
        <v>352</v>
      </c>
      <c r="B354">
        <f t="shared" si="65"/>
        <v>0.06</v>
      </c>
      <c r="C354" s="10">
        <f t="shared" si="66"/>
        <v>0.03</v>
      </c>
      <c r="D354" s="10">
        <f t="shared" si="67"/>
        <v>0.06</v>
      </c>
      <c r="E354" s="10">
        <f t="shared" si="68"/>
        <v>0.09</v>
      </c>
      <c r="F354" s="25">
        <f t="shared" si="69"/>
        <v>2.5350486138366879E-3</v>
      </c>
      <c r="G354" s="8">
        <f t="shared" si="70"/>
        <v>0.99746495138616331</v>
      </c>
      <c r="H354" s="13">
        <f t="shared" si="71"/>
        <v>5.1430128318229462E-3</v>
      </c>
      <c r="I354" s="8">
        <f t="shared" si="72"/>
        <v>0.99485698716817705</v>
      </c>
      <c r="J354" s="14">
        <f t="shared" si="73"/>
        <v>7.8284203424832111E-3</v>
      </c>
      <c r="K354" s="8">
        <f t="shared" si="74"/>
        <v>0.99217157965751679</v>
      </c>
      <c r="L354" s="21">
        <v>352</v>
      </c>
      <c r="M354" s="5">
        <f t="shared" si="75"/>
        <v>0.42465757349160482</v>
      </c>
      <c r="N354" s="5">
        <f t="shared" si="76"/>
        <v>0.17561713037402935</v>
      </c>
      <c r="O354" s="5">
        <f t="shared" si="77"/>
        <v>7.0606210319804547E-2</v>
      </c>
    </row>
    <row r="355" spans="1:15" hidden="1">
      <c r="A355">
        <v>353</v>
      </c>
      <c r="B355">
        <f t="shared" si="65"/>
        <v>0.06</v>
      </c>
      <c r="C355" s="10">
        <f t="shared" si="66"/>
        <v>0.03</v>
      </c>
      <c r="D355" s="10">
        <f t="shared" si="67"/>
        <v>0.06</v>
      </c>
      <c r="E355" s="10">
        <f t="shared" si="68"/>
        <v>0.09</v>
      </c>
      <c r="F355" s="25">
        <f t="shared" si="69"/>
        <v>2.5350486138366879E-3</v>
      </c>
      <c r="G355" s="8">
        <f t="shared" si="70"/>
        <v>0.99746495138616331</v>
      </c>
      <c r="H355" s="13">
        <f t="shared" si="71"/>
        <v>5.1430128318229462E-3</v>
      </c>
      <c r="I355" s="8">
        <f t="shared" si="72"/>
        <v>0.99485698716817705</v>
      </c>
      <c r="J355" s="14">
        <f t="shared" si="73"/>
        <v>7.8284203424832111E-3</v>
      </c>
      <c r="K355" s="8">
        <f t="shared" si="74"/>
        <v>0.99217157965751679</v>
      </c>
      <c r="L355" s="21">
        <v>353</v>
      </c>
      <c r="M355" s="5">
        <f t="shared" si="75"/>
        <v>0.42358104589856965</v>
      </c>
      <c r="N355" s="5">
        <f t="shared" si="76"/>
        <v>0.17471392921902779</v>
      </c>
      <c r="O355" s="5">
        <f t="shared" si="77"/>
        <v>7.0053475226631343E-2</v>
      </c>
    </row>
    <row r="356" spans="1:15" hidden="1">
      <c r="A356">
        <v>354</v>
      </c>
      <c r="B356">
        <f t="shared" si="65"/>
        <v>0.06</v>
      </c>
      <c r="C356" s="10">
        <f t="shared" si="66"/>
        <v>0.03</v>
      </c>
      <c r="D356" s="10">
        <f t="shared" si="67"/>
        <v>0.06</v>
      </c>
      <c r="E356" s="10">
        <f t="shared" si="68"/>
        <v>0.09</v>
      </c>
      <c r="F356" s="25">
        <f t="shared" si="69"/>
        <v>2.5350486138366879E-3</v>
      </c>
      <c r="G356" s="8">
        <f t="shared" si="70"/>
        <v>0.99746495138616331</v>
      </c>
      <c r="H356" s="13">
        <f t="shared" si="71"/>
        <v>5.1430128318229462E-3</v>
      </c>
      <c r="I356" s="8">
        <f t="shared" si="72"/>
        <v>0.99485698716817705</v>
      </c>
      <c r="J356" s="14">
        <f t="shared" si="73"/>
        <v>7.8284203424832111E-3</v>
      </c>
      <c r="K356" s="8">
        <f t="shared" si="74"/>
        <v>0.99217157965751679</v>
      </c>
      <c r="L356" s="21">
        <v>354</v>
      </c>
      <c r="M356" s="5">
        <f t="shared" si="75"/>
        <v>0.42250724735531697</v>
      </c>
      <c r="N356" s="5">
        <f t="shared" si="76"/>
        <v>0.17381537323915611</v>
      </c>
      <c r="O356" s="5">
        <f t="shared" si="77"/>
        <v>6.9505067176105537E-2</v>
      </c>
    </row>
    <row r="357" spans="1:15" hidden="1">
      <c r="A357">
        <v>355</v>
      </c>
      <c r="B357">
        <f t="shared" si="65"/>
        <v>0.06</v>
      </c>
      <c r="C357" s="10">
        <f t="shared" si="66"/>
        <v>0.03</v>
      </c>
      <c r="D357" s="10">
        <f t="shared" si="67"/>
        <v>0.06</v>
      </c>
      <c r="E357" s="10">
        <f t="shared" si="68"/>
        <v>0.09</v>
      </c>
      <c r="F357" s="25">
        <f t="shared" si="69"/>
        <v>2.5350486138366879E-3</v>
      </c>
      <c r="G357" s="8">
        <f t="shared" si="70"/>
        <v>0.99746495138616331</v>
      </c>
      <c r="H357" s="13">
        <f t="shared" si="71"/>
        <v>5.1430128318229462E-3</v>
      </c>
      <c r="I357" s="8">
        <f t="shared" si="72"/>
        <v>0.99485698716817705</v>
      </c>
      <c r="J357" s="14">
        <f t="shared" si="73"/>
        <v>7.8284203424832111E-3</v>
      </c>
      <c r="K357" s="8">
        <f t="shared" si="74"/>
        <v>0.99217157965751679</v>
      </c>
      <c r="L357" s="21">
        <v>355</v>
      </c>
      <c r="M357" s="5">
        <f t="shared" si="75"/>
        <v>0.42143617094357294</v>
      </c>
      <c r="N357" s="5">
        <f t="shared" si="76"/>
        <v>0.17292143854421904</v>
      </c>
      <c r="O357" s="5">
        <f t="shared" si="77"/>
        <v>6.8960952294318451E-2</v>
      </c>
    </row>
    <row r="358" spans="1:15">
      <c r="A358">
        <v>356</v>
      </c>
      <c r="B358">
        <f t="shared" si="65"/>
        <v>0.06</v>
      </c>
      <c r="C358" s="10">
        <f t="shared" si="66"/>
        <v>0.03</v>
      </c>
      <c r="D358" s="10">
        <f t="shared" si="67"/>
        <v>0.06</v>
      </c>
      <c r="E358" s="10">
        <f t="shared" si="68"/>
        <v>0.09</v>
      </c>
      <c r="F358" s="25">
        <f t="shared" si="69"/>
        <v>2.5350486138366879E-3</v>
      </c>
      <c r="G358" s="8">
        <f t="shared" si="70"/>
        <v>0.99746495138616331</v>
      </c>
      <c r="H358" s="13">
        <f t="shared" si="71"/>
        <v>5.1430128318229462E-3</v>
      </c>
      <c r="I358" s="8">
        <f t="shared" si="72"/>
        <v>0.99485698716817705</v>
      </c>
      <c r="J358" s="14">
        <f t="shared" si="73"/>
        <v>7.8284203424832111E-3</v>
      </c>
      <c r="K358" s="8">
        <f t="shared" si="74"/>
        <v>0.99217157965751679</v>
      </c>
      <c r="L358" s="21">
        <v>356</v>
      </c>
      <c r="M358" s="5">
        <f t="shared" si="75"/>
        <v>0.4203678097626018</v>
      </c>
      <c r="N358" s="5">
        <f t="shared" si="76"/>
        <v>0.17203210136688885</v>
      </c>
      <c r="O358" s="5">
        <f t="shared" si="77"/>
        <v>6.842109697254059E-2</v>
      </c>
    </row>
    <row r="359" spans="1:15">
      <c r="A359">
        <v>357</v>
      </c>
      <c r="B359">
        <f t="shared" si="65"/>
        <v>0.06</v>
      </c>
      <c r="C359" s="10">
        <f t="shared" si="66"/>
        <v>0.03</v>
      </c>
      <c r="D359" s="10">
        <f t="shared" si="67"/>
        <v>0.06</v>
      </c>
      <c r="E359" s="10">
        <f t="shared" si="68"/>
        <v>0.09</v>
      </c>
      <c r="F359" s="25">
        <f t="shared" si="69"/>
        <v>2.5350486138366879E-3</v>
      </c>
      <c r="G359" s="8">
        <f t="shared" si="70"/>
        <v>0.99746495138616331</v>
      </c>
      <c r="H359" s="13">
        <f t="shared" si="71"/>
        <v>5.1430128318229462E-3</v>
      </c>
      <c r="I359" s="8">
        <f t="shared" si="72"/>
        <v>0.99485698716817705</v>
      </c>
      <c r="J359" s="14">
        <f t="shared" si="73"/>
        <v>7.8284203424832111E-3</v>
      </c>
      <c r="K359" s="8">
        <f t="shared" si="74"/>
        <v>0.99217157965751679</v>
      </c>
      <c r="L359" s="21">
        <v>357</v>
      </c>
      <c r="M359" s="5">
        <f t="shared" si="75"/>
        <v>0.41930215692916156</v>
      </c>
      <c r="N359" s="5">
        <f t="shared" si="76"/>
        <v>0.17114733806207347</v>
      </c>
      <c r="O359" s="5">
        <f t="shared" si="77"/>
        <v>6.7885467865145738E-2</v>
      </c>
    </row>
    <row r="360" spans="1:15">
      <c r="A360">
        <v>358</v>
      </c>
      <c r="B360">
        <f t="shared" si="65"/>
        <v>0.06</v>
      </c>
      <c r="C360" s="10">
        <f t="shared" si="66"/>
        <v>0.03</v>
      </c>
      <c r="D360" s="10">
        <f t="shared" si="67"/>
        <v>0.06</v>
      </c>
      <c r="E360" s="10">
        <f t="shared" si="68"/>
        <v>0.09</v>
      </c>
      <c r="F360" s="25">
        <f t="shared" si="69"/>
        <v>2.5350486138366879E-3</v>
      </c>
      <c r="G360" s="8">
        <f t="shared" si="70"/>
        <v>0.99746495138616331</v>
      </c>
      <c r="H360" s="13">
        <f t="shared" si="71"/>
        <v>5.1430128318229462E-3</v>
      </c>
      <c r="I360" s="8">
        <f t="shared" si="72"/>
        <v>0.99485698716817705</v>
      </c>
      <c r="J360" s="14">
        <f t="shared" si="73"/>
        <v>7.8284203424832111E-3</v>
      </c>
      <c r="K360" s="8">
        <f t="shared" si="74"/>
        <v>0.99217157965751679</v>
      </c>
      <c r="L360" s="21">
        <v>358</v>
      </c>
      <c r="M360" s="5">
        <f t="shared" si="75"/>
        <v>0.41823920557745958</v>
      </c>
      <c r="N360" s="5">
        <f t="shared" si="76"/>
        <v>0.17026712510628789</v>
      </c>
      <c r="O360" s="5">
        <f t="shared" si="77"/>
        <v>6.7354031887551236E-2</v>
      </c>
    </row>
    <row r="361" spans="1:15">
      <c r="A361">
        <v>359</v>
      </c>
      <c r="B361">
        <f t="shared" si="65"/>
        <v>0.06</v>
      </c>
      <c r="C361" s="10">
        <f t="shared" si="66"/>
        <v>0.03</v>
      </c>
      <c r="D361" s="10">
        <f t="shared" si="67"/>
        <v>0.06</v>
      </c>
      <c r="E361" s="10">
        <f t="shared" si="68"/>
        <v>0.09</v>
      </c>
      <c r="F361" s="25">
        <f t="shared" si="69"/>
        <v>2.5350486138366879E-3</v>
      </c>
      <c r="G361" s="8">
        <f t="shared" si="70"/>
        <v>0.99746495138616331</v>
      </c>
      <c r="H361" s="13">
        <f t="shared" si="71"/>
        <v>5.1430128318229462E-3</v>
      </c>
      <c r="I361" s="8">
        <f t="shared" si="72"/>
        <v>0.99485698716817705</v>
      </c>
      <c r="J361" s="14">
        <f t="shared" si="73"/>
        <v>7.8284203424832111E-3</v>
      </c>
      <c r="K361" s="8">
        <f t="shared" si="74"/>
        <v>0.99217157965751679</v>
      </c>
      <c r="L361" s="21">
        <v>359</v>
      </c>
      <c r="M361" s="5">
        <f t="shared" si="75"/>
        <v>0.41717894885910828</v>
      </c>
      <c r="N361" s="5">
        <f t="shared" si="76"/>
        <v>0.16939143909702864</v>
      </c>
      <c r="O361" s="5">
        <f t="shared" si="77"/>
        <v>6.6826756214174471E-2</v>
      </c>
    </row>
    <row r="362" spans="1:15">
      <c r="A362">
        <v>360</v>
      </c>
      <c r="B362">
        <f t="shared" si="65"/>
        <v>0.06</v>
      </c>
      <c r="C362" s="10">
        <f t="shared" si="66"/>
        <v>0.03</v>
      </c>
      <c r="D362" s="10">
        <f t="shared" si="67"/>
        <v>0.06</v>
      </c>
      <c r="E362" s="10">
        <f t="shared" si="68"/>
        <v>0.09</v>
      </c>
      <c r="F362" s="25">
        <f t="shared" si="69"/>
        <v>2.5350486138366879E-3</v>
      </c>
      <c r="G362" s="8">
        <f t="shared" si="70"/>
        <v>0.99746495138616331</v>
      </c>
      <c r="H362" s="13">
        <f t="shared" si="71"/>
        <v>5.1430128318229462E-3</v>
      </c>
      <c r="I362" s="8">
        <f t="shared" si="72"/>
        <v>0.99485698716817705</v>
      </c>
      <c r="J362" s="14">
        <f t="shared" si="73"/>
        <v>7.8284203424832111E-3</v>
      </c>
      <c r="K362" s="8">
        <f t="shared" si="74"/>
        <v>0.99217157965751679</v>
      </c>
      <c r="L362" s="21">
        <v>360</v>
      </c>
      <c r="M362" s="5">
        <f t="shared" si="75"/>
        <v>0.41612137994308113</v>
      </c>
      <c r="N362" s="5">
        <f t="shared" si="76"/>
        <v>0.16852025675215165</v>
      </c>
      <c r="O362" s="5">
        <f t="shared" si="77"/>
        <v>6.630360827640526E-2</v>
      </c>
    </row>
    <row r="363" spans="1:15">
      <c r="A363">
        <v>361</v>
      </c>
      <c r="B363">
        <f t="shared" si="65"/>
        <v>0.06</v>
      </c>
      <c r="C363" s="10">
        <f t="shared" si="66"/>
        <v>0.03</v>
      </c>
      <c r="D363" s="10">
        <f t="shared" si="67"/>
        <v>0.06</v>
      </c>
      <c r="E363" s="10">
        <f t="shared" si="68"/>
        <v>0.09</v>
      </c>
      <c r="F363" s="25">
        <f t="shared" si="69"/>
        <v>2.5350486138366879E-3</v>
      </c>
      <c r="G363" s="8">
        <f t="shared" si="70"/>
        <v>0.99746495138616331</v>
      </c>
      <c r="H363" s="13">
        <f t="shared" si="71"/>
        <v>5.1430128318229462E-3</v>
      </c>
      <c r="I363" s="8">
        <f t="shared" si="72"/>
        <v>0.99485698716817705</v>
      </c>
      <c r="J363" s="14">
        <f t="shared" si="73"/>
        <v>7.8284203424832111E-3</v>
      </c>
      <c r="K363" s="8">
        <f t="shared" si="74"/>
        <v>0.99217157965751679</v>
      </c>
      <c r="L363" s="21">
        <v>361</v>
      </c>
      <c r="M363" s="5">
        <f t="shared" si="75"/>
        <v>0.41506649201566859</v>
      </c>
      <c r="N363" s="5">
        <f t="shared" si="76"/>
        <v>0.16765355490925324</v>
      </c>
      <c r="O363" s="5">
        <f t="shared" si="77"/>
        <v>6.5784555760594207E-2</v>
      </c>
    </row>
    <row r="365" spans="1:15">
      <c r="A365" s="30" t="s">
        <v>19</v>
      </c>
      <c r="B365" s="45" t="s">
        <v>18</v>
      </c>
      <c r="C365" s="45"/>
      <c r="D365" s="45"/>
      <c r="E365" s="46" t="s">
        <v>40</v>
      </c>
      <c r="F365" s="46"/>
      <c r="G365" s="46"/>
    </row>
    <row r="366" spans="1:15">
      <c r="A366" s="30"/>
      <c r="B366" s="30" t="s">
        <v>37</v>
      </c>
      <c r="C366" s="31" t="s">
        <v>38</v>
      </c>
      <c r="D366" s="31" t="s">
        <v>39</v>
      </c>
      <c r="E366" s="41" t="s">
        <v>41</v>
      </c>
      <c r="F366" s="42" t="s">
        <v>43</v>
      </c>
      <c r="G366" s="41" t="s">
        <v>42</v>
      </c>
      <c r="H366" s="16" t="s">
        <v>44</v>
      </c>
    </row>
    <row r="367" spans="1:15">
      <c r="A367">
        <v>1</v>
      </c>
      <c r="B367" s="5">
        <f>(50/100)*(IF(A367&lt;=30,0.06*(A367/30),0.06))</f>
        <v>1E-3</v>
      </c>
      <c r="C367" s="5">
        <f>(100/100)*(IF(A367&lt;=30,0.06*(A367/30),0.06))</f>
        <v>2E-3</v>
      </c>
      <c r="D367" s="5">
        <f>(150/100)*(IF(A367&lt;=30,0.06*(A367/30),0.06))</f>
        <v>3.0000000000000001E-3</v>
      </c>
      <c r="E367" s="43">
        <f>(5/100)*IF(A367&gt;30, 100/6, (100/6)*(30/A367))</f>
        <v>25.000000000000004</v>
      </c>
      <c r="F367" s="43">
        <f>(10/100)*IF(A367&gt;30, 100/6, (100/6)*(30/A367))</f>
        <v>50.000000000000007</v>
      </c>
      <c r="G367" s="43">
        <f>(20/100)*IF(A367&gt;30, 100/6, (100/6)*(30/A367))</f>
        <v>100.00000000000001</v>
      </c>
    </row>
    <row r="368" spans="1:15">
      <c r="A368">
        <v>2</v>
      </c>
      <c r="B368" s="5">
        <f t="shared" ref="B368:B431" si="78">(50/100)*(IF(A368&lt;=30,0.06*(A368/30),0.06))</f>
        <v>2E-3</v>
      </c>
      <c r="C368" s="5">
        <f t="shared" ref="C368:C431" si="79">(100/100)*(IF(A368&lt;=30,0.06*(A368/30),0.06))</f>
        <v>4.0000000000000001E-3</v>
      </c>
      <c r="D368" s="5">
        <f t="shared" ref="D368:D431" si="80">(150/100)*(IF(A368&lt;=30,0.06*(A368/30),0.06))</f>
        <v>6.0000000000000001E-3</v>
      </c>
      <c r="E368" s="43">
        <f>(5/100)*IF(A368&gt;30, 100/6, (100/6)*(30/A368))</f>
        <v>12.500000000000002</v>
      </c>
      <c r="F368" s="43">
        <f t="shared" ref="F368:F431" si="81">(10/100)*IF(A368&gt;30, 100/6, (100/6)*(30/A368))</f>
        <v>25.000000000000004</v>
      </c>
      <c r="G368" s="43">
        <f t="shared" ref="G368:G431" si="82">(20/100)*IF(A368&gt;30, 100/6, (100/6)*(30/A368))</f>
        <v>50.000000000000007</v>
      </c>
    </row>
    <row r="369" spans="1:7">
      <c r="A369">
        <v>3</v>
      </c>
      <c r="B369" s="5">
        <f t="shared" si="78"/>
        <v>3.0000000000000001E-3</v>
      </c>
      <c r="C369" s="5">
        <f t="shared" si="79"/>
        <v>6.0000000000000001E-3</v>
      </c>
      <c r="D369" s="5">
        <f t="shared" si="80"/>
        <v>9.0000000000000011E-3</v>
      </c>
      <c r="E369" s="43">
        <f t="shared" ref="E369:E431" si="83">(5/100)*IF(A369&gt;30, 100/6, (100/6)*(30/A369))</f>
        <v>8.3333333333333339</v>
      </c>
      <c r="F369" s="43">
        <f t="shared" si="81"/>
        <v>16.666666666666668</v>
      </c>
      <c r="G369" s="43">
        <f t="shared" si="82"/>
        <v>33.333333333333336</v>
      </c>
    </row>
    <row r="370" spans="1:7">
      <c r="A370">
        <v>4</v>
      </c>
      <c r="B370" s="5">
        <f t="shared" si="78"/>
        <v>4.0000000000000001E-3</v>
      </c>
      <c r="C370" s="5">
        <f t="shared" si="79"/>
        <v>8.0000000000000002E-3</v>
      </c>
      <c r="D370" s="5">
        <f t="shared" si="80"/>
        <v>1.2E-2</v>
      </c>
      <c r="E370" s="43">
        <f t="shared" si="83"/>
        <v>6.2500000000000009</v>
      </c>
      <c r="F370" s="43">
        <f t="shared" si="81"/>
        <v>12.500000000000002</v>
      </c>
      <c r="G370" s="43">
        <f t="shared" si="82"/>
        <v>25.000000000000004</v>
      </c>
    </row>
    <row r="371" spans="1:7">
      <c r="A371">
        <v>5</v>
      </c>
      <c r="B371" s="5">
        <f t="shared" si="78"/>
        <v>4.9999999999999992E-3</v>
      </c>
      <c r="C371" s="5">
        <f t="shared" si="79"/>
        <v>9.9999999999999985E-3</v>
      </c>
      <c r="D371" s="5">
        <f t="shared" si="80"/>
        <v>1.4999999999999998E-2</v>
      </c>
      <c r="E371" s="43">
        <f t="shared" si="83"/>
        <v>5</v>
      </c>
      <c r="F371" s="43">
        <f t="shared" si="81"/>
        <v>10</v>
      </c>
      <c r="G371" s="43">
        <f t="shared" si="82"/>
        <v>20</v>
      </c>
    </row>
    <row r="372" spans="1:7">
      <c r="A372">
        <v>6</v>
      </c>
      <c r="B372" s="5">
        <f t="shared" si="78"/>
        <v>6.0000000000000001E-3</v>
      </c>
      <c r="C372" s="5">
        <f t="shared" si="79"/>
        <v>1.2E-2</v>
      </c>
      <c r="D372" s="5">
        <f t="shared" si="80"/>
        <v>1.8000000000000002E-2</v>
      </c>
      <c r="E372" s="43">
        <f t="shared" si="83"/>
        <v>4.166666666666667</v>
      </c>
      <c r="F372" s="43">
        <f t="shared" si="81"/>
        <v>8.3333333333333339</v>
      </c>
      <c r="G372" s="43">
        <f t="shared" si="82"/>
        <v>16.666666666666668</v>
      </c>
    </row>
    <row r="373" spans="1:7">
      <c r="A373">
        <v>7</v>
      </c>
      <c r="B373" s="5">
        <f t="shared" si="78"/>
        <v>7.0000000000000001E-3</v>
      </c>
      <c r="C373" s="5">
        <f t="shared" si="79"/>
        <v>1.4E-2</v>
      </c>
      <c r="D373" s="5">
        <f t="shared" si="80"/>
        <v>2.1000000000000001E-2</v>
      </c>
      <c r="E373" s="43">
        <f t="shared" si="83"/>
        <v>3.5714285714285716</v>
      </c>
      <c r="F373" s="43">
        <f t="shared" si="81"/>
        <v>7.1428571428571432</v>
      </c>
      <c r="G373" s="43">
        <f t="shared" si="82"/>
        <v>14.285714285714286</v>
      </c>
    </row>
    <row r="374" spans="1:7">
      <c r="A374">
        <v>8</v>
      </c>
      <c r="B374" s="5">
        <f t="shared" si="78"/>
        <v>8.0000000000000002E-3</v>
      </c>
      <c r="C374" s="5">
        <f t="shared" si="79"/>
        <v>1.6E-2</v>
      </c>
      <c r="D374" s="5">
        <f t="shared" si="80"/>
        <v>2.4E-2</v>
      </c>
      <c r="E374" s="43">
        <f t="shared" si="83"/>
        <v>3.1250000000000004</v>
      </c>
      <c r="F374" s="43">
        <f t="shared" si="81"/>
        <v>6.2500000000000009</v>
      </c>
      <c r="G374" s="43">
        <f t="shared" si="82"/>
        <v>12.500000000000002</v>
      </c>
    </row>
    <row r="375" spans="1:7">
      <c r="A375">
        <v>9</v>
      </c>
      <c r="B375" s="5">
        <f t="shared" si="78"/>
        <v>8.9999999999999993E-3</v>
      </c>
      <c r="C375" s="5">
        <f t="shared" si="79"/>
        <v>1.7999999999999999E-2</v>
      </c>
      <c r="D375" s="5">
        <f t="shared" si="80"/>
        <v>2.6999999999999996E-2</v>
      </c>
      <c r="E375" s="43">
        <f t="shared" si="83"/>
        <v>2.7777777777777786</v>
      </c>
      <c r="F375" s="43">
        <f t="shared" si="81"/>
        <v>5.5555555555555571</v>
      </c>
      <c r="G375" s="43">
        <f t="shared" si="82"/>
        <v>11.111111111111114</v>
      </c>
    </row>
    <row r="376" spans="1:7">
      <c r="A376">
        <v>10</v>
      </c>
      <c r="B376" s="5">
        <f t="shared" si="78"/>
        <v>9.9999999999999985E-3</v>
      </c>
      <c r="C376" s="5">
        <f t="shared" si="79"/>
        <v>1.9999999999999997E-2</v>
      </c>
      <c r="D376" s="5">
        <f t="shared" si="80"/>
        <v>2.9999999999999995E-2</v>
      </c>
      <c r="E376" s="43">
        <f t="shared" si="83"/>
        <v>2.5</v>
      </c>
      <c r="F376" s="43">
        <f t="shared" si="81"/>
        <v>5</v>
      </c>
      <c r="G376" s="43">
        <f t="shared" si="82"/>
        <v>10</v>
      </c>
    </row>
    <row r="377" spans="1:7">
      <c r="A377">
        <v>11</v>
      </c>
      <c r="B377" s="5">
        <f t="shared" si="78"/>
        <v>1.0999999999999999E-2</v>
      </c>
      <c r="C377" s="5">
        <f t="shared" si="79"/>
        <v>2.1999999999999999E-2</v>
      </c>
      <c r="D377" s="5">
        <f t="shared" si="80"/>
        <v>3.3000000000000002E-2</v>
      </c>
      <c r="E377" s="43">
        <f t="shared" si="83"/>
        <v>2.2727272727272729</v>
      </c>
      <c r="F377" s="43">
        <f t="shared" si="81"/>
        <v>4.5454545454545459</v>
      </c>
      <c r="G377" s="43">
        <f t="shared" si="82"/>
        <v>9.0909090909090917</v>
      </c>
    </row>
    <row r="378" spans="1:7">
      <c r="A378">
        <v>12</v>
      </c>
      <c r="B378" s="5">
        <f t="shared" si="78"/>
        <v>1.2E-2</v>
      </c>
      <c r="C378" s="5">
        <f t="shared" si="79"/>
        <v>2.4E-2</v>
      </c>
      <c r="D378" s="5">
        <f t="shared" si="80"/>
        <v>3.6000000000000004E-2</v>
      </c>
      <c r="E378" s="43">
        <f t="shared" si="83"/>
        <v>2.0833333333333335</v>
      </c>
      <c r="F378" s="43">
        <f t="shared" si="81"/>
        <v>4.166666666666667</v>
      </c>
      <c r="G378" s="43">
        <f t="shared" si="82"/>
        <v>8.3333333333333339</v>
      </c>
    </row>
    <row r="379" spans="1:7">
      <c r="A379">
        <v>13</v>
      </c>
      <c r="B379" s="5">
        <f t="shared" si="78"/>
        <v>1.2999999999999999E-2</v>
      </c>
      <c r="C379" s="5">
        <f t="shared" si="79"/>
        <v>2.5999999999999999E-2</v>
      </c>
      <c r="D379" s="5">
        <f t="shared" si="80"/>
        <v>3.9E-2</v>
      </c>
      <c r="E379" s="43">
        <f t="shared" si="83"/>
        <v>1.9230769230769231</v>
      </c>
      <c r="F379" s="43">
        <f t="shared" si="81"/>
        <v>3.8461538461538463</v>
      </c>
      <c r="G379" s="43">
        <f t="shared" si="82"/>
        <v>7.6923076923076925</v>
      </c>
    </row>
    <row r="380" spans="1:7">
      <c r="A380">
        <v>14</v>
      </c>
      <c r="B380" s="5">
        <f t="shared" si="78"/>
        <v>1.4E-2</v>
      </c>
      <c r="C380" s="5">
        <f t="shared" si="79"/>
        <v>2.8000000000000001E-2</v>
      </c>
      <c r="D380" s="5">
        <f t="shared" si="80"/>
        <v>4.2000000000000003E-2</v>
      </c>
      <c r="E380" s="43">
        <f t="shared" si="83"/>
        <v>1.7857142857142858</v>
      </c>
      <c r="F380" s="43">
        <f t="shared" si="81"/>
        <v>3.5714285714285716</v>
      </c>
      <c r="G380" s="43">
        <f t="shared" si="82"/>
        <v>7.1428571428571432</v>
      </c>
    </row>
    <row r="381" spans="1:7">
      <c r="A381">
        <v>15</v>
      </c>
      <c r="B381" s="5">
        <f t="shared" si="78"/>
        <v>1.4999999999999999E-2</v>
      </c>
      <c r="C381" s="5">
        <f t="shared" si="79"/>
        <v>0.03</v>
      </c>
      <c r="D381" s="5">
        <f t="shared" si="80"/>
        <v>4.4999999999999998E-2</v>
      </c>
      <c r="E381" s="43">
        <f t="shared" si="83"/>
        <v>1.666666666666667</v>
      </c>
      <c r="F381" s="43">
        <f t="shared" si="81"/>
        <v>3.3333333333333339</v>
      </c>
      <c r="G381" s="43">
        <f t="shared" si="82"/>
        <v>6.6666666666666679</v>
      </c>
    </row>
    <row r="382" spans="1:7">
      <c r="A382">
        <v>16</v>
      </c>
      <c r="B382" s="5">
        <f t="shared" si="78"/>
        <v>1.6E-2</v>
      </c>
      <c r="C382" s="5">
        <f t="shared" si="79"/>
        <v>3.2000000000000001E-2</v>
      </c>
      <c r="D382" s="5">
        <f t="shared" si="80"/>
        <v>4.8000000000000001E-2</v>
      </c>
      <c r="E382" s="43">
        <f t="shared" si="83"/>
        <v>1.5625000000000002</v>
      </c>
      <c r="F382" s="43">
        <f t="shared" si="81"/>
        <v>3.1250000000000004</v>
      </c>
      <c r="G382" s="43">
        <f t="shared" si="82"/>
        <v>6.2500000000000009</v>
      </c>
    </row>
    <row r="383" spans="1:7">
      <c r="A383">
        <v>17</v>
      </c>
      <c r="B383" s="5">
        <f t="shared" si="78"/>
        <v>1.6999999999999998E-2</v>
      </c>
      <c r="C383" s="5">
        <f t="shared" si="79"/>
        <v>3.3999999999999996E-2</v>
      </c>
      <c r="D383" s="5">
        <f t="shared" si="80"/>
        <v>5.099999999999999E-2</v>
      </c>
      <c r="E383" s="43">
        <f t="shared" si="83"/>
        <v>1.4705882352941178</v>
      </c>
      <c r="F383" s="43">
        <f t="shared" si="81"/>
        <v>2.9411764705882355</v>
      </c>
      <c r="G383" s="43">
        <f t="shared" si="82"/>
        <v>5.882352941176471</v>
      </c>
    </row>
    <row r="384" spans="1:7">
      <c r="A384">
        <v>18</v>
      </c>
      <c r="B384" s="5">
        <f t="shared" si="78"/>
        <v>1.7999999999999999E-2</v>
      </c>
      <c r="C384" s="5">
        <f t="shared" si="79"/>
        <v>3.5999999999999997E-2</v>
      </c>
      <c r="D384" s="5">
        <f t="shared" si="80"/>
        <v>5.3999999999999992E-2</v>
      </c>
      <c r="E384" s="43">
        <f t="shared" si="83"/>
        <v>1.3888888888888893</v>
      </c>
      <c r="F384" s="43">
        <f t="shared" si="81"/>
        <v>2.7777777777777786</v>
      </c>
      <c r="G384" s="43">
        <f t="shared" si="82"/>
        <v>5.5555555555555571</v>
      </c>
    </row>
    <row r="385" spans="1:7">
      <c r="A385">
        <v>19</v>
      </c>
      <c r="B385" s="5">
        <f t="shared" si="78"/>
        <v>1.9E-2</v>
      </c>
      <c r="C385" s="5">
        <f t="shared" si="79"/>
        <v>3.7999999999999999E-2</v>
      </c>
      <c r="D385" s="5">
        <f t="shared" si="80"/>
        <v>5.6999999999999995E-2</v>
      </c>
      <c r="E385" s="43">
        <f t="shared" si="83"/>
        <v>1.3157894736842106</v>
      </c>
      <c r="F385" s="43">
        <f t="shared" si="81"/>
        <v>2.6315789473684212</v>
      </c>
      <c r="G385" s="43">
        <f t="shared" si="82"/>
        <v>5.2631578947368425</v>
      </c>
    </row>
    <row r="386" spans="1:7">
      <c r="A386">
        <v>20</v>
      </c>
      <c r="B386" s="5">
        <f t="shared" si="78"/>
        <v>1.9999999999999997E-2</v>
      </c>
      <c r="C386" s="5">
        <f t="shared" si="79"/>
        <v>3.9999999999999994E-2</v>
      </c>
      <c r="D386" s="5">
        <f t="shared" si="80"/>
        <v>5.9999999999999991E-2</v>
      </c>
      <c r="E386" s="43">
        <f t="shared" si="83"/>
        <v>1.25</v>
      </c>
      <c r="F386" s="43">
        <f t="shared" si="81"/>
        <v>2.5</v>
      </c>
      <c r="G386" s="43">
        <f t="shared" si="82"/>
        <v>5</v>
      </c>
    </row>
    <row r="387" spans="1:7">
      <c r="A387">
        <v>21</v>
      </c>
      <c r="B387" s="5">
        <f t="shared" si="78"/>
        <v>2.0999999999999998E-2</v>
      </c>
      <c r="C387" s="5">
        <f t="shared" si="79"/>
        <v>4.1999999999999996E-2</v>
      </c>
      <c r="D387" s="5">
        <f t="shared" si="80"/>
        <v>6.3E-2</v>
      </c>
      <c r="E387" s="43">
        <f t="shared" si="83"/>
        <v>1.1904761904761905</v>
      </c>
      <c r="F387" s="43">
        <f t="shared" si="81"/>
        <v>2.3809523809523809</v>
      </c>
      <c r="G387" s="43">
        <f t="shared" si="82"/>
        <v>4.7619047619047619</v>
      </c>
    </row>
    <row r="388" spans="1:7">
      <c r="A388">
        <v>22</v>
      </c>
      <c r="B388" s="5">
        <f t="shared" si="78"/>
        <v>2.1999999999999999E-2</v>
      </c>
      <c r="C388" s="5">
        <f t="shared" si="79"/>
        <v>4.3999999999999997E-2</v>
      </c>
      <c r="D388" s="5">
        <f t="shared" si="80"/>
        <v>6.6000000000000003E-2</v>
      </c>
      <c r="E388" s="43">
        <f t="shared" si="83"/>
        <v>1.1363636363636365</v>
      </c>
      <c r="F388" s="43">
        <f t="shared" si="81"/>
        <v>2.2727272727272729</v>
      </c>
      <c r="G388" s="43">
        <f t="shared" si="82"/>
        <v>4.5454545454545459</v>
      </c>
    </row>
    <row r="389" spans="1:7">
      <c r="A389">
        <v>23</v>
      </c>
      <c r="B389" s="5">
        <f t="shared" si="78"/>
        <v>2.3E-2</v>
      </c>
      <c r="C389" s="5">
        <f t="shared" si="79"/>
        <v>4.5999999999999999E-2</v>
      </c>
      <c r="D389" s="5">
        <f t="shared" si="80"/>
        <v>6.9000000000000006E-2</v>
      </c>
      <c r="E389" s="43">
        <f t="shared" si="83"/>
        <v>1.0869565217391306</v>
      </c>
      <c r="F389" s="43">
        <f t="shared" si="81"/>
        <v>2.1739130434782612</v>
      </c>
      <c r="G389" s="43">
        <f t="shared" si="82"/>
        <v>4.3478260869565224</v>
      </c>
    </row>
    <row r="390" spans="1:7">
      <c r="A390">
        <v>24</v>
      </c>
      <c r="B390" s="5">
        <f t="shared" si="78"/>
        <v>2.4E-2</v>
      </c>
      <c r="C390" s="5">
        <f t="shared" si="79"/>
        <v>4.8000000000000001E-2</v>
      </c>
      <c r="D390" s="5">
        <f t="shared" si="80"/>
        <v>7.2000000000000008E-2</v>
      </c>
      <c r="E390" s="43">
        <f t="shared" si="83"/>
        <v>1.0416666666666667</v>
      </c>
      <c r="F390" s="43">
        <f t="shared" si="81"/>
        <v>2.0833333333333335</v>
      </c>
      <c r="G390" s="43">
        <f t="shared" si="82"/>
        <v>4.166666666666667</v>
      </c>
    </row>
    <row r="391" spans="1:7">
      <c r="A391">
        <v>25</v>
      </c>
      <c r="B391" s="5">
        <f t="shared" si="78"/>
        <v>2.5000000000000001E-2</v>
      </c>
      <c r="C391" s="5">
        <f t="shared" si="79"/>
        <v>0.05</v>
      </c>
      <c r="D391" s="5">
        <f t="shared" si="80"/>
        <v>7.5000000000000011E-2</v>
      </c>
      <c r="E391" s="43">
        <f t="shared" si="83"/>
        <v>1</v>
      </c>
      <c r="F391" s="43">
        <f t="shared" si="81"/>
        <v>2</v>
      </c>
      <c r="G391" s="43">
        <f t="shared" si="82"/>
        <v>4</v>
      </c>
    </row>
    <row r="392" spans="1:7">
      <c r="A392">
        <v>26</v>
      </c>
      <c r="B392" s="5">
        <f t="shared" si="78"/>
        <v>2.5999999999999999E-2</v>
      </c>
      <c r="C392" s="5">
        <f t="shared" si="79"/>
        <v>5.1999999999999998E-2</v>
      </c>
      <c r="D392" s="5">
        <f t="shared" si="80"/>
        <v>7.8E-2</v>
      </c>
      <c r="E392" s="43">
        <f t="shared" si="83"/>
        <v>0.96153846153846156</v>
      </c>
      <c r="F392" s="43">
        <f t="shared" si="81"/>
        <v>1.9230769230769231</v>
      </c>
      <c r="G392" s="43">
        <f t="shared" si="82"/>
        <v>3.8461538461538463</v>
      </c>
    </row>
    <row r="393" spans="1:7">
      <c r="A393">
        <v>27</v>
      </c>
      <c r="B393" s="5">
        <f t="shared" si="78"/>
        <v>2.7E-2</v>
      </c>
      <c r="C393" s="5">
        <f t="shared" si="79"/>
        <v>5.3999999999999999E-2</v>
      </c>
      <c r="D393" s="5">
        <f t="shared" si="80"/>
        <v>8.1000000000000003E-2</v>
      </c>
      <c r="E393" s="43">
        <f t="shared" si="83"/>
        <v>0.92592592592592604</v>
      </c>
      <c r="F393" s="43">
        <f t="shared" si="81"/>
        <v>1.8518518518518521</v>
      </c>
      <c r="G393" s="43">
        <f t="shared" si="82"/>
        <v>3.7037037037037042</v>
      </c>
    </row>
    <row r="394" spans="1:7">
      <c r="A394">
        <v>28</v>
      </c>
      <c r="B394" s="5">
        <f t="shared" si="78"/>
        <v>2.8000000000000001E-2</v>
      </c>
      <c r="C394" s="5">
        <f t="shared" si="79"/>
        <v>5.6000000000000001E-2</v>
      </c>
      <c r="D394" s="5">
        <f t="shared" si="80"/>
        <v>8.4000000000000005E-2</v>
      </c>
      <c r="E394" s="43">
        <f t="shared" si="83"/>
        <v>0.8928571428571429</v>
      </c>
      <c r="F394" s="43">
        <f t="shared" si="81"/>
        <v>1.7857142857142858</v>
      </c>
      <c r="G394" s="43">
        <f t="shared" si="82"/>
        <v>3.5714285714285716</v>
      </c>
    </row>
    <row r="395" spans="1:7">
      <c r="A395">
        <v>29</v>
      </c>
      <c r="B395" s="5">
        <f t="shared" si="78"/>
        <v>2.8999999999999998E-2</v>
      </c>
      <c r="C395" s="5">
        <f t="shared" si="79"/>
        <v>5.7999999999999996E-2</v>
      </c>
      <c r="D395" s="5">
        <f t="shared" si="80"/>
        <v>8.6999999999999994E-2</v>
      </c>
      <c r="E395" s="43">
        <f t="shared" si="83"/>
        <v>0.86206896551724155</v>
      </c>
      <c r="F395" s="43">
        <f t="shared" si="81"/>
        <v>1.7241379310344831</v>
      </c>
      <c r="G395" s="43">
        <f t="shared" si="82"/>
        <v>3.4482758620689662</v>
      </c>
    </row>
    <row r="396" spans="1:7">
      <c r="A396">
        <v>30</v>
      </c>
      <c r="B396" s="5">
        <f t="shared" si="78"/>
        <v>0.03</v>
      </c>
      <c r="C396" s="5">
        <f t="shared" si="79"/>
        <v>0.06</v>
      </c>
      <c r="D396" s="5">
        <f t="shared" si="80"/>
        <v>0.09</v>
      </c>
      <c r="E396" s="43">
        <f t="shared" si="83"/>
        <v>0.83333333333333348</v>
      </c>
      <c r="F396" s="43">
        <f t="shared" si="81"/>
        <v>1.666666666666667</v>
      </c>
      <c r="G396" s="43">
        <f t="shared" si="82"/>
        <v>3.3333333333333339</v>
      </c>
    </row>
    <row r="397" spans="1:7">
      <c r="A397">
        <v>31</v>
      </c>
      <c r="B397" s="5">
        <f t="shared" si="78"/>
        <v>0.03</v>
      </c>
      <c r="C397" s="5">
        <f t="shared" si="79"/>
        <v>0.06</v>
      </c>
      <c r="D397" s="5">
        <f t="shared" si="80"/>
        <v>0.09</v>
      </c>
      <c r="E397" s="43">
        <f t="shared" si="83"/>
        <v>0.83333333333333348</v>
      </c>
      <c r="F397" s="43">
        <f t="shared" si="81"/>
        <v>1.666666666666667</v>
      </c>
      <c r="G397" s="43">
        <f t="shared" si="82"/>
        <v>3.3333333333333339</v>
      </c>
    </row>
    <row r="398" spans="1:7">
      <c r="A398">
        <v>32</v>
      </c>
      <c r="B398" s="5">
        <f t="shared" si="78"/>
        <v>0.03</v>
      </c>
      <c r="C398" s="5">
        <f t="shared" si="79"/>
        <v>0.06</v>
      </c>
      <c r="D398" s="5">
        <f t="shared" si="80"/>
        <v>0.09</v>
      </c>
      <c r="E398" s="43">
        <f t="shared" si="83"/>
        <v>0.83333333333333348</v>
      </c>
      <c r="F398" s="43">
        <f t="shared" si="81"/>
        <v>1.666666666666667</v>
      </c>
      <c r="G398" s="43">
        <f t="shared" si="82"/>
        <v>3.3333333333333339</v>
      </c>
    </row>
    <row r="399" spans="1:7">
      <c r="A399">
        <v>33</v>
      </c>
      <c r="B399" s="5">
        <f t="shared" si="78"/>
        <v>0.03</v>
      </c>
      <c r="C399" s="5">
        <f t="shared" si="79"/>
        <v>0.06</v>
      </c>
      <c r="D399" s="5">
        <f t="shared" si="80"/>
        <v>0.09</v>
      </c>
      <c r="E399" s="43">
        <f t="shared" si="83"/>
        <v>0.83333333333333348</v>
      </c>
      <c r="F399" s="43">
        <f t="shared" si="81"/>
        <v>1.666666666666667</v>
      </c>
      <c r="G399" s="43">
        <f t="shared" si="82"/>
        <v>3.3333333333333339</v>
      </c>
    </row>
    <row r="400" spans="1:7">
      <c r="A400">
        <v>34</v>
      </c>
      <c r="B400" s="5">
        <f t="shared" si="78"/>
        <v>0.03</v>
      </c>
      <c r="C400" s="5">
        <f t="shared" si="79"/>
        <v>0.06</v>
      </c>
      <c r="D400" s="5">
        <f t="shared" si="80"/>
        <v>0.09</v>
      </c>
      <c r="E400" s="43">
        <f t="shared" si="83"/>
        <v>0.83333333333333348</v>
      </c>
      <c r="F400" s="43">
        <f t="shared" si="81"/>
        <v>1.666666666666667</v>
      </c>
      <c r="G400" s="43">
        <f t="shared" si="82"/>
        <v>3.3333333333333339</v>
      </c>
    </row>
    <row r="401" spans="1:7">
      <c r="A401">
        <v>35</v>
      </c>
      <c r="B401" s="5">
        <f t="shared" si="78"/>
        <v>0.03</v>
      </c>
      <c r="C401" s="5">
        <f t="shared" si="79"/>
        <v>0.06</v>
      </c>
      <c r="D401" s="5">
        <f t="shared" si="80"/>
        <v>0.09</v>
      </c>
      <c r="E401" s="43">
        <f t="shared" si="83"/>
        <v>0.83333333333333348</v>
      </c>
      <c r="F401" s="43">
        <f t="shared" si="81"/>
        <v>1.666666666666667</v>
      </c>
      <c r="G401" s="43">
        <f t="shared" si="82"/>
        <v>3.3333333333333339</v>
      </c>
    </row>
    <row r="402" spans="1:7">
      <c r="A402">
        <v>36</v>
      </c>
      <c r="B402" s="5">
        <f t="shared" si="78"/>
        <v>0.03</v>
      </c>
      <c r="C402" s="5">
        <f t="shared" si="79"/>
        <v>0.06</v>
      </c>
      <c r="D402" s="5">
        <f t="shared" si="80"/>
        <v>0.09</v>
      </c>
      <c r="E402" s="43">
        <f t="shared" si="83"/>
        <v>0.83333333333333348</v>
      </c>
      <c r="F402" s="43">
        <f t="shared" si="81"/>
        <v>1.666666666666667</v>
      </c>
      <c r="G402" s="43">
        <f t="shared" si="82"/>
        <v>3.3333333333333339</v>
      </c>
    </row>
    <row r="403" spans="1:7">
      <c r="A403">
        <v>37</v>
      </c>
      <c r="B403" s="5">
        <f t="shared" si="78"/>
        <v>0.03</v>
      </c>
      <c r="C403" s="5">
        <f t="shared" si="79"/>
        <v>0.06</v>
      </c>
      <c r="D403" s="5">
        <f t="shared" si="80"/>
        <v>0.09</v>
      </c>
      <c r="E403" s="43">
        <f t="shared" si="83"/>
        <v>0.83333333333333348</v>
      </c>
      <c r="F403" s="43">
        <f t="shared" si="81"/>
        <v>1.666666666666667</v>
      </c>
      <c r="G403" s="43">
        <f t="shared" si="82"/>
        <v>3.3333333333333339</v>
      </c>
    </row>
    <row r="404" spans="1:7">
      <c r="A404">
        <v>38</v>
      </c>
      <c r="B404" s="5">
        <f t="shared" si="78"/>
        <v>0.03</v>
      </c>
      <c r="C404" s="5">
        <f t="shared" si="79"/>
        <v>0.06</v>
      </c>
      <c r="D404" s="5">
        <f t="shared" si="80"/>
        <v>0.09</v>
      </c>
      <c r="E404" s="43">
        <f t="shared" si="83"/>
        <v>0.83333333333333348</v>
      </c>
      <c r="F404" s="43">
        <f t="shared" si="81"/>
        <v>1.666666666666667</v>
      </c>
      <c r="G404" s="43">
        <f t="shared" si="82"/>
        <v>3.3333333333333339</v>
      </c>
    </row>
    <row r="405" spans="1:7">
      <c r="A405">
        <v>39</v>
      </c>
      <c r="B405" s="5">
        <f t="shared" si="78"/>
        <v>0.03</v>
      </c>
      <c r="C405" s="5">
        <f t="shared" si="79"/>
        <v>0.06</v>
      </c>
      <c r="D405" s="5">
        <f t="shared" si="80"/>
        <v>0.09</v>
      </c>
      <c r="E405" s="43">
        <f t="shared" si="83"/>
        <v>0.83333333333333348</v>
      </c>
      <c r="F405" s="43">
        <f t="shared" si="81"/>
        <v>1.666666666666667</v>
      </c>
      <c r="G405" s="43">
        <f t="shared" si="82"/>
        <v>3.3333333333333339</v>
      </c>
    </row>
    <row r="406" spans="1:7">
      <c r="A406">
        <v>40</v>
      </c>
      <c r="B406" s="5">
        <f t="shared" si="78"/>
        <v>0.03</v>
      </c>
      <c r="C406" s="5">
        <f t="shared" si="79"/>
        <v>0.06</v>
      </c>
      <c r="D406" s="5">
        <f t="shared" si="80"/>
        <v>0.09</v>
      </c>
      <c r="E406" s="43">
        <f t="shared" si="83"/>
        <v>0.83333333333333348</v>
      </c>
      <c r="F406" s="43">
        <f t="shared" si="81"/>
        <v>1.666666666666667</v>
      </c>
      <c r="G406" s="43">
        <f t="shared" si="82"/>
        <v>3.3333333333333339</v>
      </c>
    </row>
    <row r="407" spans="1:7">
      <c r="A407">
        <v>41</v>
      </c>
      <c r="B407" s="5">
        <f t="shared" si="78"/>
        <v>0.03</v>
      </c>
      <c r="C407" s="5">
        <f t="shared" si="79"/>
        <v>0.06</v>
      </c>
      <c r="D407" s="5">
        <f t="shared" si="80"/>
        <v>0.09</v>
      </c>
      <c r="E407" s="43">
        <f t="shared" si="83"/>
        <v>0.83333333333333348</v>
      </c>
      <c r="F407" s="43">
        <f t="shared" si="81"/>
        <v>1.666666666666667</v>
      </c>
      <c r="G407" s="43">
        <f t="shared" si="82"/>
        <v>3.3333333333333339</v>
      </c>
    </row>
    <row r="408" spans="1:7">
      <c r="A408">
        <v>42</v>
      </c>
      <c r="B408" s="5">
        <f t="shared" si="78"/>
        <v>0.03</v>
      </c>
      <c r="C408" s="5">
        <f t="shared" si="79"/>
        <v>0.06</v>
      </c>
      <c r="D408" s="5">
        <f t="shared" si="80"/>
        <v>0.09</v>
      </c>
      <c r="E408" s="43">
        <f t="shared" si="83"/>
        <v>0.83333333333333348</v>
      </c>
      <c r="F408" s="43">
        <f t="shared" si="81"/>
        <v>1.666666666666667</v>
      </c>
      <c r="G408" s="43">
        <f t="shared" si="82"/>
        <v>3.3333333333333339</v>
      </c>
    </row>
    <row r="409" spans="1:7">
      <c r="A409">
        <v>43</v>
      </c>
      <c r="B409" s="5">
        <f t="shared" si="78"/>
        <v>0.03</v>
      </c>
      <c r="C409" s="5">
        <f t="shared" si="79"/>
        <v>0.06</v>
      </c>
      <c r="D409" s="5">
        <f t="shared" si="80"/>
        <v>0.09</v>
      </c>
      <c r="E409" s="43">
        <f t="shared" si="83"/>
        <v>0.83333333333333348</v>
      </c>
      <c r="F409" s="43">
        <f t="shared" si="81"/>
        <v>1.666666666666667</v>
      </c>
      <c r="G409" s="43">
        <f t="shared" si="82"/>
        <v>3.3333333333333339</v>
      </c>
    </row>
    <row r="410" spans="1:7">
      <c r="A410">
        <v>44</v>
      </c>
      <c r="B410" s="5">
        <f t="shared" si="78"/>
        <v>0.03</v>
      </c>
      <c r="C410" s="5">
        <f t="shared" si="79"/>
        <v>0.06</v>
      </c>
      <c r="D410" s="5">
        <f t="shared" si="80"/>
        <v>0.09</v>
      </c>
      <c r="E410" s="43">
        <f t="shared" si="83"/>
        <v>0.83333333333333348</v>
      </c>
      <c r="F410" s="43">
        <f t="shared" si="81"/>
        <v>1.666666666666667</v>
      </c>
      <c r="G410" s="43">
        <f t="shared" si="82"/>
        <v>3.3333333333333339</v>
      </c>
    </row>
    <row r="411" spans="1:7">
      <c r="A411">
        <v>45</v>
      </c>
      <c r="B411" s="5">
        <f t="shared" si="78"/>
        <v>0.03</v>
      </c>
      <c r="C411" s="5">
        <f t="shared" si="79"/>
        <v>0.06</v>
      </c>
      <c r="D411" s="5">
        <f t="shared" si="80"/>
        <v>0.09</v>
      </c>
      <c r="E411" s="43">
        <f t="shared" si="83"/>
        <v>0.83333333333333348</v>
      </c>
      <c r="F411" s="43">
        <f t="shared" si="81"/>
        <v>1.666666666666667</v>
      </c>
      <c r="G411" s="43">
        <f t="shared" si="82"/>
        <v>3.3333333333333339</v>
      </c>
    </row>
    <row r="412" spans="1:7">
      <c r="A412">
        <v>46</v>
      </c>
      <c r="B412" s="5">
        <f t="shared" si="78"/>
        <v>0.03</v>
      </c>
      <c r="C412" s="5">
        <f t="shared" si="79"/>
        <v>0.06</v>
      </c>
      <c r="D412" s="5">
        <f t="shared" si="80"/>
        <v>0.09</v>
      </c>
      <c r="E412" s="43">
        <f t="shared" si="83"/>
        <v>0.83333333333333348</v>
      </c>
      <c r="F412" s="43">
        <f t="shared" si="81"/>
        <v>1.666666666666667</v>
      </c>
      <c r="G412" s="43">
        <f t="shared" si="82"/>
        <v>3.3333333333333339</v>
      </c>
    </row>
    <row r="413" spans="1:7">
      <c r="A413">
        <v>47</v>
      </c>
      <c r="B413" s="5">
        <f t="shared" si="78"/>
        <v>0.03</v>
      </c>
      <c r="C413" s="5">
        <f t="shared" si="79"/>
        <v>0.06</v>
      </c>
      <c r="D413" s="5">
        <f t="shared" si="80"/>
        <v>0.09</v>
      </c>
      <c r="E413" s="43">
        <f t="shared" si="83"/>
        <v>0.83333333333333348</v>
      </c>
      <c r="F413" s="43">
        <f t="shared" si="81"/>
        <v>1.666666666666667</v>
      </c>
      <c r="G413" s="43">
        <f t="shared" si="82"/>
        <v>3.3333333333333339</v>
      </c>
    </row>
    <row r="414" spans="1:7">
      <c r="A414">
        <v>48</v>
      </c>
      <c r="B414" s="5">
        <f t="shared" si="78"/>
        <v>0.03</v>
      </c>
      <c r="C414" s="5">
        <f t="shared" si="79"/>
        <v>0.06</v>
      </c>
      <c r="D414" s="5">
        <f t="shared" si="80"/>
        <v>0.09</v>
      </c>
      <c r="E414" s="43">
        <f t="shared" si="83"/>
        <v>0.83333333333333348</v>
      </c>
      <c r="F414" s="43">
        <f t="shared" si="81"/>
        <v>1.666666666666667</v>
      </c>
      <c r="G414" s="43">
        <f t="shared" si="82"/>
        <v>3.3333333333333339</v>
      </c>
    </row>
    <row r="415" spans="1:7">
      <c r="A415">
        <v>49</v>
      </c>
      <c r="B415" s="5">
        <f t="shared" si="78"/>
        <v>0.03</v>
      </c>
      <c r="C415" s="5">
        <f t="shared" si="79"/>
        <v>0.06</v>
      </c>
      <c r="D415" s="5">
        <f t="shared" si="80"/>
        <v>0.09</v>
      </c>
      <c r="E415" s="43">
        <f t="shared" si="83"/>
        <v>0.83333333333333348</v>
      </c>
      <c r="F415" s="43">
        <f t="shared" si="81"/>
        <v>1.666666666666667</v>
      </c>
      <c r="G415" s="43">
        <f t="shared" si="82"/>
        <v>3.3333333333333339</v>
      </c>
    </row>
    <row r="416" spans="1:7">
      <c r="A416">
        <v>50</v>
      </c>
      <c r="B416" s="5">
        <f t="shared" si="78"/>
        <v>0.03</v>
      </c>
      <c r="C416" s="5">
        <f t="shared" si="79"/>
        <v>0.06</v>
      </c>
      <c r="D416" s="5">
        <f t="shared" si="80"/>
        <v>0.09</v>
      </c>
      <c r="E416" s="43">
        <f t="shared" si="83"/>
        <v>0.83333333333333348</v>
      </c>
      <c r="F416" s="43">
        <f t="shared" si="81"/>
        <v>1.666666666666667</v>
      </c>
      <c r="G416" s="43">
        <f t="shared" si="82"/>
        <v>3.3333333333333339</v>
      </c>
    </row>
    <row r="417" spans="1:7">
      <c r="A417">
        <v>51</v>
      </c>
      <c r="B417" s="5">
        <f t="shared" si="78"/>
        <v>0.03</v>
      </c>
      <c r="C417" s="5">
        <f t="shared" si="79"/>
        <v>0.06</v>
      </c>
      <c r="D417" s="5">
        <f t="shared" si="80"/>
        <v>0.09</v>
      </c>
      <c r="E417" s="43">
        <f t="shared" si="83"/>
        <v>0.83333333333333348</v>
      </c>
      <c r="F417" s="43">
        <f t="shared" si="81"/>
        <v>1.666666666666667</v>
      </c>
      <c r="G417" s="43">
        <f t="shared" si="82"/>
        <v>3.3333333333333339</v>
      </c>
    </row>
    <row r="418" spans="1:7">
      <c r="A418">
        <v>52</v>
      </c>
      <c r="B418" s="5">
        <f t="shared" si="78"/>
        <v>0.03</v>
      </c>
      <c r="C418" s="5">
        <f t="shared" si="79"/>
        <v>0.06</v>
      </c>
      <c r="D418" s="5">
        <f t="shared" si="80"/>
        <v>0.09</v>
      </c>
      <c r="E418" s="43">
        <f t="shared" si="83"/>
        <v>0.83333333333333348</v>
      </c>
      <c r="F418" s="43">
        <f t="shared" si="81"/>
        <v>1.666666666666667</v>
      </c>
      <c r="G418" s="43">
        <f t="shared" si="82"/>
        <v>3.3333333333333339</v>
      </c>
    </row>
    <row r="419" spans="1:7">
      <c r="A419">
        <v>53</v>
      </c>
      <c r="B419" s="5">
        <f t="shared" si="78"/>
        <v>0.03</v>
      </c>
      <c r="C419" s="5">
        <f t="shared" si="79"/>
        <v>0.06</v>
      </c>
      <c r="D419" s="5">
        <f t="shared" si="80"/>
        <v>0.09</v>
      </c>
      <c r="E419" s="43">
        <f t="shared" si="83"/>
        <v>0.83333333333333348</v>
      </c>
      <c r="F419" s="43">
        <f t="shared" si="81"/>
        <v>1.666666666666667</v>
      </c>
      <c r="G419" s="43">
        <f t="shared" si="82"/>
        <v>3.3333333333333339</v>
      </c>
    </row>
    <row r="420" spans="1:7">
      <c r="A420">
        <v>54</v>
      </c>
      <c r="B420" s="5">
        <f t="shared" si="78"/>
        <v>0.03</v>
      </c>
      <c r="C420" s="5">
        <f t="shared" si="79"/>
        <v>0.06</v>
      </c>
      <c r="D420" s="5">
        <f t="shared" si="80"/>
        <v>0.09</v>
      </c>
      <c r="E420" s="43">
        <f t="shared" si="83"/>
        <v>0.83333333333333348</v>
      </c>
      <c r="F420" s="43">
        <f t="shared" si="81"/>
        <v>1.666666666666667</v>
      </c>
      <c r="G420" s="43">
        <f t="shared" si="82"/>
        <v>3.3333333333333339</v>
      </c>
    </row>
    <row r="421" spans="1:7">
      <c r="A421">
        <v>55</v>
      </c>
      <c r="B421" s="5">
        <f t="shared" si="78"/>
        <v>0.03</v>
      </c>
      <c r="C421" s="5">
        <f t="shared" si="79"/>
        <v>0.06</v>
      </c>
      <c r="D421" s="5">
        <f t="shared" si="80"/>
        <v>0.09</v>
      </c>
      <c r="E421" s="43">
        <f t="shared" si="83"/>
        <v>0.83333333333333348</v>
      </c>
      <c r="F421" s="43">
        <f t="shared" si="81"/>
        <v>1.666666666666667</v>
      </c>
      <c r="G421" s="43">
        <f t="shared" si="82"/>
        <v>3.3333333333333339</v>
      </c>
    </row>
    <row r="422" spans="1:7">
      <c r="A422">
        <v>56</v>
      </c>
      <c r="B422" s="5">
        <f t="shared" si="78"/>
        <v>0.03</v>
      </c>
      <c r="C422" s="5">
        <f t="shared" si="79"/>
        <v>0.06</v>
      </c>
      <c r="D422" s="5">
        <f t="shared" si="80"/>
        <v>0.09</v>
      </c>
      <c r="E422" s="43">
        <f t="shared" si="83"/>
        <v>0.83333333333333348</v>
      </c>
      <c r="F422" s="43">
        <f t="shared" si="81"/>
        <v>1.666666666666667</v>
      </c>
      <c r="G422" s="43">
        <f t="shared" si="82"/>
        <v>3.3333333333333339</v>
      </c>
    </row>
    <row r="423" spans="1:7">
      <c r="A423">
        <v>57</v>
      </c>
      <c r="B423" s="5">
        <f t="shared" si="78"/>
        <v>0.03</v>
      </c>
      <c r="C423" s="5">
        <f t="shared" si="79"/>
        <v>0.06</v>
      </c>
      <c r="D423" s="5">
        <f t="shared" si="80"/>
        <v>0.09</v>
      </c>
      <c r="E423" s="43">
        <f t="shared" si="83"/>
        <v>0.83333333333333348</v>
      </c>
      <c r="F423" s="43">
        <f t="shared" si="81"/>
        <v>1.666666666666667</v>
      </c>
      <c r="G423" s="43">
        <f t="shared" si="82"/>
        <v>3.3333333333333339</v>
      </c>
    </row>
    <row r="424" spans="1:7">
      <c r="A424">
        <v>58</v>
      </c>
      <c r="B424" s="5">
        <f t="shared" si="78"/>
        <v>0.03</v>
      </c>
      <c r="C424" s="5">
        <f t="shared" si="79"/>
        <v>0.06</v>
      </c>
      <c r="D424" s="5">
        <f t="shared" si="80"/>
        <v>0.09</v>
      </c>
      <c r="E424" s="43">
        <f t="shared" si="83"/>
        <v>0.83333333333333348</v>
      </c>
      <c r="F424" s="43">
        <f t="shared" si="81"/>
        <v>1.666666666666667</v>
      </c>
      <c r="G424" s="43">
        <f t="shared" si="82"/>
        <v>3.3333333333333339</v>
      </c>
    </row>
    <row r="425" spans="1:7">
      <c r="A425">
        <v>59</v>
      </c>
      <c r="B425" s="5">
        <f t="shared" si="78"/>
        <v>0.03</v>
      </c>
      <c r="C425" s="5">
        <f t="shared" si="79"/>
        <v>0.06</v>
      </c>
      <c r="D425" s="5">
        <f t="shared" si="80"/>
        <v>0.09</v>
      </c>
      <c r="E425" s="43">
        <f t="shared" si="83"/>
        <v>0.83333333333333348</v>
      </c>
      <c r="F425" s="43">
        <f t="shared" si="81"/>
        <v>1.666666666666667</v>
      </c>
      <c r="G425" s="43">
        <f t="shared" si="82"/>
        <v>3.3333333333333339</v>
      </c>
    </row>
    <row r="426" spans="1:7">
      <c r="A426">
        <v>60</v>
      </c>
      <c r="B426" s="5">
        <f t="shared" si="78"/>
        <v>0.03</v>
      </c>
      <c r="C426" s="5">
        <f t="shared" si="79"/>
        <v>0.06</v>
      </c>
      <c r="D426" s="5">
        <f t="shared" si="80"/>
        <v>0.09</v>
      </c>
      <c r="E426" s="43">
        <f t="shared" si="83"/>
        <v>0.83333333333333348</v>
      </c>
      <c r="F426" s="43">
        <f t="shared" si="81"/>
        <v>1.666666666666667</v>
      </c>
      <c r="G426" s="43">
        <f t="shared" si="82"/>
        <v>3.3333333333333339</v>
      </c>
    </row>
    <row r="427" spans="1:7">
      <c r="A427">
        <v>61</v>
      </c>
      <c r="B427" s="5">
        <f t="shared" si="78"/>
        <v>0.03</v>
      </c>
      <c r="C427" s="5">
        <f t="shared" si="79"/>
        <v>0.06</v>
      </c>
      <c r="D427" s="5">
        <f t="shared" si="80"/>
        <v>0.09</v>
      </c>
      <c r="E427" s="43">
        <f t="shared" si="83"/>
        <v>0.83333333333333348</v>
      </c>
      <c r="F427" s="43">
        <f t="shared" si="81"/>
        <v>1.666666666666667</v>
      </c>
      <c r="G427" s="43">
        <f t="shared" si="82"/>
        <v>3.3333333333333339</v>
      </c>
    </row>
    <row r="428" spans="1:7">
      <c r="A428">
        <v>62</v>
      </c>
      <c r="B428" s="5">
        <f t="shared" si="78"/>
        <v>0.03</v>
      </c>
      <c r="C428" s="5">
        <f t="shared" si="79"/>
        <v>0.06</v>
      </c>
      <c r="D428" s="5">
        <f t="shared" si="80"/>
        <v>0.09</v>
      </c>
      <c r="E428" s="43">
        <f t="shared" si="83"/>
        <v>0.83333333333333348</v>
      </c>
      <c r="F428" s="43">
        <f t="shared" si="81"/>
        <v>1.666666666666667</v>
      </c>
      <c r="G428" s="43">
        <f t="shared" si="82"/>
        <v>3.3333333333333339</v>
      </c>
    </row>
    <row r="429" spans="1:7">
      <c r="A429">
        <v>63</v>
      </c>
      <c r="B429" s="5">
        <f t="shared" si="78"/>
        <v>0.03</v>
      </c>
      <c r="C429" s="5">
        <f t="shared" si="79"/>
        <v>0.06</v>
      </c>
      <c r="D429" s="5">
        <f t="shared" si="80"/>
        <v>0.09</v>
      </c>
      <c r="E429" s="43">
        <f t="shared" si="83"/>
        <v>0.83333333333333348</v>
      </c>
      <c r="F429" s="43">
        <f t="shared" si="81"/>
        <v>1.666666666666667</v>
      </c>
      <c r="G429" s="43">
        <f t="shared" si="82"/>
        <v>3.3333333333333339</v>
      </c>
    </row>
    <row r="430" spans="1:7">
      <c r="A430">
        <v>64</v>
      </c>
      <c r="B430" s="5">
        <f t="shared" si="78"/>
        <v>0.03</v>
      </c>
      <c r="C430" s="5">
        <f t="shared" si="79"/>
        <v>0.06</v>
      </c>
      <c r="D430" s="5">
        <f t="shared" si="80"/>
        <v>0.09</v>
      </c>
      <c r="E430" s="43">
        <f t="shared" si="83"/>
        <v>0.83333333333333348</v>
      </c>
      <c r="F430" s="43">
        <f t="shared" si="81"/>
        <v>1.666666666666667</v>
      </c>
      <c r="G430" s="43">
        <f t="shared" si="82"/>
        <v>3.3333333333333339</v>
      </c>
    </row>
    <row r="431" spans="1:7">
      <c r="A431">
        <v>65</v>
      </c>
      <c r="B431" s="5">
        <f t="shared" si="78"/>
        <v>0.03</v>
      </c>
      <c r="C431" s="5">
        <f t="shared" si="79"/>
        <v>0.06</v>
      </c>
      <c r="D431" s="5">
        <f t="shared" si="80"/>
        <v>0.09</v>
      </c>
      <c r="E431" s="43">
        <f t="shared" si="83"/>
        <v>0.83333333333333348</v>
      </c>
      <c r="F431" s="43">
        <f t="shared" si="81"/>
        <v>1.666666666666667</v>
      </c>
      <c r="G431" s="43">
        <f t="shared" si="82"/>
        <v>3.3333333333333339</v>
      </c>
    </row>
    <row r="432" spans="1:7">
      <c r="A432">
        <v>66</v>
      </c>
      <c r="B432" s="5">
        <f t="shared" ref="B432:B495" si="84">(50/100)*(IF(A432&lt;=30,0.06*(A432/30),0.06))</f>
        <v>0.03</v>
      </c>
      <c r="C432" s="5">
        <f t="shared" ref="C432:C495" si="85">(100/100)*(IF(A432&lt;=30,0.06*(A432/30),0.06))</f>
        <v>0.06</v>
      </c>
      <c r="D432" s="5">
        <f t="shared" ref="D432:D495" si="86">(150/100)*(IF(A432&lt;=30,0.06*(A432/30),0.06))</f>
        <v>0.09</v>
      </c>
      <c r="E432" s="43">
        <f t="shared" ref="E432:E495" si="87">(5/100)*IF(A432&gt;30, 100/6, (100/6)*(30/A432))</f>
        <v>0.83333333333333348</v>
      </c>
      <c r="F432" s="43">
        <f t="shared" ref="F432:F495" si="88">(10/100)*IF(A432&gt;30, 100/6, (100/6)*(30/A432))</f>
        <v>1.666666666666667</v>
      </c>
      <c r="G432" s="43">
        <f t="shared" ref="G432:G495" si="89">(20/100)*IF(A432&gt;30, 100/6, (100/6)*(30/A432))</f>
        <v>3.3333333333333339</v>
      </c>
    </row>
    <row r="433" spans="1:7">
      <c r="A433">
        <v>67</v>
      </c>
      <c r="B433" s="5">
        <f t="shared" si="84"/>
        <v>0.03</v>
      </c>
      <c r="C433" s="5">
        <f t="shared" si="85"/>
        <v>0.06</v>
      </c>
      <c r="D433" s="5">
        <f t="shared" si="86"/>
        <v>0.09</v>
      </c>
      <c r="E433" s="43">
        <f t="shared" si="87"/>
        <v>0.83333333333333348</v>
      </c>
      <c r="F433" s="43">
        <f t="shared" si="88"/>
        <v>1.666666666666667</v>
      </c>
      <c r="G433" s="43">
        <f t="shared" si="89"/>
        <v>3.3333333333333339</v>
      </c>
    </row>
    <row r="434" spans="1:7">
      <c r="A434">
        <v>68</v>
      </c>
      <c r="B434" s="5">
        <f t="shared" si="84"/>
        <v>0.03</v>
      </c>
      <c r="C434" s="5">
        <f t="shared" si="85"/>
        <v>0.06</v>
      </c>
      <c r="D434" s="5">
        <f t="shared" si="86"/>
        <v>0.09</v>
      </c>
      <c r="E434" s="43">
        <f t="shared" si="87"/>
        <v>0.83333333333333348</v>
      </c>
      <c r="F434" s="43">
        <f t="shared" si="88"/>
        <v>1.666666666666667</v>
      </c>
      <c r="G434" s="43">
        <f t="shared" si="89"/>
        <v>3.3333333333333339</v>
      </c>
    </row>
    <row r="435" spans="1:7">
      <c r="A435">
        <v>69</v>
      </c>
      <c r="B435" s="5">
        <f t="shared" si="84"/>
        <v>0.03</v>
      </c>
      <c r="C435" s="5">
        <f t="shared" si="85"/>
        <v>0.06</v>
      </c>
      <c r="D435" s="5">
        <f t="shared" si="86"/>
        <v>0.09</v>
      </c>
      <c r="E435" s="43">
        <f t="shared" si="87"/>
        <v>0.83333333333333348</v>
      </c>
      <c r="F435" s="43">
        <f t="shared" si="88"/>
        <v>1.666666666666667</v>
      </c>
      <c r="G435" s="43">
        <f t="shared" si="89"/>
        <v>3.3333333333333339</v>
      </c>
    </row>
    <row r="436" spans="1:7">
      <c r="A436">
        <v>70</v>
      </c>
      <c r="B436" s="5">
        <f t="shared" si="84"/>
        <v>0.03</v>
      </c>
      <c r="C436" s="5">
        <f t="shared" si="85"/>
        <v>0.06</v>
      </c>
      <c r="D436" s="5">
        <f t="shared" si="86"/>
        <v>0.09</v>
      </c>
      <c r="E436" s="43">
        <f t="shared" si="87"/>
        <v>0.83333333333333348</v>
      </c>
      <c r="F436" s="43">
        <f t="shared" si="88"/>
        <v>1.666666666666667</v>
      </c>
      <c r="G436" s="43">
        <f t="shared" si="89"/>
        <v>3.3333333333333339</v>
      </c>
    </row>
    <row r="437" spans="1:7">
      <c r="A437">
        <v>71</v>
      </c>
      <c r="B437" s="5">
        <f t="shared" si="84"/>
        <v>0.03</v>
      </c>
      <c r="C437" s="5">
        <f t="shared" si="85"/>
        <v>0.06</v>
      </c>
      <c r="D437" s="5">
        <f t="shared" si="86"/>
        <v>0.09</v>
      </c>
      <c r="E437" s="43">
        <f t="shared" si="87"/>
        <v>0.83333333333333348</v>
      </c>
      <c r="F437" s="43">
        <f t="shared" si="88"/>
        <v>1.666666666666667</v>
      </c>
      <c r="G437" s="43">
        <f t="shared" si="89"/>
        <v>3.3333333333333339</v>
      </c>
    </row>
    <row r="438" spans="1:7">
      <c r="A438">
        <v>72</v>
      </c>
      <c r="B438" s="5">
        <f t="shared" si="84"/>
        <v>0.03</v>
      </c>
      <c r="C438" s="5">
        <f t="shared" si="85"/>
        <v>0.06</v>
      </c>
      <c r="D438" s="5">
        <f t="shared" si="86"/>
        <v>0.09</v>
      </c>
      <c r="E438" s="43">
        <f t="shared" si="87"/>
        <v>0.83333333333333348</v>
      </c>
      <c r="F438" s="43">
        <f t="shared" si="88"/>
        <v>1.666666666666667</v>
      </c>
      <c r="G438" s="43">
        <f t="shared" si="89"/>
        <v>3.3333333333333339</v>
      </c>
    </row>
    <row r="439" spans="1:7">
      <c r="A439">
        <v>73</v>
      </c>
      <c r="B439" s="5">
        <f t="shared" si="84"/>
        <v>0.03</v>
      </c>
      <c r="C439" s="5">
        <f t="shared" si="85"/>
        <v>0.06</v>
      </c>
      <c r="D439" s="5">
        <f t="shared" si="86"/>
        <v>0.09</v>
      </c>
      <c r="E439" s="43">
        <f t="shared" si="87"/>
        <v>0.83333333333333348</v>
      </c>
      <c r="F439" s="43">
        <f t="shared" si="88"/>
        <v>1.666666666666667</v>
      </c>
      <c r="G439" s="43">
        <f t="shared" si="89"/>
        <v>3.3333333333333339</v>
      </c>
    </row>
    <row r="440" spans="1:7">
      <c r="A440">
        <v>74</v>
      </c>
      <c r="B440" s="5">
        <f t="shared" si="84"/>
        <v>0.03</v>
      </c>
      <c r="C440" s="5">
        <f t="shared" si="85"/>
        <v>0.06</v>
      </c>
      <c r="D440" s="5">
        <f t="shared" si="86"/>
        <v>0.09</v>
      </c>
      <c r="E440" s="43">
        <f t="shared" si="87"/>
        <v>0.83333333333333348</v>
      </c>
      <c r="F440" s="43">
        <f t="shared" si="88"/>
        <v>1.666666666666667</v>
      </c>
      <c r="G440" s="43">
        <f t="shared" si="89"/>
        <v>3.3333333333333339</v>
      </c>
    </row>
    <row r="441" spans="1:7">
      <c r="A441">
        <v>75</v>
      </c>
      <c r="B441" s="5">
        <f t="shared" si="84"/>
        <v>0.03</v>
      </c>
      <c r="C441" s="5">
        <f t="shared" si="85"/>
        <v>0.06</v>
      </c>
      <c r="D441" s="5">
        <f t="shared" si="86"/>
        <v>0.09</v>
      </c>
      <c r="E441" s="43">
        <f t="shared" si="87"/>
        <v>0.83333333333333348</v>
      </c>
      <c r="F441" s="43">
        <f t="shared" si="88"/>
        <v>1.666666666666667</v>
      </c>
      <c r="G441" s="43">
        <f t="shared" si="89"/>
        <v>3.3333333333333339</v>
      </c>
    </row>
    <row r="442" spans="1:7">
      <c r="A442">
        <v>76</v>
      </c>
      <c r="B442" s="5">
        <f t="shared" si="84"/>
        <v>0.03</v>
      </c>
      <c r="C442" s="5">
        <f t="shared" si="85"/>
        <v>0.06</v>
      </c>
      <c r="D442" s="5">
        <f t="shared" si="86"/>
        <v>0.09</v>
      </c>
      <c r="E442" s="43">
        <f t="shared" si="87"/>
        <v>0.83333333333333348</v>
      </c>
      <c r="F442" s="43">
        <f t="shared" si="88"/>
        <v>1.666666666666667</v>
      </c>
      <c r="G442" s="43">
        <f t="shared" si="89"/>
        <v>3.3333333333333339</v>
      </c>
    </row>
    <row r="443" spans="1:7">
      <c r="A443">
        <v>77</v>
      </c>
      <c r="B443" s="5">
        <f t="shared" si="84"/>
        <v>0.03</v>
      </c>
      <c r="C443" s="5">
        <f t="shared" si="85"/>
        <v>0.06</v>
      </c>
      <c r="D443" s="5">
        <f t="shared" si="86"/>
        <v>0.09</v>
      </c>
      <c r="E443" s="43">
        <f t="shared" si="87"/>
        <v>0.83333333333333348</v>
      </c>
      <c r="F443" s="43">
        <f t="shared" si="88"/>
        <v>1.666666666666667</v>
      </c>
      <c r="G443" s="43">
        <f t="shared" si="89"/>
        <v>3.3333333333333339</v>
      </c>
    </row>
    <row r="444" spans="1:7">
      <c r="A444">
        <v>78</v>
      </c>
      <c r="B444" s="5">
        <f t="shared" si="84"/>
        <v>0.03</v>
      </c>
      <c r="C444" s="5">
        <f t="shared" si="85"/>
        <v>0.06</v>
      </c>
      <c r="D444" s="5">
        <f t="shared" si="86"/>
        <v>0.09</v>
      </c>
      <c r="E444" s="43">
        <f t="shared" si="87"/>
        <v>0.83333333333333348</v>
      </c>
      <c r="F444" s="43">
        <f t="shared" si="88"/>
        <v>1.666666666666667</v>
      </c>
      <c r="G444" s="43">
        <f t="shared" si="89"/>
        <v>3.3333333333333339</v>
      </c>
    </row>
    <row r="445" spans="1:7">
      <c r="A445">
        <v>79</v>
      </c>
      <c r="B445" s="5">
        <f t="shared" si="84"/>
        <v>0.03</v>
      </c>
      <c r="C445" s="5">
        <f t="shared" si="85"/>
        <v>0.06</v>
      </c>
      <c r="D445" s="5">
        <f t="shared" si="86"/>
        <v>0.09</v>
      </c>
      <c r="E445" s="43">
        <f t="shared" si="87"/>
        <v>0.83333333333333348</v>
      </c>
      <c r="F445" s="43">
        <f t="shared" si="88"/>
        <v>1.666666666666667</v>
      </c>
      <c r="G445" s="43">
        <f t="shared" si="89"/>
        <v>3.3333333333333339</v>
      </c>
    </row>
    <row r="446" spans="1:7">
      <c r="A446">
        <v>80</v>
      </c>
      <c r="B446" s="5">
        <f t="shared" si="84"/>
        <v>0.03</v>
      </c>
      <c r="C446" s="5">
        <f t="shared" si="85"/>
        <v>0.06</v>
      </c>
      <c r="D446" s="5">
        <f t="shared" si="86"/>
        <v>0.09</v>
      </c>
      <c r="E446" s="43">
        <f t="shared" si="87"/>
        <v>0.83333333333333348</v>
      </c>
      <c r="F446" s="43">
        <f t="shared" si="88"/>
        <v>1.666666666666667</v>
      </c>
      <c r="G446" s="43">
        <f t="shared" si="89"/>
        <v>3.3333333333333339</v>
      </c>
    </row>
    <row r="447" spans="1:7">
      <c r="A447">
        <v>81</v>
      </c>
      <c r="B447" s="5">
        <f t="shared" si="84"/>
        <v>0.03</v>
      </c>
      <c r="C447" s="5">
        <f t="shared" si="85"/>
        <v>0.06</v>
      </c>
      <c r="D447" s="5">
        <f t="shared" si="86"/>
        <v>0.09</v>
      </c>
      <c r="E447" s="43">
        <f t="shared" si="87"/>
        <v>0.83333333333333348</v>
      </c>
      <c r="F447" s="43">
        <f t="shared" si="88"/>
        <v>1.666666666666667</v>
      </c>
      <c r="G447" s="43">
        <f t="shared" si="89"/>
        <v>3.3333333333333339</v>
      </c>
    </row>
    <row r="448" spans="1:7">
      <c r="A448">
        <v>82</v>
      </c>
      <c r="B448" s="5">
        <f t="shared" si="84"/>
        <v>0.03</v>
      </c>
      <c r="C448" s="5">
        <f t="shared" si="85"/>
        <v>0.06</v>
      </c>
      <c r="D448" s="5">
        <f t="shared" si="86"/>
        <v>0.09</v>
      </c>
      <c r="E448" s="43">
        <f t="shared" si="87"/>
        <v>0.83333333333333348</v>
      </c>
      <c r="F448" s="43">
        <f t="shared" si="88"/>
        <v>1.666666666666667</v>
      </c>
      <c r="G448" s="43">
        <f t="shared" si="89"/>
        <v>3.3333333333333339</v>
      </c>
    </row>
    <row r="449" spans="1:7">
      <c r="A449">
        <v>83</v>
      </c>
      <c r="B449" s="5">
        <f t="shared" si="84"/>
        <v>0.03</v>
      </c>
      <c r="C449" s="5">
        <f t="shared" si="85"/>
        <v>0.06</v>
      </c>
      <c r="D449" s="5">
        <f t="shared" si="86"/>
        <v>0.09</v>
      </c>
      <c r="E449" s="43">
        <f t="shared" si="87"/>
        <v>0.83333333333333348</v>
      </c>
      <c r="F449" s="43">
        <f t="shared" si="88"/>
        <v>1.666666666666667</v>
      </c>
      <c r="G449" s="43">
        <f t="shared" si="89"/>
        <v>3.3333333333333339</v>
      </c>
    </row>
    <row r="450" spans="1:7">
      <c r="A450">
        <v>84</v>
      </c>
      <c r="B450" s="5">
        <f t="shared" si="84"/>
        <v>0.03</v>
      </c>
      <c r="C450" s="5">
        <f t="shared" si="85"/>
        <v>0.06</v>
      </c>
      <c r="D450" s="5">
        <f t="shared" si="86"/>
        <v>0.09</v>
      </c>
      <c r="E450" s="43">
        <f t="shared" si="87"/>
        <v>0.83333333333333348</v>
      </c>
      <c r="F450" s="43">
        <f t="shared" si="88"/>
        <v>1.666666666666667</v>
      </c>
      <c r="G450" s="43">
        <f t="shared" si="89"/>
        <v>3.3333333333333339</v>
      </c>
    </row>
    <row r="451" spans="1:7">
      <c r="A451">
        <v>85</v>
      </c>
      <c r="B451" s="5">
        <f t="shared" si="84"/>
        <v>0.03</v>
      </c>
      <c r="C451" s="5">
        <f t="shared" si="85"/>
        <v>0.06</v>
      </c>
      <c r="D451" s="5">
        <f t="shared" si="86"/>
        <v>0.09</v>
      </c>
      <c r="E451" s="43">
        <f t="shared" si="87"/>
        <v>0.83333333333333348</v>
      </c>
      <c r="F451" s="43">
        <f t="shared" si="88"/>
        <v>1.666666666666667</v>
      </c>
      <c r="G451" s="43">
        <f t="shared" si="89"/>
        <v>3.3333333333333339</v>
      </c>
    </row>
    <row r="452" spans="1:7">
      <c r="A452">
        <v>86</v>
      </c>
      <c r="B452" s="5">
        <f t="shared" si="84"/>
        <v>0.03</v>
      </c>
      <c r="C452" s="5">
        <f t="shared" si="85"/>
        <v>0.06</v>
      </c>
      <c r="D452" s="5">
        <f t="shared" si="86"/>
        <v>0.09</v>
      </c>
      <c r="E452" s="43">
        <f t="shared" si="87"/>
        <v>0.83333333333333348</v>
      </c>
      <c r="F452" s="43">
        <f t="shared" si="88"/>
        <v>1.666666666666667</v>
      </c>
      <c r="G452" s="43">
        <f t="shared" si="89"/>
        <v>3.3333333333333339</v>
      </c>
    </row>
    <row r="453" spans="1:7">
      <c r="A453">
        <v>87</v>
      </c>
      <c r="B453" s="5">
        <f t="shared" si="84"/>
        <v>0.03</v>
      </c>
      <c r="C453" s="5">
        <f t="shared" si="85"/>
        <v>0.06</v>
      </c>
      <c r="D453" s="5">
        <f t="shared" si="86"/>
        <v>0.09</v>
      </c>
      <c r="E453" s="43">
        <f t="shared" si="87"/>
        <v>0.83333333333333348</v>
      </c>
      <c r="F453" s="43">
        <f t="shared" si="88"/>
        <v>1.666666666666667</v>
      </c>
      <c r="G453" s="43">
        <f t="shared" si="89"/>
        <v>3.3333333333333339</v>
      </c>
    </row>
    <row r="454" spans="1:7">
      <c r="A454">
        <v>88</v>
      </c>
      <c r="B454" s="5">
        <f t="shared" si="84"/>
        <v>0.03</v>
      </c>
      <c r="C454" s="5">
        <f t="shared" si="85"/>
        <v>0.06</v>
      </c>
      <c r="D454" s="5">
        <f t="shared" si="86"/>
        <v>0.09</v>
      </c>
      <c r="E454" s="43">
        <f t="shared" si="87"/>
        <v>0.83333333333333348</v>
      </c>
      <c r="F454" s="43">
        <f t="shared" si="88"/>
        <v>1.666666666666667</v>
      </c>
      <c r="G454" s="43">
        <f t="shared" si="89"/>
        <v>3.3333333333333339</v>
      </c>
    </row>
    <row r="455" spans="1:7">
      <c r="A455">
        <v>89</v>
      </c>
      <c r="B455" s="5">
        <f t="shared" si="84"/>
        <v>0.03</v>
      </c>
      <c r="C455" s="5">
        <f t="shared" si="85"/>
        <v>0.06</v>
      </c>
      <c r="D455" s="5">
        <f t="shared" si="86"/>
        <v>0.09</v>
      </c>
      <c r="E455" s="43">
        <f t="shared" si="87"/>
        <v>0.83333333333333348</v>
      </c>
      <c r="F455" s="43">
        <f t="shared" si="88"/>
        <v>1.666666666666667</v>
      </c>
      <c r="G455" s="43">
        <f t="shared" si="89"/>
        <v>3.3333333333333339</v>
      </c>
    </row>
    <row r="456" spans="1:7">
      <c r="A456">
        <v>90</v>
      </c>
      <c r="B456" s="5">
        <f t="shared" si="84"/>
        <v>0.03</v>
      </c>
      <c r="C456" s="5">
        <f t="shared" si="85"/>
        <v>0.06</v>
      </c>
      <c r="D456" s="5">
        <f t="shared" si="86"/>
        <v>0.09</v>
      </c>
      <c r="E456" s="43">
        <f t="shared" si="87"/>
        <v>0.83333333333333348</v>
      </c>
      <c r="F456" s="43">
        <f t="shared" si="88"/>
        <v>1.666666666666667</v>
      </c>
      <c r="G456" s="43">
        <f t="shared" si="89"/>
        <v>3.3333333333333339</v>
      </c>
    </row>
    <row r="457" spans="1:7">
      <c r="A457">
        <v>91</v>
      </c>
      <c r="B457" s="5">
        <f t="shared" si="84"/>
        <v>0.03</v>
      </c>
      <c r="C457" s="5">
        <f t="shared" si="85"/>
        <v>0.06</v>
      </c>
      <c r="D457" s="5">
        <f t="shared" si="86"/>
        <v>0.09</v>
      </c>
      <c r="E457" s="43">
        <f t="shared" si="87"/>
        <v>0.83333333333333348</v>
      </c>
      <c r="F457" s="43">
        <f t="shared" si="88"/>
        <v>1.666666666666667</v>
      </c>
      <c r="G457" s="43">
        <f t="shared" si="89"/>
        <v>3.3333333333333339</v>
      </c>
    </row>
    <row r="458" spans="1:7">
      <c r="A458">
        <v>92</v>
      </c>
      <c r="B458" s="5">
        <f t="shared" si="84"/>
        <v>0.03</v>
      </c>
      <c r="C458" s="5">
        <f t="shared" si="85"/>
        <v>0.06</v>
      </c>
      <c r="D458" s="5">
        <f t="shared" si="86"/>
        <v>0.09</v>
      </c>
      <c r="E458" s="43">
        <f t="shared" si="87"/>
        <v>0.83333333333333348</v>
      </c>
      <c r="F458" s="43">
        <f t="shared" si="88"/>
        <v>1.666666666666667</v>
      </c>
      <c r="G458" s="43">
        <f t="shared" si="89"/>
        <v>3.3333333333333339</v>
      </c>
    </row>
    <row r="459" spans="1:7">
      <c r="A459">
        <v>93</v>
      </c>
      <c r="B459" s="5">
        <f t="shared" si="84"/>
        <v>0.03</v>
      </c>
      <c r="C459" s="5">
        <f t="shared" si="85"/>
        <v>0.06</v>
      </c>
      <c r="D459" s="5">
        <f t="shared" si="86"/>
        <v>0.09</v>
      </c>
      <c r="E459" s="43">
        <f t="shared" si="87"/>
        <v>0.83333333333333348</v>
      </c>
      <c r="F459" s="43">
        <f t="shared" si="88"/>
        <v>1.666666666666667</v>
      </c>
      <c r="G459" s="43">
        <f t="shared" si="89"/>
        <v>3.3333333333333339</v>
      </c>
    </row>
    <row r="460" spans="1:7">
      <c r="A460">
        <v>94</v>
      </c>
      <c r="B460" s="5">
        <f t="shared" si="84"/>
        <v>0.03</v>
      </c>
      <c r="C460" s="5">
        <f t="shared" si="85"/>
        <v>0.06</v>
      </c>
      <c r="D460" s="5">
        <f t="shared" si="86"/>
        <v>0.09</v>
      </c>
      <c r="E460" s="43">
        <f t="shared" si="87"/>
        <v>0.83333333333333348</v>
      </c>
      <c r="F460" s="43">
        <f t="shared" si="88"/>
        <v>1.666666666666667</v>
      </c>
      <c r="G460" s="43">
        <f t="shared" si="89"/>
        <v>3.3333333333333339</v>
      </c>
    </row>
    <row r="461" spans="1:7">
      <c r="A461">
        <v>95</v>
      </c>
      <c r="B461" s="5">
        <f t="shared" si="84"/>
        <v>0.03</v>
      </c>
      <c r="C461" s="5">
        <f t="shared" si="85"/>
        <v>0.06</v>
      </c>
      <c r="D461" s="5">
        <f t="shared" si="86"/>
        <v>0.09</v>
      </c>
      <c r="E461" s="43">
        <f t="shared" si="87"/>
        <v>0.83333333333333348</v>
      </c>
      <c r="F461" s="43">
        <f t="shared" si="88"/>
        <v>1.666666666666667</v>
      </c>
      <c r="G461" s="43">
        <f t="shared" si="89"/>
        <v>3.3333333333333339</v>
      </c>
    </row>
    <row r="462" spans="1:7">
      <c r="A462">
        <v>96</v>
      </c>
      <c r="B462" s="5">
        <f t="shared" si="84"/>
        <v>0.03</v>
      </c>
      <c r="C462" s="5">
        <f t="shared" si="85"/>
        <v>0.06</v>
      </c>
      <c r="D462" s="5">
        <f t="shared" si="86"/>
        <v>0.09</v>
      </c>
      <c r="E462" s="43">
        <f t="shared" si="87"/>
        <v>0.83333333333333348</v>
      </c>
      <c r="F462" s="43">
        <f t="shared" si="88"/>
        <v>1.666666666666667</v>
      </c>
      <c r="G462" s="43">
        <f t="shared" si="89"/>
        <v>3.3333333333333339</v>
      </c>
    </row>
    <row r="463" spans="1:7">
      <c r="A463">
        <v>97</v>
      </c>
      <c r="B463" s="5">
        <f t="shared" si="84"/>
        <v>0.03</v>
      </c>
      <c r="C463" s="5">
        <f t="shared" si="85"/>
        <v>0.06</v>
      </c>
      <c r="D463" s="5">
        <f t="shared" si="86"/>
        <v>0.09</v>
      </c>
      <c r="E463" s="43">
        <f t="shared" si="87"/>
        <v>0.83333333333333348</v>
      </c>
      <c r="F463" s="43">
        <f t="shared" si="88"/>
        <v>1.666666666666667</v>
      </c>
      <c r="G463" s="43">
        <f t="shared" si="89"/>
        <v>3.3333333333333339</v>
      </c>
    </row>
    <row r="464" spans="1:7">
      <c r="A464">
        <v>98</v>
      </c>
      <c r="B464" s="5">
        <f t="shared" si="84"/>
        <v>0.03</v>
      </c>
      <c r="C464" s="5">
        <f t="shared" si="85"/>
        <v>0.06</v>
      </c>
      <c r="D464" s="5">
        <f t="shared" si="86"/>
        <v>0.09</v>
      </c>
      <c r="E464" s="43">
        <f t="shared" si="87"/>
        <v>0.83333333333333348</v>
      </c>
      <c r="F464" s="43">
        <f t="shared" si="88"/>
        <v>1.666666666666667</v>
      </c>
      <c r="G464" s="43">
        <f t="shared" si="89"/>
        <v>3.3333333333333339</v>
      </c>
    </row>
    <row r="465" spans="1:7">
      <c r="A465">
        <v>99</v>
      </c>
      <c r="B465" s="5">
        <f t="shared" si="84"/>
        <v>0.03</v>
      </c>
      <c r="C465" s="5">
        <f t="shared" si="85"/>
        <v>0.06</v>
      </c>
      <c r="D465" s="5">
        <f t="shared" si="86"/>
        <v>0.09</v>
      </c>
      <c r="E465" s="43">
        <f t="shared" si="87"/>
        <v>0.83333333333333348</v>
      </c>
      <c r="F465" s="43">
        <f t="shared" si="88"/>
        <v>1.666666666666667</v>
      </c>
      <c r="G465" s="43">
        <f t="shared" si="89"/>
        <v>3.3333333333333339</v>
      </c>
    </row>
    <row r="466" spans="1:7">
      <c r="A466">
        <v>100</v>
      </c>
      <c r="B466" s="5">
        <f t="shared" si="84"/>
        <v>0.03</v>
      </c>
      <c r="C466" s="5">
        <f t="shared" si="85"/>
        <v>0.06</v>
      </c>
      <c r="D466" s="5">
        <f t="shared" si="86"/>
        <v>0.09</v>
      </c>
      <c r="E466" s="43">
        <f t="shared" si="87"/>
        <v>0.83333333333333348</v>
      </c>
      <c r="F466" s="43">
        <f t="shared" si="88"/>
        <v>1.666666666666667</v>
      </c>
      <c r="G466" s="43">
        <f t="shared" si="89"/>
        <v>3.3333333333333339</v>
      </c>
    </row>
    <row r="467" spans="1:7">
      <c r="A467">
        <v>101</v>
      </c>
      <c r="B467" s="5">
        <f t="shared" si="84"/>
        <v>0.03</v>
      </c>
      <c r="C467" s="5">
        <f t="shared" si="85"/>
        <v>0.06</v>
      </c>
      <c r="D467" s="5">
        <f t="shared" si="86"/>
        <v>0.09</v>
      </c>
      <c r="E467" s="43">
        <f t="shared" si="87"/>
        <v>0.83333333333333348</v>
      </c>
      <c r="F467" s="43">
        <f t="shared" si="88"/>
        <v>1.666666666666667</v>
      </c>
      <c r="G467" s="43">
        <f t="shared" si="89"/>
        <v>3.3333333333333339</v>
      </c>
    </row>
    <row r="468" spans="1:7">
      <c r="A468">
        <v>102</v>
      </c>
      <c r="B468" s="5">
        <f t="shared" si="84"/>
        <v>0.03</v>
      </c>
      <c r="C468" s="5">
        <f t="shared" si="85"/>
        <v>0.06</v>
      </c>
      <c r="D468" s="5">
        <f t="shared" si="86"/>
        <v>0.09</v>
      </c>
      <c r="E468" s="43">
        <f t="shared" si="87"/>
        <v>0.83333333333333348</v>
      </c>
      <c r="F468" s="43">
        <f t="shared" si="88"/>
        <v>1.666666666666667</v>
      </c>
      <c r="G468" s="43">
        <f t="shared" si="89"/>
        <v>3.3333333333333339</v>
      </c>
    </row>
    <row r="469" spans="1:7">
      <c r="A469">
        <v>103</v>
      </c>
      <c r="B469" s="5">
        <f t="shared" si="84"/>
        <v>0.03</v>
      </c>
      <c r="C469" s="5">
        <f t="shared" si="85"/>
        <v>0.06</v>
      </c>
      <c r="D469" s="5">
        <f t="shared" si="86"/>
        <v>0.09</v>
      </c>
      <c r="E469" s="43">
        <f t="shared" si="87"/>
        <v>0.83333333333333348</v>
      </c>
      <c r="F469" s="43">
        <f t="shared" si="88"/>
        <v>1.666666666666667</v>
      </c>
      <c r="G469" s="43">
        <f t="shared" si="89"/>
        <v>3.3333333333333339</v>
      </c>
    </row>
    <row r="470" spans="1:7">
      <c r="A470">
        <v>104</v>
      </c>
      <c r="B470" s="5">
        <f t="shared" si="84"/>
        <v>0.03</v>
      </c>
      <c r="C470" s="5">
        <f t="shared" si="85"/>
        <v>0.06</v>
      </c>
      <c r="D470" s="5">
        <f t="shared" si="86"/>
        <v>0.09</v>
      </c>
      <c r="E470" s="43">
        <f t="shared" si="87"/>
        <v>0.83333333333333348</v>
      </c>
      <c r="F470" s="43">
        <f t="shared" si="88"/>
        <v>1.666666666666667</v>
      </c>
      <c r="G470" s="43">
        <f t="shared" si="89"/>
        <v>3.3333333333333339</v>
      </c>
    </row>
    <row r="471" spans="1:7">
      <c r="A471">
        <v>105</v>
      </c>
      <c r="B471" s="5">
        <f t="shared" si="84"/>
        <v>0.03</v>
      </c>
      <c r="C471" s="5">
        <f t="shared" si="85"/>
        <v>0.06</v>
      </c>
      <c r="D471" s="5">
        <f t="shared" si="86"/>
        <v>0.09</v>
      </c>
      <c r="E471" s="43">
        <f t="shared" si="87"/>
        <v>0.83333333333333348</v>
      </c>
      <c r="F471" s="43">
        <f t="shared" si="88"/>
        <v>1.666666666666667</v>
      </c>
      <c r="G471" s="43">
        <f t="shared" si="89"/>
        <v>3.3333333333333339</v>
      </c>
    </row>
    <row r="472" spans="1:7">
      <c r="A472">
        <v>106</v>
      </c>
      <c r="B472" s="5">
        <f t="shared" si="84"/>
        <v>0.03</v>
      </c>
      <c r="C472" s="5">
        <f t="shared" si="85"/>
        <v>0.06</v>
      </c>
      <c r="D472" s="5">
        <f t="shared" si="86"/>
        <v>0.09</v>
      </c>
      <c r="E472" s="43">
        <f t="shared" si="87"/>
        <v>0.83333333333333348</v>
      </c>
      <c r="F472" s="43">
        <f t="shared" si="88"/>
        <v>1.666666666666667</v>
      </c>
      <c r="G472" s="43">
        <f t="shared" si="89"/>
        <v>3.3333333333333339</v>
      </c>
    </row>
    <row r="473" spans="1:7">
      <c r="A473">
        <v>107</v>
      </c>
      <c r="B473" s="5">
        <f t="shared" si="84"/>
        <v>0.03</v>
      </c>
      <c r="C473" s="5">
        <f t="shared" si="85"/>
        <v>0.06</v>
      </c>
      <c r="D473" s="5">
        <f t="shared" si="86"/>
        <v>0.09</v>
      </c>
      <c r="E473" s="43">
        <f t="shared" si="87"/>
        <v>0.83333333333333348</v>
      </c>
      <c r="F473" s="43">
        <f t="shared" si="88"/>
        <v>1.666666666666667</v>
      </c>
      <c r="G473" s="43">
        <f t="shared" si="89"/>
        <v>3.3333333333333339</v>
      </c>
    </row>
    <row r="474" spans="1:7">
      <c r="A474">
        <v>108</v>
      </c>
      <c r="B474" s="5">
        <f t="shared" si="84"/>
        <v>0.03</v>
      </c>
      <c r="C474" s="5">
        <f t="shared" si="85"/>
        <v>0.06</v>
      </c>
      <c r="D474" s="5">
        <f t="shared" si="86"/>
        <v>0.09</v>
      </c>
      <c r="E474" s="43">
        <f t="shared" si="87"/>
        <v>0.83333333333333348</v>
      </c>
      <c r="F474" s="43">
        <f t="shared" si="88"/>
        <v>1.666666666666667</v>
      </c>
      <c r="G474" s="43">
        <f t="shared" si="89"/>
        <v>3.3333333333333339</v>
      </c>
    </row>
    <row r="475" spans="1:7">
      <c r="A475">
        <v>109</v>
      </c>
      <c r="B475" s="5">
        <f t="shared" si="84"/>
        <v>0.03</v>
      </c>
      <c r="C475" s="5">
        <f t="shared" si="85"/>
        <v>0.06</v>
      </c>
      <c r="D475" s="5">
        <f t="shared" si="86"/>
        <v>0.09</v>
      </c>
      <c r="E475" s="43">
        <f t="shared" si="87"/>
        <v>0.83333333333333348</v>
      </c>
      <c r="F475" s="43">
        <f t="shared" si="88"/>
        <v>1.666666666666667</v>
      </c>
      <c r="G475" s="43">
        <f t="shared" si="89"/>
        <v>3.3333333333333339</v>
      </c>
    </row>
    <row r="476" spans="1:7">
      <c r="A476">
        <v>110</v>
      </c>
      <c r="B476" s="5">
        <f t="shared" si="84"/>
        <v>0.03</v>
      </c>
      <c r="C476" s="5">
        <f t="shared" si="85"/>
        <v>0.06</v>
      </c>
      <c r="D476" s="5">
        <f t="shared" si="86"/>
        <v>0.09</v>
      </c>
      <c r="E476" s="43">
        <f t="shared" si="87"/>
        <v>0.83333333333333348</v>
      </c>
      <c r="F476" s="43">
        <f t="shared" si="88"/>
        <v>1.666666666666667</v>
      </c>
      <c r="G476" s="43">
        <f t="shared" si="89"/>
        <v>3.3333333333333339</v>
      </c>
    </row>
    <row r="477" spans="1:7">
      <c r="A477">
        <v>111</v>
      </c>
      <c r="B477" s="5">
        <f t="shared" si="84"/>
        <v>0.03</v>
      </c>
      <c r="C477" s="5">
        <f t="shared" si="85"/>
        <v>0.06</v>
      </c>
      <c r="D477" s="5">
        <f t="shared" si="86"/>
        <v>0.09</v>
      </c>
      <c r="E477" s="43">
        <f t="shared" si="87"/>
        <v>0.83333333333333348</v>
      </c>
      <c r="F477" s="43">
        <f t="shared" si="88"/>
        <v>1.666666666666667</v>
      </c>
      <c r="G477" s="43">
        <f t="shared" si="89"/>
        <v>3.3333333333333339</v>
      </c>
    </row>
    <row r="478" spans="1:7">
      <c r="A478">
        <v>112</v>
      </c>
      <c r="B478" s="5">
        <f t="shared" si="84"/>
        <v>0.03</v>
      </c>
      <c r="C478" s="5">
        <f t="shared" si="85"/>
        <v>0.06</v>
      </c>
      <c r="D478" s="5">
        <f t="shared" si="86"/>
        <v>0.09</v>
      </c>
      <c r="E478" s="43">
        <f t="shared" si="87"/>
        <v>0.83333333333333348</v>
      </c>
      <c r="F478" s="43">
        <f t="shared" si="88"/>
        <v>1.666666666666667</v>
      </c>
      <c r="G478" s="43">
        <f t="shared" si="89"/>
        <v>3.3333333333333339</v>
      </c>
    </row>
    <row r="479" spans="1:7">
      <c r="A479">
        <v>113</v>
      </c>
      <c r="B479" s="5">
        <f t="shared" si="84"/>
        <v>0.03</v>
      </c>
      <c r="C479" s="5">
        <f t="shared" si="85"/>
        <v>0.06</v>
      </c>
      <c r="D479" s="5">
        <f t="shared" si="86"/>
        <v>0.09</v>
      </c>
      <c r="E479" s="43">
        <f t="shared" si="87"/>
        <v>0.83333333333333348</v>
      </c>
      <c r="F479" s="43">
        <f t="shared" si="88"/>
        <v>1.666666666666667</v>
      </c>
      <c r="G479" s="43">
        <f t="shared" si="89"/>
        <v>3.3333333333333339</v>
      </c>
    </row>
    <row r="480" spans="1:7">
      <c r="A480">
        <v>114</v>
      </c>
      <c r="B480" s="5">
        <f t="shared" si="84"/>
        <v>0.03</v>
      </c>
      <c r="C480" s="5">
        <f t="shared" si="85"/>
        <v>0.06</v>
      </c>
      <c r="D480" s="5">
        <f t="shared" si="86"/>
        <v>0.09</v>
      </c>
      <c r="E480" s="43">
        <f t="shared" si="87"/>
        <v>0.83333333333333348</v>
      </c>
      <c r="F480" s="43">
        <f t="shared" si="88"/>
        <v>1.666666666666667</v>
      </c>
      <c r="G480" s="43">
        <f t="shared" si="89"/>
        <v>3.3333333333333339</v>
      </c>
    </row>
    <row r="481" spans="1:7">
      <c r="A481">
        <v>115</v>
      </c>
      <c r="B481" s="5">
        <f t="shared" si="84"/>
        <v>0.03</v>
      </c>
      <c r="C481" s="5">
        <f t="shared" si="85"/>
        <v>0.06</v>
      </c>
      <c r="D481" s="5">
        <f t="shared" si="86"/>
        <v>0.09</v>
      </c>
      <c r="E481" s="43">
        <f t="shared" si="87"/>
        <v>0.83333333333333348</v>
      </c>
      <c r="F481" s="43">
        <f t="shared" si="88"/>
        <v>1.666666666666667</v>
      </c>
      <c r="G481" s="43">
        <f t="shared" si="89"/>
        <v>3.3333333333333339</v>
      </c>
    </row>
    <row r="482" spans="1:7">
      <c r="A482">
        <v>116</v>
      </c>
      <c r="B482" s="5">
        <f t="shared" si="84"/>
        <v>0.03</v>
      </c>
      <c r="C482" s="5">
        <f t="shared" si="85"/>
        <v>0.06</v>
      </c>
      <c r="D482" s="5">
        <f t="shared" si="86"/>
        <v>0.09</v>
      </c>
      <c r="E482" s="43">
        <f t="shared" si="87"/>
        <v>0.83333333333333348</v>
      </c>
      <c r="F482" s="43">
        <f t="shared" si="88"/>
        <v>1.666666666666667</v>
      </c>
      <c r="G482" s="43">
        <f t="shared" si="89"/>
        <v>3.3333333333333339</v>
      </c>
    </row>
    <row r="483" spans="1:7">
      <c r="A483">
        <v>117</v>
      </c>
      <c r="B483" s="5">
        <f t="shared" si="84"/>
        <v>0.03</v>
      </c>
      <c r="C483" s="5">
        <f t="shared" si="85"/>
        <v>0.06</v>
      </c>
      <c r="D483" s="5">
        <f t="shared" si="86"/>
        <v>0.09</v>
      </c>
      <c r="E483" s="43">
        <f t="shared" si="87"/>
        <v>0.83333333333333348</v>
      </c>
      <c r="F483" s="43">
        <f t="shared" si="88"/>
        <v>1.666666666666667</v>
      </c>
      <c r="G483" s="43">
        <f t="shared" si="89"/>
        <v>3.3333333333333339</v>
      </c>
    </row>
    <row r="484" spans="1:7">
      <c r="A484">
        <v>118</v>
      </c>
      <c r="B484" s="5">
        <f t="shared" si="84"/>
        <v>0.03</v>
      </c>
      <c r="C484" s="5">
        <f t="shared" si="85"/>
        <v>0.06</v>
      </c>
      <c r="D484" s="5">
        <f t="shared" si="86"/>
        <v>0.09</v>
      </c>
      <c r="E484" s="43">
        <f t="shared" si="87"/>
        <v>0.83333333333333348</v>
      </c>
      <c r="F484" s="43">
        <f t="shared" si="88"/>
        <v>1.666666666666667</v>
      </c>
      <c r="G484" s="43">
        <f t="shared" si="89"/>
        <v>3.3333333333333339</v>
      </c>
    </row>
    <row r="485" spans="1:7">
      <c r="A485">
        <v>119</v>
      </c>
      <c r="B485" s="5">
        <f t="shared" si="84"/>
        <v>0.03</v>
      </c>
      <c r="C485" s="5">
        <f t="shared" si="85"/>
        <v>0.06</v>
      </c>
      <c r="D485" s="5">
        <f t="shared" si="86"/>
        <v>0.09</v>
      </c>
      <c r="E485" s="43">
        <f t="shared" si="87"/>
        <v>0.83333333333333348</v>
      </c>
      <c r="F485" s="43">
        <f t="shared" si="88"/>
        <v>1.666666666666667</v>
      </c>
      <c r="G485" s="43">
        <f t="shared" si="89"/>
        <v>3.3333333333333339</v>
      </c>
    </row>
    <row r="486" spans="1:7">
      <c r="A486">
        <v>120</v>
      </c>
      <c r="B486" s="5">
        <f t="shared" si="84"/>
        <v>0.03</v>
      </c>
      <c r="C486" s="5">
        <f t="shared" si="85"/>
        <v>0.06</v>
      </c>
      <c r="D486" s="5">
        <f t="shared" si="86"/>
        <v>0.09</v>
      </c>
      <c r="E486" s="43">
        <f t="shared" si="87"/>
        <v>0.83333333333333348</v>
      </c>
      <c r="F486" s="43">
        <f t="shared" si="88"/>
        <v>1.666666666666667</v>
      </c>
      <c r="G486" s="43">
        <f t="shared" si="89"/>
        <v>3.3333333333333339</v>
      </c>
    </row>
    <row r="487" spans="1:7">
      <c r="A487">
        <v>121</v>
      </c>
      <c r="B487" s="5">
        <f t="shared" si="84"/>
        <v>0.03</v>
      </c>
      <c r="C487" s="5">
        <f t="shared" si="85"/>
        <v>0.06</v>
      </c>
      <c r="D487" s="5">
        <f t="shared" si="86"/>
        <v>0.09</v>
      </c>
      <c r="E487" s="43">
        <f t="shared" si="87"/>
        <v>0.83333333333333348</v>
      </c>
      <c r="F487" s="43">
        <f t="shared" si="88"/>
        <v>1.666666666666667</v>
      </c>
      <c r="G487" s="43">
        <f t="shared" si="89"/>
        <v>3.3333333333333339</v>
      </c>
    </row>
    <row r="488" spans="1:7">
      <c r="A488">
        <v>122</v>
      </c>
      <c r="B488" s="5">
        <f t="shared" si="84"/>
        <v>0.03</v>
      </c>
      <c r="C488" s="5">
        <f t="shared" si="85"/>
        <v>0.06</v>
      </c>
      <c r="D488" s="5">
        <f t="shared" si="86"/>
        <v>0.09</v>
      </c>
      <c r="E488" s="43">
        <f t="shared" si="87"/>
        <v>0.83333333333333348</v>
      </c>
      <c r="F488" s="43">
        <f t="shared" si="88"/>
        <v>1.666666666666667</v>
      </c>
      <c r="G488" s="43">
        <f t="shared" si="89"/>
        <v>3.3333333333333339</v>
      </c>
    </row>
    <row r="489" spans="1:7">
      <c r="A489">
        <v>123</v>
      </c>
      <c r="B489" s="5">
        <f t="shared" si="84"/>
        <v>0.03</v>
      </c>
      <c r="C489" s="5">
        <f t="shared" si="85"/>
        <v>0.06</v>
      </c>
      <c r="D489" s="5">
        <f t="shared" si="86"/>
        <v>0.09</v>
      </c>
      <c r="E489" s="43">
        <f t="shared" si="87"/>
        <v>0.83333333333333348</v>
      </c>
      <c r="F489" s="43">
        <f t="shared" si="88"/>
        <v>1.666666666666667</v>
      </c>
      <c r="G489" s="43">
        <f t="shared" si="89"/>
        <v>3.3333333333333339</v>
      </c>
    </row>
    <row r="490" spans="1:7">
      <c r="A490">
        <v>124</v>
      </c>
      <c r="B490" s="5">
        <f t="shared" si="84"/>
        <v>0.03</v>
      </c>
      <c r="C490" s="5">
        <f t="shared" si="85"/>
        <v>0.06</v>
      </c>
      <c r="D490" s="5">
        <f t="shared" si="86"/>
        <v>0.09</v>
      </c>
      <c r="E490" s="43">
        <f t="shared" si="87"/>
        <v>0.83333333333333348</v>
      </c>
      <c r="F490" s="43">
        <f t="shared" si="88"/>
        <v>1.666666666666667</v>
      </c>
      <c r="G490" s="43">
        <f t="shared" si="89"/>
        <v>3.3333333333333339</v>
      </c>
    </row>
    <row r="491" spans="1:7">
      <c r="A491">
        <v>125</v>
      </c>
      <c r="B491" s="5">
        <f t="shared" si="84"/>
        <v>0.03</v>
      </c>
      <c r="C491" s="5">
        <f t="shared" si="85"/>
        <v>0.06</v>
      </c>
      <c r="D491" s="5">
        <f t="shared" si="86"/>
        <v>0.09</v>
      </c>
      <c r="E491" s="43">
        <f t="shared" si="87"/>
        <v>0.83333333333333348</v>
      </c>
      <c r="F491" s="43">
        <f t="shared" si="88"/>
        <v>1.666666666666667</v>
      </c>
      <c r="G491" s="43">
        <f t="shared" si="89"/>
        <v>3.3333333333333339</v>
      </c>
    </row>
    <row r="492" spans="1:7">
      <c r="A492">
        <v>126</v>
      </c>
      <c r="B492" s="5">
        <f t="shared" si="84"/>
        <v>0.03</v>
      </c>
      <c r="C492" s="5">
        <f t="shared" si="85"/>
        <v>0.06</v>
      </c>
      <c r="D492" s="5">
        <f t="shared" si="86"/>
        <v>0.09</v>
      </c>
      <c r="E492" s="43">
        <f t="shared" si="87"/>
        <v>0.83333333333333348</v>
      </c>
      <c r="F492" s="43">
        <f t="shared" si="88"/>
        <v>1.666666666666667</v>
      </c>
      <c r="G492" s="43">
        <f t="shared" si="89"/>
        <v>3.3333333333333339</v>
      </c>
    </row>
    <row r="493" spans="1:7">
      <c r="A493">
        <v>127</v>
      </c>
      <c r="B493" s="5">
        <f t="shared" si="84"/>
        <v>0.03</v>
      </c>
      <c r="C493" s="5">
        <f t="shared" si="85"/>
        <v>0.06</v>
      </c>
      <c r="D493" s="5">
        <f t="shared" si="86"/>
        <v>0.09</v>
      </c>
      <c r="E493" s="43">
        <f t="shared" si="87"/>
        <v>0.83333333333333348</v>
      </c>
      <c r="F493" s="43">
        <f t="shared" si="88"/>
        <v>1.666666666666667</v>
      </c>
      <c r="G493" s="43">
        <f t="shared" si="89"/>
        <v>3.3333333333333339</v>
      </c>
    </row>
    <row r="494" spans="1:7">
      <c r="A494">
        <v>128</v>
      </c>
      <c r="B494" s="5">
        <f t="shared" si="84"/>
        <v>0.03</v>
      </c>
      <c r="C494" s="5">
        <f t="shared" si="85"/>
        <v>0.06</v>
      </c>
      <c r="D494" s="5">
        <f t="shared" si="86"/>
        <v>0.09</v>
      </c>
      <c r="E494" s="43">
        <f t="shared" si="87"/>
        <v>0.83333333333333348</v>
      </c>
      <c r="F494" s="43">
        <f t="shared" si="88"/>
        <v>1.666666666666667</v>
      </c>
      <c r="G494" s="43">
        <f t="shared" si="89"/>
        <v>3.3333333333333339</v>
      </c>
    </row>
    <row r="495" spans="1:7">
      <c r="A495">
        <v>129</v>
      </c>
      <c r="B495" s="5">
        <f t="shared" si="84"/>
        <v>0.03</v>
      </c>
      <c r="C495" s="5">
        <f t="shared" si="85"/>
        <v>0.06</v>
      </c>
      <c r="D495" s="5">
        <f t="shared" si="86"/>
        <v>0.09</v>
      </c>
      <c r="E495" s="43">
        <f t="shared" si="87"/>
        <v>0.83333333333333348</v>
      </c>
      <c r="F495" s="43">
        <f t="shared" si="88"/>
        <v>1.666666666666667</v>
      </c>
      <c r="G495" s="43">
        <f t="shared" si="89"/>
        <v>3.3333333333333339</v>
      </c>
    </row>
    <row r="496" spans="1:7">
      <c r="A496">
        <v>130</v>
      </c>
      <c r="B496" s="5">
        <f t="shared" ref="B496:B559" si="90">(50/100)*(IF(A496&lt;=30,0.06*(A496/30),0.06))</f>
        <v>0.03</v>
      </c>
      <c r="C496" s="5">
        <f t="shared" ref="C496:C559" si="91">(100/100)*(IF(A496&lt;=30,0.06*(A496/30),0.06))</f>
        <v>0.06</v>
      </c>
      <c r="D496" s="5">
        <f t="shared" ref="D496:D559" si="92">(150/100)*(IF(A496&lt;=30,0.06*(A496/30),0.06))</f>
        <v>0.09</v>
      </c>
      <c r="E496" s="43">
        <f t="shared" ref="E496:E559" si="93">(5/100)*IF(A496&gt;30, 100/6, (100/6)*(30/A496))</f>
        <v>0.83333333333333348</v>
      </c>
      <c r="F496" s="43">
        <f t="shared" ref="F496:F559" si="94">(10/100)*IF(A496&gt;30, 100/6, (100/6)*(30/A496))</f>
        <v>1.666666666666667</v>
      </c>
      <c r="G496" s="43">
        <f t="shared" ref="G496:G559" si="95">(20/100)*IF(A496&gt;30, 100/6, (100/6)*(30/A496))</f>
        <v>3.3333333333333339</v>
      </c>
    </row>
    <row r="497" spans="1:7">
      <c r="A497">
        <v>131</v>
      </c>
      <c r="B497" s="5">
        <f t="shared" si="90"/>
        <v>0.03</v>
      </c>
      <c r="C497" s="5">
        <f t="shared" si="91"/>
        <v>0.06</v>
      </c>
      <c r="D497" s="5">
        <f t="shared" si="92"/>
        <v>0.09</v>
      </c>
      <c r="E497" s="43">
        <f t="shared" si="93"/>
        <v>0.83333333333333348</v>
      </c>
      <c r="F497" s="43">
        <f t="shared" si="94"/>
        <v>1.666666666666667</v>
      </c>
      <c r="G497" s="43">
        <f t="shared" si="95"/>
        <v>3.3333333333333339</v>
      </c>
    </row>
    <row r="498" spans="1:7">
      <c r="A498">
        <v>132</v>
      </c>
      <c r="B498" s="5">
        <f t="shared" si="90"/>
        <v>0.03</v>
      </c>
      <c r="C498" s="5">
        <f t="shared" si="91"/>
        <v>0.06</v>
      </c>
      <c r="D498" s="5">
        <f t="shared" si="92"/>
        <v>0.09</v>
      </c>
      <c r="E498" s="43">
        <f t="shared" si="93"/>
        <v>0.83333333333333348</v>
      </c>
      <c r="F498" s="43">
        <f t="shared" si="94"/>
        <v>1.666666666666667</v>
      </c>
      <c r="G498" s="43">
        <f t="shared" si="95"/>
        <v>3.3333333333333339</v>
      </c>
    </row>
    <row r="499" spans="1:7">
      <c r="A499">
        <v>133</v>
      </c>
      <c r="B499" s="5">
        <f t="shared" si="90"/>
        <v>0.03</v>
      </c>
      <c r="C499" s="5">
        <f t="shared" si="91"/>
        <v>0.06</v>
      </c>
      <c r="D499" s="5">
        <f t="shared" si="92"/>
        <v>0.09</v>
      </c>
      <c r="E499" s="43">
        <f t="shared" si="93"/>
        <v>0.83333333333333348</v>
      </c>
      <c r="F499" s="43">
        <f t="shared" si="94"/>
        <v>1.666666666666667</v>
      </c>
      <c r="G499" s="43">
        <f t="shared" si="95"/>
        <v>3.3333333333333339</v>
      </c>
    </row>
    <row r="500" spans="1:7">
      <c r="A500">
        <v>134</v>
      </c>
      <c r="B500" s="5">
        <f t="shared" si="90"/>
        <v>0.03</v>
      </c>
      <c r="C500" s="5">
        <f t="shared" si="91"/>
        <v>0.06</v>
      </c>
      <c r="D500" s="5">
        <f t="shared" si="92"/>
        <v>0.09</v>
      </c>
      <c r="E500" s="43">
        <f t="shared" si="93"/>
        <v>0.83333333333333348</v>
      </c>
      <c r="F500" s="43">
        <f t="shared" si="94"/>
        <v>1.666666666666667</v>
      </c>
      <c r="G500" s="43">
        <f t="shared" si="95"/>
        <v>3.3333333333333339</v>
      </c>
    </row>
    <row r="501" spans="1:7">
      <c r="A501">
        <v>135</v>
      </c>
      <c r="B501" s="5">
        <f t="shared" si="90"/>
        <v>0.03</v>
      </c>
      <c r="C501" s="5">
        <f t="shared" si="91"/>
        <v>0.06</v>
      </c>
      <c r="D501" s="5">
        <f t="shared" si="92"/>
        <v>0.09</v>
      </c>
      <c r="E501" s="43">
        <f t="shared" si="93"/>
        <v>0.83333333333333348</v>
      </c>
      <c r="F501" s="43">
        <f t="shared" si="94"/>
        <v>1.666666666666667</v>
      </c>
      <c r="G501" s="43">
        <f t="shared" si="95"/>
        <v>3.3333333333333339</v>
      </c>
    </row>
    <row r="502" spans="1:7">
      <c r="A502">
        <v>136</v>
      </c>
      <c r="B502" s="5">
        <f t="shared" si="90"/>
        <v>0.03</v>
      </c>
      <c r="C502" s="5">
        <f t="shared" si="91"/>
        <v>0.06</v>
      </c>
      <c r="D502" s="5">
        <f t="shared" si="92"/>
        <v>0.09</v>
      </c>
      <c r="E502" s="43">
        <f t="shared" si="93"/>
        <v>0.83333333333333348</v>
      </c>
      <c r="F502" s="43">
        <f t="shared" si="94"/>
        <v>1.666666666666667</v>
      </c>
      <c r="G502" s="43">
        <f t="shared" si="95"/>
        <v>3.3333333333333339</v>
      </c>
    </row>
    <row r="503" spans="1:7">
      <c r="A503">
        <v>137</v>
      </c>
      <c r="B503" s="5">
        <f t="shared" si="90"/>
        <v>0.03</v>
      </c>
      <c r="C503" s="5">
        <f t="shared" si="91"/>
        <v>0.06</v>
      </c>
      <c r="D503" s="5">
        <f t="shared" si="92"/>
        <v>0.09</v>
      </c>
      <c r="E503" s="43">
        <f t="shared" si="93"/>
        <v>0.83333333333333348</v>
      </c>
      <c r="F503" s="43">
        <f t="shared" si="94"/>
        <v>1.666666666666667</v>
      </c>
      <c r="G503" s="43">
        <f t="shared" si="95"/>
        <v>3.3333333333333339</v>
      </c>
    </row>
    <row r="504" spans="1:7">
      <c r="A504">
        <v>138</v>
      </c>
      <c r="B504" s="5">
        <f t="shared" si="90"/>
        <v>0.03</v>
      </c>
      <c r="C504" s="5">
        <f t="shared" si="91"/>
        <v>0.06</v>
      </c>
      <c r="D504" s="5">
        <f t="shared" si="92"/>
        <v>0.09</v>
      </c>
      <c r="E504" s="43">
        <f t="shared" si="93"/>
        <v>0.83333333333333348</v>
      </c>
      <c r="F504" s="43">
        <f t="shared" si="94"/>
        <v>1.666666666666667</v>
      </c>
      <c r="G504" s="43">
        <f t="shared" si="95"/>
        <v>3.3333333333333339</v>
      </c>
    </row>
    <row r="505" spans="1:7">
      <c r="A505">
        <v>139</v>
      </c>
      <c r="B505" s="5">
        <f t="shared" si="90"/>
        <v>0.03</v>
      </c>
      <c r="C505" s="5">
        <f t="shared" si="91"/>
        <v>0.06</v>
      </c>
      <c r="D505" s="5">
        <f t="shared" si="92"/>
        <v>0.09</v>
      </c>
      <c r="E505" s="43">
        <f t="shared" si="93"/>
        <v>0.83333333333333348</v>
      </c>
      <c r="F505" s="43">
        <f t="shared" si="94"/>
        <v>1.666666666666667</v>
      </c>
      <c r="G505" s="43">
        <f t="shared" si="95"/>
        <v>3.3333333333333339</v>
      </c>
    </row>
    <row r="506" spans="1:7">
      <c r="A506">
        <v>140</v>
      </c>
      <c r="B506" s="5">
        <f t="shared" si="90"/>
        <v>0.03</v>
      </c>
      <c r="C506" s="5">
        <f t="shared" si="91"/>
        <v>0.06</v>
      </c>
      <c r="D506" s="5">
        <f t="shared" si="92"/>
        <v>0.09</v>
      </c>
      <c r="E506" s="43">
        <f t="shared" si="93"/>
        <v>0.83333333333333348</v>
      </c>
      <c r="F506" s="43">
        <f t="shared" si="94"/>
        <v>1.666666666666667</v>
      </c>
      <c r="G506" s="43">
        <f t="shared" si="95"/>
        <v>3.3333333333333339</v>
      </c>
    </row>
    <row r="507" spans="1:7">
      <c r="A507">
        <v>141</v>
      </c>
      <c r="B507" s="5">
        <f t="shared" si="90"/>
        <v>0.03</v>
      </c>
      <c r="C507" s="5">
        <f t="shared" si="91"/>
        <v>0.06</v>
      </c>
      <c r="D507" s="5">
        <f t="shared" si="92"/>
        <v>0.09</v>
      </c>
      <c r="E507" s="43">
        <f t="shared" si="93"/>
        <v>0.83333333333333348</v>
      </c>
      <c r="F507" s="43">
        <f t="shared" si="94"/>
        <v>1.666666666666667</v>
      </c>
      <c r="G507" s="43">
        <f t="shared" si="95"/>
        <v>3.3333333333333339</v>
      </c>
    </row>
    <row r="508" spans="1:7">
      <c r="A508">
        <v>142</v>
      </c>
      <c r="B508" s="5">
        <f t="shared" si="90"/>
        <v>0.03</v>
      </c>
      <c r="C508" s="5">
        <f t="shared" si="91"/>
        <v>0.06</v>
      </c>
      <c r="D508" s="5">
        <f t="shared" si="92"/>
        <v>0.09</v>
      </c>
      <c r="E508" s="43">
        <f t="shared" si="93"/>
        <v>0.83333333333333348</v>
      </c>
      <c r="F508" s="43">
        <f t="shared" si="94"/>
        <v>1.666666666666667</v>
      </c>
      <c r="G508" s="43">
        <f t="shared" si="95"/>
        <v>3.3333333333333339</v>
      </c>
    </row>
    <row r="509" spans="1:7">
      <c r="A509">
        <v>143</v>
      </c>
      <c r="B509" s="5">
        <f t="shared" si="90"/>
        <v>0.03</v>
      </c>
      <c r="C509" s="5">
        <f t="shared" si="91"/>
        <v>0.06</v>
      </c>
      <c r="D509" s="5">
        <f t="shared" si="92"/>
        <v>0.09</v>
      </c>
      <c r="E509" s="43">
        <f t="shared" si="93"/>
        <v>0.83333333333333348</v>
      </c>
      <c r="F509" s="43">
        <f t="shared" si="94"/>
        <v>1.666666666666667</v>
      </c>
      <c r="G509" s="43">
        <f t="shared" si="95"/>
        <v>3.3333333333333339</v>
      </c>
    </row>
    <row r="510" spans="1:7">
      <c r="A510">
        <v>144</v>
      </c>
      <c r="B510" s="5">
        <f t="shared" si="90"/>
        <v>0.03</v>
      </c>
      <c r="C510" s="5">
        <f t="shared" si="91"/>
        <v>0.06</v>
      </c>
      <c r="D510" s="5">
        <f t="shared" si="92"/>
        <v>0.09</v>
      </c>
      <c r="E510" s="43">
        <f t="shared" si="93"/>
        <v>0.83333333333333348</v>
      </c>
      <c r="F510" s="43">
        <f t="shared" si="94"/>
        <v>1.666666666666667</v>
      </c>
      <c r="G510" s="43">
        <f t="shared" si="95"/>
        <v>3.3333333333333339</v>
      </c>
    </row>
    <row r="511" spans="1:7">
      <c r="A511">
        <v>145</v>
      </c>
      <c r="B511" s="5">
        <f t="shared" si="90"/>
        <v>0.03</v>
      </c>
      <c r="C511" s="5">
        <f t="shared" si="91"/>
        <v>0.06</v>
      </c>
      <c r="D511" s="5">
        <f t="shared" si="92"/>
        <v>0.09</v>
      </c>
      <c r="E511" s="43">
        <f t="shared" si="93"/>
        <v>0.83333333333333348</v>
      </c>
      <c r="F511" s="43">
        <f t="shared" si="94"/>
        <v>1.666666666666667</v>
      </c>
      <c r="G511" s="43">
        <f t="shared" si="95"/>
        <v>3.3333333333333339</v>
      </c>
    </row>
    <row r="512" spans="1:7">
      <c r="A512">
        <v>146</v>
      </c>
      <c r="B512" s="5">
        <f t="shared" si="90"/>
        <v>0.03</v>
      </c>
      <c r="C512" s="5">
        <f t="shared" si="91"/>
        <v>0.06</v>
      </c>
      <c r="D512" s="5">
        <f t="shared" si="92"/>
        <v>0.09</v>
      </c>
      <c r="E512" s="43">
        <f t="shared" si="93"/>
        <v>0.83333333333333348</v>
      </c>
      <c r="F512" s="43">
        <f t="shared" si="94"/>
        <v>1.666666666666667</v>
      </c>
      <c r="G512" s="43">
        <f t="shared" si="95"/>
        <v>3.3333333333333339</v>
      </c>
    </row>
    <row r="513" spans="1:7">
      <c r="A513">
        <v>147</v>
      </c>
      <c r="B513" s="5">
        <f t="shared" si="90"/>
        <v>0.03</v>
      </c>
      <c r="C513" s="5">
        <f t="shared" si="91"/>
        <v>0.06</v>
      </c>
      <c r="D513" s="5">
        <f t="shared" si="92"/>
        <v>0.09</v>
      </c>
      <c r="E513" s="43">
        <f t="shared" si="93"/>
        <v>0.83333333333333348</v>
      </c>
      <c r="F513" s="43">
        <f t="shared" si="94"/>
        <v>1.666666666666667</v>
      </c>
      <c r="G513" s="43">
        <f t="shared" si="95"/>
        <v>3.3333333333333339</v>
      </c>
    </row>
    <row r="514" spans="1:7">
      <c r="A514">
        <v>148</v>
      </c>
      <c r="B514" s="5">
        <f t="shared" si="90"/>
        <v>0.03</v>
      </c>
      <c r="C514" s="5">
        <f t="shared" si="91"/>
        <v>0.06</v>
      </c>
      <c r="D514" s="5">
        <f t="shared" si="92"/>
        <v>0.09</v>
      </c>
      <c r="E514" s="43">
        <f t="shared" si="93"/>
        <v>0.83333333333333348</v>
      </c>
      <c r="F514" s="43">
        <f t="shared" si="94"/>
        <v>1.666666666666667</v>
      </c>
      <c r="G514" s="43">
        <f t="shared" si="95"/>
        <v>3.3333333333333339</v>
      </c>
    </row>
    <row r="515" spans="1:7">
      <c r="A515">
        <v>149</v>
      </c>
      <c r="B515" s="5">
        <f t="shared" si="90"/>
        <v>0.03</v>
      </c>
      <c r="C515" s="5">
        <f t="shared" si="91"/>
        <v>0.06</v>
      </c>
      <c r="D515" s="5">
        <f t="shared" si="92"/>
        <v>0.09</v>
      </c>
      <c r="E515" s="43">
        <f t="shared" si="93"/>
        <v>0.83333333333333348</v>
      </c>
      <c r="F515" s="43">
        <f t="shared" si="94"/>
        <v>1.666666666666667</v>
      </c>
      <c r="G515" s="43">
        <f t="shared" si="95"/>
        <v>3.3333333333333339</v>
      </c>
    </row>
    <row r="516" spans="1:7">
      <c r="A516">
        <v>150</v>
      </c>
      <c r="B516" s="5">
        <f t="shared" si="90"/>
        <v>0.03</v>
      </c>
      <c r="C516" s="5">
        <f t="shared" si="91"/>
        <v>0.06</v>
      </c>
      <c r="D516" s="5">
        <f t="shared" si="92"/>
        <v>0.09</v>
      </c>
      <c r="E516" s="43">
        <f t="shared" si="93"/>
        <v>0.83333333333333348</v>
      </c>
      <c r="F516" s="43">
        <f t="shared" si="94"/>
        <v>1.666666666666667</v>
      </c>
      <c r="G516" s="43">
        <f t="shared" si="95"/>
        <v>3.3333333333333339</v>
      </c>
    </row>
    <row r="517" spans="1:7">
      <c r="A517">
        <v>151</v>
      </c>
      <c r="B517" s="5">
        <f t="shared" si="90"/>
        <v>0.03</v>
      </c>
      <c r="C517" s="5">
        <f t="shared" si="91"/>
        <v>0.06</v>
      </c>
      <c r="D517" s="5">
        <f t="shared" si="92"/>
        <v>0.09</v>
      </c>
      <c r="E517" s="43">
        <f t="shared" si="93"/>
        <v>0.83333333333333348</v>
      </c>
      <c r="F517" s="43">
        <f t="shared" si="94"/>
        <v>1.666666666666667</v>
      </c>
      <c r="G517" s="43">
        <f t="shared" si="95"/>
        <v>3.3333333333333339</v>
      </c>
    </row>
    <row r="518" spans="1:7">
      <c r="A518">
        <v>152</v>
      </c>
      <c r="B518" s="5">
        <f t="shared" si="90"/>
        <v>0.03</v>
      </c>
      <c r="C518" s="5">
        <f t="shared" si="91"/>
        <v>0.06</v>
      </c>
      <c r="D518" s="5">
        <f t="shared" si="92"/>
        <v>0.09</v>
      </c>
      <c r="E518" s="43">
        <f t="shared" si="93"/>
        <v>0.83333333333333348</v>
      </c>
      <c r="F518" s="43">
        <f t="shared" si="94"/>
        <v>1.666666666666667</v>
      </c>
      <c r="G518" s="43">
        <f t="shared" si="95"/>
        <v>3.3333333333333339</v>
      </c>
    </row>
    <row r="519" spans="1:7">
      <c r="A519">
        <v>153</v>
      </c>
      <c r="B519" s="5">
        <f t="shared" si="90"/>
        <v>0.03</v>
      </c>
      <c r="C519" s="5">
        <f t="shared" si="91"/>
        <v>0.06</v>
      </c>
      <c r="D519" s="5">
        <f t="shared" si="92"/>
        <v>0.09</v>
      </c>
      <c r="E519" s="43">
        <f t="shared" si="93"/>
        <v>0.83333333333333348</v>
      </c>
      <c r="F519" s="43">
        <f t="shared" si="94"/>
        <v>1.666666666666667</v>
      </c>
      <c r="G519" s="43">
        <f t="shared" si="95"/>
        <v>3.3333333333333339</v>
      </c>
    </row>
    <row r="520" spans="1:7">
      <c r="A520">
        <v>154</v>
      </c>
      <c r="B520" s="5">
        <f t="shared" si="90"/>
        <v>0.03</v>
      </c>
      <c r="C520" s="5">
        <f t="shared" si="91"/>
        <v>0.06</v>
      </c>
      <c r="D520" s="5">
        <f t="shared" si="92"/>
        <v>0.09</v>
      </c>
      <c r="E520" s="43">
        <f t="shared" si="93"/>
        <v>0.83333333333333348</v>
      </c>
      <c r="F520" s="43">
        <f t="shared" si="94"/>
        <v>1.666666666666667</v>
      </c>
      <c r="G520" s="43">
        <f t="shared" si="95"/>
        <v>3.3333333333333339</v>
      </c>
    </row>
    <row r="521" spans="1:7">
      <c r="A521">
        <v>155</v>
      </c>
      <c r="B521" s="5">
        <f t="shared" si="90"/>
        <v>0.03</v>
      </c>
      <c r="C521" s="5">
        <f t="shared" si="91"/>
        <v>0.06</v>
      </c>
      <c r="D521" s="5">
        <f t="shared" si="92"/>
        <v>0.09</v>
      </c>
      <c r="E521" s="43">
        <f t="shared" si="93"/>
        <v>0.83333333333333348</v>
      </c>
      <c r="F521" s="43">
        <f t="shared" si="94"/>
        <v>1.666666666666667</v>
      </c>
      <c r="G521" s="43">
        <f t="shared" si="95"/>
        <v>3.3333333333333339</v>
      </c>
    </row>
    <row r="522" spans="1:7">
      <c r="A522">
        <v>156</v>
      </c>
      <c r="B522" s="5">
        <f t="shared" si="90"/>
        <v>0.03</v>
      </c>
      <c r="C522" s="5">
        <f t="shared" si="91"/>
        <v>0.06</v>
      </c>
      <c r="D522" s="5">
        <f t="shared" si="92"/>
        <v>0.09</v>
      </c>
      <c r="E522" s="43">
        <f t="shared" si="93"/>
        <v>0.83333333333333348</v>
      </c>
      <c r="F522" s="43">
        <f t="shared" si="94"/>
        <v>1.666666666666667</v>
      </c>
      <c r="G522" s="43">
        <f t="shared" si="95"/>
        <v>3.3333333333333339</v>
      </c>
    </row>
    <row r="523" spans="1:7">
      <c r="A523">
        <v>157</v>
      </c>
      <c r="B523" s="5">
        <f t="shared" si="90"/>
        <v>0.03</v>
      </c>
      <c r="C523" s="5">
        <f t="shared" si="91"/>
        <v>0.06</v>
      </c>
      <c r="D523" s="5">
        <f t="shared" si="92"/>
        <v>0.09</v>
      </c>
      <c r="E523" s="43">
        <f t="shared" si="93"/>
        <v>0.83333333333333348</v>
      </c>
      <c r="F523" s="43">
        <f t="shared" si="94"/>
        <v>1.666666666666667</v>
      </c>
      <c r="G523" s="43">
        <f t="shared" si="95"/>
        <v>3.3333333333333339</v>
      </c>
    </row>
    <row r="524" spans="1:7">
      <c r="A524">
        <v>158</v>
      </c>
      <c r="B524" s="5">
        <f t="shared" si="90"/>
        <v>0.03</v>
      </c>
      <c r="C524" s="5">
        <f t="shared" si="91"/>
        <v>0.06</v>
      </c>
      <c r="D524" s="5">
        <f t="shared" si="92"/>
        <v>0.09</v>
      </c>
      <c r="E524" s="43">
        <f t="shared" si="93"/>
        <v>0.83333333333333348</v>
      </c>
      <c r="F524" s="43">
        <f t="shared" si="94"/>
        <v>1.666666666666667</v>
      </c>
      <c r="G524" s="43">
        <f t="shared" si="95"/>
        <v>3.3333333333333339</v>
      </c>
    </row>
    <row r="525" spans="1:7">
      <c r="A525">
        <v>159</v>
      </c>
      <c r="B525" s="5">
        <f t="shared" si="90"/>
        <v>0.03</v>
      </c>
      <c r="C525" s="5">
        <f t="shared" si="91"/>
        <v>0.06</v>
      </c>
      <c r="D525" s="5">
        <f t="shared" si="92"/>
        <v>0.09</v>
      </c>
      <c r="E525" s="43">
        <f t="shared" si="93"/>
        <v>0.83333333333333348</v>
      </c>
      <c r="F525" s="43">
        <f t="shared" si="94"/>
        <v>1.666666666666667</v>
      </c>
      <c r="G525" s="43">
        <f t="shared" si="95"/>
        <v>3.3333333333333339</v>
      </c>
    </row>
    <row r="526" spans="1:7">
      <c r="A526">
        <v>160</v>
      </c>
      <c r="B526" s="5">
        <f t="shared" si="90"/>
        <v>0.03</v>
      </c>
      <c r="C526" s="5">
        <f t="shared" si="91"/>
        <v>0.06</v>
      </c>
      <c r="D526" s="5">
        <f t="shared" si="92"/>
        <v>0.09</v>
      </c>
      <c r="E526" s="43">
        <f t="shared" si="93"/>
        <v>0.83333333333333348</v>
      </c>
      <c r="F526" s="43">
        <f t="shared" si="94"/>
        <v>1.666666666666667</v>
      </c>
      <c r="G526" s="43">
        <f t="shared" si="95"/>
        <v>3.3333333333333339</v>
      </c>
    </row>
    <row r="527" spans="1:7">
      <c r="A527">
        <v>161</v>
      </c>
      <c r="B527" s="5">
        <f t="shared" si="90"/>
        <v>0.03</v>
      </c>
      <c r="C527" s="5">
        <f t="shared" si="91"/>
        <v>0.06</v>
      </c>
      <c r="D527" s="5">
        <f t="shared" si="92"/>
        <v>0.09</v>
      </c>
      <c r="E527" s="43">
        <f t="shared" si="93"/>
        <v>0.83333333333333348</v>
      </c>
      <c r="F527" s="43">
        <f t="shared" si="94"/>
        <v>1.666666666666667</v>
      </c>
      <c r="G527" s="43">
        <f t="shared" si="95"/>
        <v>3.3333333333333339</v>
      </c>
    </row>
    <row r="528" spans="1:7">
      <c r="A528">
        <v>162</v>
      </c>
      <c r="B528" s="5">
        <f t="shared" si="90"/>
        <v>0.03</v>
      </c>
      <c r="C528" s="5">
        <f t="shared" si="91"/>
        <v>0.06</v>
      </c>
      <c r="D528" s="5">
        <f t="shared" si="92"/>
        <v>0.09</v>
      </c>
      <c r="E528" s="43">
        <f t="shared" si="93"/>
        <v>0.83333333333333348</v>
      </c>
      <c r="F528" s="43">
        <f t="shared" si="94"/>
        <v>1.666666666666667</v>
      </c>
      <c r="G528" s="43">
        <f t="shared" si="95"/>
        <v>3.3333333333333339</v>
      </c>
    </row>
    <row r="529" spans="1:7">
      <c r="A529">
        <v>163</v>
      </c>
      <c r="B529" s="5">
        <f t="shared" si="90"/>
        <v>0.03</v>
      </c>
      <c r="C529" s="5">
        <f t="shared" si="91"/>
        <v>0.06</v>
      </c>
      <c r="D529" s="5">
        <f t="shared" si="92"/>
        <v>0.09</v>
      </c>
      <c r="E529" s="43">
        <f t="shared" si="93"/>
        <v>0.83333333333333348</v>
      </c>
      <c r="F529" s="43">
        <f t="shared" si="94"/>
        <v>1.666666666666667</v>
      </c>
      <c r="G529" s="43">
        <f t="shared" si="95"/>
        <v>3.3333333333333339</v>
      </c>
    </row>
    <row r="530" spans="1:7">
      <c r="A530">
        <v>164</v>
      </c>
      <c r="B530" s="5">
        <f t="shared" si="90"/>
        <v>0.03</v>
      </c>
      <c r="C530" s="5">
        <f t="shared" si="91"/>
        <v>0.06</v>
      </c>
      <c r="D530" s="5">
        <f t="shared" si="92"/>
        <v>0.09</v>
      </c>
      <c r="E530" s="43">
        <f t="shared" si="93"/>
        <v>0.83333333333333348</v>
      </c>
      <c r="F530" s="43">
        <f t="shared" si="94"/>
        <v>1.666666666666667</v>
      </c>
      <c r="G530" s="43">
        <f t="shared" si="95"/>
        <v>3.3333333333333339</v>
      </c>
    </row>
    <row r="531" spans="1:7">
      <c r="A531">
        <v>165</v>
      </c>
      <c r="B531" s="5">
        <f t="shared" si="90"/>
        <v>0.03</v>
      </c>
      <c r="C531" s="5">
        <f t="shared" si="91"/>
        <v>0.06</v>
      </c>
      <c r="D531" s="5">
        <f t="shared" si="92"/>
        <v>0.09</v>
      </c>
      <c r="E531" s="43">
        <f t="shared" si="93"/>
        <v>0.83333333333333348</v>
      </c>
      <c r="F531" s="43">
        <f t="shared" si="94"/>
        <v>1.666666666666667</v>
      </c>
      <c r="G531" s="43">
        <f t="shared" si="95"/>
        <v>3.3333333333333339</v>
      </c>
    </row>
    <row r="532" spans="1:7">
      <c r="A532">
        <v>166</v>
      </c>
      <c r="B532" s="5">
        <f t="shared" si="90"/>
        <v>0.03</v>
      </c>
      <c r="C532" s="5">
        <f t="shared" si="91"/>
        <v>0.06</v>
      </c>
      <c r="D532" s="5">
        <f t="shared" si="92"/>
        <v>0.09</v>
      </c>
      <c r="E532" s="43">
        <f t="shared" si="93"/>
        <v>0.83333333333333348</v>
      </c>
      <c r="F532" s="43">
        <f t="shared" si="94"/>
        <v>1.666666666666667</v>
      </c>
      <c r="G532" s="43">
        <f t="shared" si="95"/>
        <v>3.3333333333333339</v>
      </c>
    </row>
    <row r="533" spans="1:7">
      <c r="A533">
        <v>167</v>
      </c>
      <c r="B533" s="5">
        <f t="shared" si="90"/>
        <v>0.03</v>
      </c>
      <c r="C533" s="5">
        <f t="shared" si="91"/>
        <v>0.06</v>
      </c>
      <c r="D533" s="5">
        <f t="shared" si="92"/>
        <v>0.09</v>
      </c>
      <c r="E533" s="43">
        <f t="shared" si="93"/>
        <v>0.83333333333333348</v>
      </c>
      <c r="F533" s="43">
        <f t="shared" si="94"/>
        <v>1.666666666666667</v>
      </c>
      <c r="G533" s="43">
        <f t="shared" si="95"/>
        <v>3.3333333333333339</v>
      </c>
    </row>
    <row r="534" spans="1:7">
      <c r="A534">
        <v>168</v>
      </c>
      <c r="B534" s="5">
        <f t="shared" si="90"/>
        <v>0.03</v>
      </c>
      <c r="C534" s="5">
        <f t="shared" si="91"/>
        <v>0.06</v>
      </c>
      <c r="D534" s="5">
        <f t="shared" si="92"/>
        <v>0.09</v>
      </c>
      <c r="E534" s="43">
        <f t="shared" si="93"/>
        <v>0.83333333333333348</v>
      </c>
      <c r="F534" s="43">
        <f t="shared" si="94"/>
        <v>1.666666666666667</v>
      </c>
      <c r="G534" s="43">
        <f t="shared" si="95"/>
        <v>3.3333333333333339</v>
      </c>
    </row>
    <row r="535" spans="1:7">
      <c r="A535">
        <v>169</v>
      </c>
      <c r="B535" s="5">
        <f t="shared" si="90"/>
        <v>0.03</v>
      </c>
      <c r="C535" s="5">
        <f t="shared" si="91"/>
        <v>0.06</v>
      </c>
      <c r="D535" s="5">
        <f t="shared" si="92"/>
        <v>0.09</v>
      </c>
      <c r="E535" s="43">
        <f t="shared" si="93"/>
        <v>0.83333333333333348</v>
      </c>
      <c r="F535" s="43">
        <f t="shared" si="94"/>
        <v>1.666666666666667</v>
      </c>
      <c r="G535" s="43">
        <f t="shared" si="95"/>
        <v>3.3333333333333339</v>
      </c>
    </row>
    <row r="536" spans="1:7">
      <c r="A536">
        <v>170</v>
      </c>
      <c r="B536" s="5">
        <f t="shared" si="90"/>
        <v>0.03</v>
      </c>
      <c r="C536" s="5">
        <f t="shared" si="91"/>
        <v>0.06</v>
      </c>
      <c r="D536" s="5">
        <f t="shared" si="92"/>
        <v>0.09</v>
      </c>
      <c r="E536" s="43">
        <f t="shared" si="93"/>
        <v>0.83333333333333348</v>
      </c>
      <c r="F536" s="43">
        <f t="shared" si="94"/>
        <v>1.666666666666667</v>
      </c>
      <c r="G536" s="43">
        <f t="shared" si="95"/>
        <v>3.3333333333333339</v>
      </c>
    </row>
    <row r="537" spans="1:7">
      <c r="A537">
        <v>171</v>
      </c>
      <c r="B537" s="5">
        <f t="shared" si="90"/>
        <v>0.03</v>
      </c>
      <c r="C537" s="5">
        <f t="shared" si="91"/>
        <v>0.06</v>
      </c>
      <c r="D537" s="5">
        <f t="shared" si="92"/>
        <v>0.09</v>
      </c>
      <c r="E537" s="43">
        <f t="shared" si="93"/>
        <v>0.83333333333333348</v>
      </c>
      <c r="F537" s="43">
        <f t="shared" si="94"/>
        <v>1.666666666666667</v>
      </c>
      <c r="G537" s="43">
        <f t="shared" si="95"/>
        <v>3.3333333333333339</v>
      </c>
    </row>
    <row r="538" spans="1:7">
      <c r="A538">
        <v>172</v>
      </c>
      <c r="B538" s="5">
        <f t="shared" si="90"/>
        <v>0.03</v>
      </c>
      <c r="C538" s="5">
        <f t="shared" si="91"/>
        <v>0.06</v>
      </c>
      <c r="D538" s="5">
        <f t="shared" si="92"/>
        <v>0.09</v>
      </c>
      <c r="E538" s="43">
        <f t="shared" si="93"/>
        <v>0.83333333333333348</v>
      </c>
      <c r="F538" s="43">
        <f t="shared" si="94"/>
        <v>1.666666666666667</v>
      </c>
      <c r="G538" s="43">
        <f t="shared" si="95"/>
        <v>3.3333333333333339</v>
      </c>
    </row>
    <row r="539" spans="1:7">
      <c r="A539">
        <v>173</v>
      </c>
      <c r="B539" s="5">
        <f t="shared" si="90"/>
        <v>0.03</v>
      </c>
      <c r="C539" s="5">
        <f t="shared" si="91"/>
        <v>0.06</v>
      </c>
      <c r="D539" s="5">
        <f t="shared" si="92"/>
        <v>0.09</v>
      </c>
      <c r="E539" s="43">
        <f t="shared" si="93"/>
        <v>0.83333333333333348</v>
      </c>
      <c r="F539" s="43">
        <f t="shared" si="94"/>
        <v>1.666666666666667</v>
      </c>
      <c r="G539" s="43">
        <f t="shared" si="95"/>
        <v>3.3333333333333339</v>
      </c>
    </row>
    <row r="540" spans="1:7">
      <c r="A540">
        <v>174</v>
      </c>
      <c r="B540" s="5">
        <f t="shared" si="90"/>
        <v>0.03</v>
      </c>
      <c r="C540" s="5">
        <f t="shared" si="91"/>
        <v>0.06</v>
      </c>
      <c r="D540" s="5">
        <f t="shared" si="92"/>
        <v>0.09</v>
      </c>
      <c r="E540" s="43">
        <f t="shared" si="93"/>
        <v>0.83333333333333348</v>
      </c>
      <c r="F540" s="43">
        <f t="shared" si="94"/>
        <v>1.666666666666667</v>
      </c>
      <c r="G540" s="43">
        <f t="shared" si="95"/>
        <v>3.3333333333333339</v>
      </c>
    </row>
    <row r="541" spans="1:7">
      <c r="A541">
        <v>175</v>
      </c>
      <c r="B541" s="5">
        <f t="shared" si="90"/>
        <v>0.03</v>
      </c>
      <c r="C541" s="5">
        <f t="shared" si="91"/>
        <v>0.06</v>
      </c>
      <c r="D541" s="5">
        <f t="shared" si="92"/>
        <v>0.09</v>
      </c>
      <c r="E541" s="43">
        <f t="shared" si="93"/>
        <v>0.83333333333333348</v>
      </c>
      <c r="F541" s="43">
        <f t="shared" si="94"/>
        <v>1.666666666666667</v>
      </c>
      <c r="G541" s="43">
        <f t="shared" si="95"/>
        <v>3.3333333333333339</v>
      </c>
    </row>
    <row r="542" spans="1:7">
      <c r="A542">
        <v>176</v>
      </c>
      <c r="B542" s="5">
        <f t="shared" si="90"/>
        <v>0.03</v>
      </c>
      <c r="C542" s="5">
        <f t="shared" si="91"/>
        <v>0.06</v>
      </c>
      <c r="D542" s="5">
        <f t="shared" si="92"/>
        <v>0.09</v>
      </c>
      <c r="E542" s="43">
        <f t="shared" si="93"/>
        <v>0.83333333333333348</v>
      </c>
      <c r="F542" s="43">
        <f t="shared" si="94"/>
        <v>1.666666666666667</v>
      </c>
      <c r="G542" s="43">
        <f t="shared" si="95"/>
        <v>3.3333333333333339</v>
      </c>
    </row>
    <row r="543" spans="1:7">
      <c r="A543">
        <v>177</v>
      </c>
      <c r="B543" s="5">
        <f t="shared" si="90"/>
        <v>0.03</v>
      </c>
      <c r="C543" s="5">
        <f t="shared" si="91"/>
        <v>0.06</v>
      </c>
      <c r="D543" s="5">
        <f t="shared" si="92"/>
        <v>0.09</v>
      </c>
      <c r="E543" s="43">
        <f t="shared" si="93"/>
        <v>0.83333333333333348</v>
      </c>
      <c r="F543" s="43">
        <f t="shared" si="94"/>
        <v>1.666666666666667</v>
      </c>
      <c r="G543" s="43">
        <f t="shared" si="95"/>
        <v>3.3333333333333339</v>
      </c>
    </row>
    <row r="544" spans="1:7">
      <c r="A544">
        <v>178</v>
      </c>
      <c r="B544" s="5">
        <f t="shared" si="90"/>
        <v>0.03</v>
      </c>
      <c r="C544" s="5">
        <f t="shared" si="91"/>
        <v>0.06</v>
      </c>
      <c r="D544" s="5">
        <f t="shared" si="92"/>
        <v>0.09</v>
      </c>
      <c r="E544" s="43">
        <f t="shared" si="93"/>
        <v>0.83333333333333348</v>
      </c>
      <c r="F544" s="43">
        <f t="shared" si="94"/>
        <v>1.666666666666667</v>
      </c>
      <c r="G544" s="43">
        <f t="shared" si="95"/>
        <v>3.3333333333333339</v>
      </c>
    </row>
    <row r="545" spans="1:7">
      <c r="A545">
        <v>179</v>
      </c>
      <c r="B545" s="5">
        <f t="shared" si="90"/>
        <v>0.03</v>
      </c>
      <c r="C545" s="5">
        <f t="shared" si="91"/>
        <v>0.06</v>
      </c>
      <c r="D545" s="5">
        <f t="shared" si="92"/>
        <v>0.09</v>
      </c>
      <c r="E545" s="43">
        <f t="shared" si="93"/>
        <v>0.83333333333333348</v>
      </c>
      <c r="F545" s="43">
        <f t="shared" si="94"/>
        <v>1.666666666666667</v>
      </c>
      <c r="G545" s="43">
        <f t="shared" si="95"/>
        <v>3.3333333333333339</v>
      </c>
    </row>
    <row r="546" spans="1:7">
      <c r="A546">
        <v>180</v>
      </c>
      <c r="B546" s="5">
        <f t="shared" si="90"/>
        <v>0.03</v>
      </c>
      <c r="C546" s="5">
        <f t="shared" si="91"/>
        <v>0.06</v>
      </c>
      <c r="D546" s="5">
        <f t="shared" si="92"/>
        <v>0.09</v>
      </c>
      <c r="E546" s="43">
        <f t="shared" si="93"/>
        <v>0.83333333333333348</v>
      </c>
      <c r="F546" s="43">
        <f t="shared" si="94"/>
        <v>1.666666666666667</v>
      </c>
      <c r="G546" s="43">
        <f t="shared" si="95"/>
        <v>3.3333333333333339</v>
      </c>
    </row>
    <row r="547" spans="1:7">
      <c r="A547">
        <v>181</v>
      </c>
      <c r="B547" s="5">
        <f t="shared" si="90"/>
        <v>0.03</v>
      </c>
      <c r="C547" s="5">
        <f t="shared" si="91"/>
        <v>0.06</v>
      </c>
      <c r="D547" s="5">
        <f t="shared" si="92"/>
        <v>0.09</v>
      </c>
      <c r="E547" s="43">
        <f t="shared" si="93"/>
        <v>0.83333333333333348</v>
      </c>
      <c r="F547" s="43">
        <f t="shared" si="94"/>
        <v>1.666666666666667</v>
      </c>
      <c r="G547" s="43">
        <f t="shared" si="95"/>
        <v>3.3333333333333339</v>
      </c>
    </row>
    <row r="548" spans="1:7">
      <c r="A548">
        <v>182</v>
      </c>
      <c r="B548" s="5">
        <f t="shared" si="90"/>
        <v>0.03</v>
      </c>
      <c r="C548" s="5">
        <f t="shared" si="91"/>
        <v>0.06</v>
      </c>
      <c r="D548" s="5">
        <f t="shared" si="92"/>
        <v>0.09</v>
      </c>
      <c r="E548" s="43">
        <f t="shared" si="93"/>
        <v>0.83333333333333348</v>
      </c>
      <c r="F548" s="43">
        <f t="shared" si="94"/>
        <v>1.666666666666667</v>
      </c>
      <c r="G548" s="43">
        <f t="shared" si="95"/>
        <v>3.3333333333333339</v>
      </c>
    </row>
    <row r="549" spans="1:7">
      <c r="A549">
        <v>183</v>
      </c>
      <c r="B549" s="5">
        <f t="shared" si="90"/>
        <v>0.03</v>
      </c>
      <c r="C549" s="5">
        <f t="shared" si="91"/>
        <v>0.06</v>
      </c>
      <c r="D549" s="5">
        <f t="shared" si="92"/>
        <v>0.09</v>
      </c>
      <c r="E549" s="43">
        <f t="shared" si="93"/>
        <v>0.83333333333333348</v>
      </c>
      <c r="F549" s="43">
        <f t="shared" si="94"/>
        <v>1.666666666666667</v>
      </c>
      <c r="G549" s="43">
        <f t="shared" si="95"/>
        <v>3.3333333333333339</v>
      </c>
    </row>
    <row r="550" spans="1:7">
      <c r="A550">
        <v>184</v>
      </c>
      <c r="B550" s="5">
        <f t="shared" si="90"/>
        <v>0.03</v>
      </c>
      <c r="C550" s="5">
        <f t="shared" si="91"/>
        <v>0.06</v>
      </c>
      <c r="D550" s="5">
        <f t="shared" si="92"/>
        <v>0.09</v>
      </c>
      <c r="E550" s="43">
        <f t="shared" si="93"/>
        <v>0.83333333333333348</v>
      </c>
      <c r="F550" s="43">
        <f t="shared" si="94"/>
        <v>1.666666666666667</v>
      </c>
      <c r="G550" s="43">
        <f t="shared" si="95"/>
        <v>3.3333333333333339</v>
      </c>
    </row>
    <row r="551" spans="1:7">
      <c r="A551">
        <v>185</v>
      </c>
      <c r="B551" s="5">
        <f t="shared" si="90"/>
        <v>0.03</v>
      </c>
      <c r="C551" s="5">
        <f t="shared" si="91"/>
        <v>0.06</v>
      </c>
      <c r="D551" s="5">
        <f t="shared" si="92"/>
        <v>0.09</v>
      </c>
      <c r="E551" s="43">
        <f t="shared" si="93"/>
        <v>0.83333333333333348</v>
      </c>
      <c r="F551" s="43">
        <f t="shared" si="94"/>
        <v>1.666666666666667</v>
      </c>
      <c r="G551" s="43">
        <f t="shared" si="95"/>
        <v>3.3333333333333339</v>
      </c>
    </row>
    <row r="552" spans="1:7">
      <c r="A552">
        <v>186</v>
      </c>
      <c r="B552" s="5">
        <f t="shared" si="90"/>
        <v>0.03</v>
      </c>
      <c r="C552" s="5">
        <f t="shared" si="91"/>
        <v>0.06</v>
      </c>
      <c r="D552" s="5">
        <f t="shared" si="92"/>
        <v>0.09</v>
      </c>
      <c r="E552" s="43">
        <f t="shared" si="93"/>
        <v>0.83333333333333348</v>
      </c>
      <c r="F552" s="43">
        <f t="shared" si="94"/>
        <v>1.666666666666667</v>
      </c>
      <c r="G552" s="43">
        <f t="shared" si="95"/>
        <v>3.3333333333333339</v>
      </c>
    </row>
    <row r="553" spans="1:7">
      <c r="A553">
        <v>187</v>
      </c>
      <c r="B553" s="5">
        <f t="shared" si="90"/>
        <v>0.03</v>
      </c>
      <c r="C553" s="5">
        <f t="shared" si="91"/>
        <v>0.06</v>
      </c>
      <c r="D553" s="5">
        <f t="shared" si="92"/>
        <v>0.09</v>
      </c>
      <c r="E553" s="43">
        <f t="shared" si="93"/>
        <v>0.83333333333333348</v>
      </c>
      <c r="F553" s="43">
        <f t="shared" si="94"/>
        <v>1.666666666666667</v>
      </c>
      <c r="G553" s="43">
        <f t="shared" si="95"/>
        <v>3.3333333333333339</v>
      </c>
    </row>
    <row r="554" spans="1:7">
      <c r="A554">
        <v>188</v>
      </c>
      <c r="B554" s="5">
        <f t="shared" si="90"/>
        <v>0.03</v>
      </c>
      <c r="C554" s="5">
        <f t="shared" si="91"/>
        <v>0.06</v>
      </c>
      <c r="D554" s="5">
        <f t="shared" si="92"/>
        <v>0.09</v>
      </c>
      <c r="E554" s="43">
        <f t="shared" si="93"/>
        <v>0.83333333333333348</v>
      </c>
      <c r="F554" s="43">
        <f t="shared" si="94"/>
        <v>1.666666666666667</v>
      </c>
      <c r="G554" s="43">
        <f t="shared" si="95"/>
        <v>3.3333333333333339</v>
      </c>
    </row>
    <row r="555" spans="1:7">
      <c r="A555">
        <v>189</v>
      </c>
      <c r="B555" s="5">
        <f t="shared" si="90"/>
        <v>0.03</v>
      </c>
      <c r="C555" s="5">
        <f t="shared" si="91"/>
        <v>0.06</v>
      </c>
      <c r="D555" s="5">
        <f t="shared" si="92"/>
        <v>0.09</v>
      </c>
      <c r="E555" s="43">
        <f t="shared" si="93"/>
        <v>0.83333333333333348</v>
      </c>
      <c r="F555" s="43">
        <f t="shared" si="94"/>
        <v>1.666666666666667</v>
      </c>
      <c r="G555" s="43">
        <f t="shared" si="95"/>
        <v>3.3333333333333339</v>
      </c>
    </row>
    <row r="556" spans="1:7">
      <c r="A556">
        <v>190</v>
      </c>
      <c r="B556" s="5">
        <f t="shared" si="90"/>
        <v>0.03</v>
      </c>
      <c r="C556" s="5">
        <f t="shared" si="91"/>
        <v>0.06</v>
      </c>
      <c r="D556" s="5">
        <f t="shared" si="92"/>
        <v>0.09</v>
      </c>
      <c r="E556" s="43">
        <f t="shared" si="93"/>
        <v>0.83333333333333348</v>
      </c>
      <c r="F556" s="43">
        <f t="shared" si="94"/>
        <v>1.666666666666667</v>
      </c>
      <c r="G556" s="43">
        <f t="shared" si="95"/>
        <v>3.3333333333333339</v>
      </c>
    </row>
    <row r="557" spans="1:7">
      <c r="A557">
        <v>191</v>
      </c>
      <c r="B557" s="5">
        <f t="shared" si="90"/>
        <v>0.03</v>
      </c>
      <c r="C557" s="5">
        <f t="shared" si="91"/>
        <v>0.06</v>
      </c>
      <c r="D557" s="5">
        <f t="shared" si="92"/>
        <v>0.09</v>
      </c>
      <c r="E557" s="43">
        <f t="shared" si="93"/>
        <v>0.83333333333333348</v>
      </c>
      <c r="F557" s="43">
        <f t="shared" si="94"/>
        <v>1.666666666666667</v>
      </c>
      <c r="G557" s="43">
        <f t="shared" si="95"/>
        <v>3.3333333333333339</v>
      </c>
    </row>
    <row r="558" spans="1:7">
      <c r="A558">
        <v>192</v>
      </c>
      <c r="B558" s="5">
        <f t="shared" si="90"/>
        <v>0.03</v>
      </c>
      <c r="C558" s="5">
        <f t="shared" si="91"/>
        <v>0.06</v>
      </c>
      <c r="D558" s="5">
        <f t="shared" si="92"/>
        <v>0.09</v>
      </c>
      <c r="E558" s="43">
        <f t="shared" si="93"/>
        <v>0.83333333333333348</v>
      </c>
      <c r="F558" s="43">
        <f t="shared" si="94"/>
        <v>1.666666666666667</v>
      </c>
      <c r="G558" s="43">
        <f t="shared" si="95"/>
        <v>3.3333333333333339</v>
      </c>
    </row>
    <row r="559" spans="1:7">
      <c r="A559">
        <v>193</v>
      </c>
      <c r="B559" s="5">
        <f t="shared" si="90"/>
        <v>0.03</v>
      </c>
      <c r="C559" s="5">
        <f t="shared" si="91"/>
        <v>0.06</v>
      </c>
      <c r="D559" s="5">
        <f t="shared" si="92"/>
        <v>0.09</v>
      </c>
      <c r="E559" s="43">
        <f t="shared" si="93"/>
        <v>0.83333333333333348</v>
      </c>
      <c r="F559" s="43">
        <f t="shared" si="94"/>
        <v>1.666666666666667</v>
      </c>
      <c r="G559" s="43">
        <f t="shared" si="95"/>
        <v>3.3333333333333339</v>
      </c>
    </row>
    <row r="560" spans="1:7">
      <c r="A560">
        <v>194</v>
      </c>
      <c r="B560" s="5">
        <f t="shared" ref="B560:B623" si="96">(50/100)*(IF(A560&lt;=30,0.06*(A560/30),0.06))</f>
        <v>0.03</v>
      </c>
      <c r="C560" s="5">
        <f t="shared" ref="C560:C623" si="97">(100/100)*(IF(A560&lt;=30,0.06*(A560/30),0.06))</f>
        <v>0.06</v>
      </c>
      <c r="D560" s="5">
        <f t="shared" ref="D560:D623" si="98">(150/100)*(IF(A560&lt;=30,0.06*(A560/30),0.06))</f>
        <v>0.09</v>
      </c>
      <c r="E560" s="43">
        <f t="shared" ref="E560:E623" si="99">(5/100)*IF(A560&gt;30, 100/6, (100/6)*(30/A560))</f>
        <v>0.83333333333333348</v>
      </c>
      <c r="F560" s="43">
        <f t="shared" ref="F560:F623" si="100">(10/100)*IF(A560&gt;30, 100/6, (100/6)*(30/A560))</f>
        <v>1.666666666666667</v>
      </c>
      <c r="G560" s="43">
        <f t="shared" ref="G560:G623" si="101">(20/100)*IF(A560&gt;30, 100/6, (100/6)*(30/A560))</f>
        <v>3.3333333333333339</v>
      </c>
    </row>
    <row r="561" spans="1:7">
      <c r="A561">
        <v>195</v>
      </c>
      <c r="B561" s="5">
        <f t="shared" si="96"/>
        <v>0.03</v>
      </c>
      <c r="C561" s="5">
        <f t="shared" si="97"/>
        <v>0.06</v>
      </c>
      <c r="D561" s="5">
        <f t="shared" si="98"/>
        <v>0.09</v>
      </c>
      <c r="E561" s="43">
        <f t="shared" si="99"/>
        <v>0.83333333333333348</v>
      </c>
      <c r="F561" s="43">
        <f t="shared" si="100"/>
        <v>1.666666666666667</v>
      </c>
      <c r="G561" s="43">
        <f t="shared" si="101"/>
        <v>3.3333333333333339</v>
      </c>
    </row>
    <row r="562" spans="1:7">
      <c r="A562">
        <v>196</v>
      </c>
      <c r="B562" s="5">
        <f t="shared" si="96"/>
        <v>0.03</v>
      </c>
      <c r="C562" s="5">
        <f t="shared" si="97"/>
        <v>0.06</v>
      </c>
      <c r="D562" s="5">
        <f t="shared" si="98"/>
        <v>0.09</v>
      </c>
      <c r="E562" s="43">
        <f t="shared" si="99"/>
        <v>0.83333333333333348</v>
      </c>
      <c r="F562" s="43">
        <f t="shared" si="100"/>
        <v>1.666666666666667</v>
      </c>
      <c r="G562" s="43">
        <f t="shared" si="101"/>
        <v>3.3333333333333339</v>
      </c>
    </row>
    <row r="563" spans="1:7">
      <c r="A563">
        <v>197</v>
      </c>
      <c r="B563" s="5">
        <f t="shared" si="96"/>
        <v>0.03</v>
      </c>
      <c r="C563" s="5">
        <f t="shared" si="97"/>
        <v>0.06</v>
      </c>
      <c r="D563" s="5">
        <f t="shared" si="98"/>
        <v>0.09</v>
      </c>
      <c r="E563" s="43">
        <f t="shared" si="99"/>
        <v>0.83333333333333348</v>
      </c>
      <c r="F563" s="43">
        <f t="shared" si="100"/>
        <v>1.666666666666667</v>
      </c>
      <c r="G563" s="43">
        <f t="shared" si="101"/>
        <v>3.3333333333333339</v>
      </c>
    </row>
    <row r="564" spans="1:7">
      <c r="A564">
        <v>198</v>
      </c>
      <c r="B564" s="5">
        <f t="shared" si="96"/>
        <v>0.03</v>
      </c>
      <c r="C564" s="5">
        <f t="shared" si="97"/>
        <v>0.06</v>
      </c>
      <c r="D564" s="5">
        <f t="shared" si="98"/>
        <v>0.09</v>
      </c>
      <c r="E564" s="43">
        <f t="shared" si="99"/>
        <v>0.83333333333333348</v>
      </c>
      <c r="F564" s="43">
        <f t="shared" si="100"/>
        <v>1.666666666666667</v>
      </c>
      <c r="G564" s="43">
        <f t="shared" si="101"/>
        <v>3.3333333333333339</v>
      </c>
    </row>
    <row r="565" spans="1:7">
      <c r="A565">
        <v>199</v>
      </c>
      <c r="B565" s="5">
        <f t="shared" si="96"/>
        <v>0.03</v>
      </c>
      <c r="C565" s="5">
        <f t="shared" si="97"/>
        <v>0.06</v>
      </c>
      <c r="D565" s="5">
        <f t="shared" si="98"/>
        <v>0.09</v>
      </c>
      <c r="E565" s="43">
        <f t="shared" si="99"/>
        <v>0.83333333333333348</v>
      </c>
      <c r="F565" s="43">
        <f t="shared" si="100"/>
        <v>1.666666666666667</v>
      </c>
      <c r="G565" s="43">
        <f t="shared" si="101"/>
        <v>3.3333333333333339</v>
      </c>
    </row>
    <row r="566" spans="1:7">
      <c r="A566">
        <v>200</v>
      </c>
      <c r="B566" s="5">
        <f t="shared" si="96"/>
        <v>0.03</v>
      </c>
      <c r="C566" s="5">
        <f t="shared" si="97"/>
        <v>0.06</v>
      </c>
      <c r="D566" s="5">
        <f t="shared" si="98"/>
        <v>0.09</v>
      </c>
      <c r="E566" s="43">
        <f t="shared" si="99"/>
        <v>0.83333333333333348</v>
      </c>
      <c r="F566" s="43">
        <f t="shared" si="100"/>
        <v>1.666666666666667</v>
      </c>
      <c r="G566" s="43">
        <f t="shared" si="101"/>
        <v>3.3333333333333339</v>
      </c>
    </row>
    <row r="567" spans="1:7">
      <c r="A567">
        <v>201</v>
      </c>
      <c r="B567" s="5">
        <f t="shared" si="96"/>
        <v>0.03</v>
      </c>
      <c r="C567" s="5">
        <f t="shared" si="97"/>
        <v>0.06</v>
      </c>
      <c r="D567" s="5">
        <f t="shared" si="98"/>
        <v>0.09</v>
      </c>
      <c r="E567" s="43">
        <f t="shared" si="99"/>
        <v>0.83333333333333348</v>
      </c>
      <c r="F567" s="43">
        <f t="shared" si="100"/>
        <v>1.666666666666667</v>
      </c>
      <c r="G567" s="43">
        <f t="shared" si="101"/>
        <v>3.3333333333333339</v>
      </c>
    </row>
    <row r="568" spans="1:7">
      <c r="A568">
        <v>202</v>
      </c>
      <c r="B568" s="5">
        <f t="shared" si="96"/>
        <v>0.03</v>
      </c>
      <c r="C568" s="5">
        <f t="shared" si="97"/>
        <v>0.06</v>
      </c>
      <c r="D568" s="5">
        <f t="shared" si="98"/>
        <v>0.09</v>
      </c>
      <c r="E568" s="43">
        <f t="shared" si="99"/>
        <v>0.83333333333333348</v>
      </c>
      <c r="F568" s="43">
        <f t="shared" si="100"/>
        <v>1.666666666666667</v>
      </c>
      <c r="G568" s="43">
        <f t="shared" si="101"/>
        <v>3.3333333333333339</v>
      </c>
    </row>
    <row r="569" spans="1:7">
      <c r="A569">
        <v>203</v>
      </c>
      <c r="B569" s="5">
        <f t="shared" si="96"/>
        <v>0.03</v>
      </c>
      <c r="C569" s="5">
        <f t="shared" si="97"/>
        <v>0.06</v>
      </c>
      <c r="D569" s="5">
        <f t="shared" si="98"/>
        <v>0.09</v>
      </c>
      <c r="E569" s="43">
        <f t="shared" si="99"/>
        <v>0.83333333333333348</v>
      </c>
      <c r="F569" s="43">
        <f t="shared" si="100"/>
        <v>1.666666666666667</v>
      </c>
      <c r="G569" s="43">
        <f t="shared" si="101"/>
        <v>3.3333333333333339</v>
      </c>
    </row>
    <row r="570" spans="1:7">
      <c r="A570">
        <v>204</v>
      </c>
      <c r="B570" s="5">
        <f t="shared" si="96"/>
        <v>0.03</v>
      </c>
      <c r="C570" s="5">
        <f t="shared" si="97"/>
        <v>0.06</v>
      </c>
      <c r="D570" s="5">
        <f t="shared" si="98"/>
        <v>0.09</v>
      </c>
      <c r="E570" s="43">
        <f t="shared" si="99"/>
        <v>0.83333333333333348</v>
      </c>
      <c r="F570" s="43">
        <f t="shared" si="100"/>
        <v>1.666666666666667</v>
      </c>
      <c r="G570" s="43">
        <f t="shared" si="101"/>
        <v>3.3333333333333339</v>
      </c>
    </row>
    <row r="571" spans="1:7">
      <c r="A571">
        <v>205</v>
      </c>
      <c r="B571" s="5">
        <f t="shared" si="96"/>
        <v>0.03</v>
      </c>
      <c r="C571" s="5">
        <f t="shared" si="97"/>
        <v>0.06</v>
      </c>
      <c r="D571" s="5">
        <f t="shared" si="98"/>
        <v>0.09</v>
      </c>
      <c r="E571" s="43">
        <f t="shared" si="99"/>
        <v>0.83333333333333348</v>
      </c>
      <c r="F571" s="43">
        <f t="shared" si="100"/>
        <v>1.666666666666667</v>
      </c>
      <c r="G571" s="43">
        <f t="shared" si="101"/>
        <v>3.3333333333333339</v>
      </c>
    </row>
    <row r="572" spans="1:7">
      <c r="A572">
        <v>206</v>
      </c>
      <c r="B572" s="5">
        <f t="shared" si="96"/>
        <v>0.03</v>
      </c>
      <c r="C572" s="5">
        <f t="shared" si="97"/>
        <v>0.06</v>
      </c>
      <c r="D572" s="5">
        <f t="shared" si="98"/>
        <v>0.09</v>
      </c>
      <c r="E572" s="43">
        <f t="shared" si="99"/>
        <v>0.83333333333333348</v>
      </c>
      <c r="F572" s="43">
        <f t="shared" si="100"/>
        <v>1.666666666666667</v>
      </c>
      <c r="G572" s="43">
        <f t="shared" si="101"/>
        <v>3.3333333333333339</v>
      </c>
    </row>
    <row r="573" spans="1:7">
      <c r="A573">
        <v>207</v>
      </c>
      <c r="B573" s="5">
        <f t="shared" si="96"/>
        <v>0.03</v>
      </c>
      <c r="C573" s="5">
        <f t="shared" si="97"/>
        <v>0.06</v>
      </c>
      <c r="D573" s="5">
        <f t="shared" si="98"/>
        <v>0.09</v>
      </c>
      <c r="E573" s="43">
        <f t="shared" si="99"/>
        <v>0.83333333333333348</v>
      </c>
      <c r="F573" s="43">
        <f t="shared" si="100"/>
        <v>1.666666666666667</v>
      </c>
      <c r="G573" s="43">
        <f t="shared" si="101"/>
        <v>3.3333333333333339</v>
      </c>
    </row>
    <row r="574" spans="1:7">
      <c r="A574">
        <v>208</v>
      </c>
      <c r="B574" s="5">
        <f t="shared" si="96"/>
        <v>0.03</v>
      </c>
      <c r="C574" s="5">
        <f t="shared" si="97"/>
        <v>0.06</v>
      </c>
      <c r="D574" s="5">
        <f t="shared" si="98"/>
        <v>0.09</v>
      </c>
      <c r="E574" s="43">
        <f t="shared" si="99"/>
        <v>0.83333333333333348</v>
      </c>
      <c r="F574" s="43">
        <f t="shared" si="100"/>
        <v>1.666666666666667</v>
      </c>
      <c r="G574" s="43">
        <f t="shared" si="101"/>
        <v>3.3333333333333339</v>
      </c>
    </row>
    <row r="575" spans="1:7">
      <c r="A575">
        <v>209</v>
      </c>
      <c r="B575" s="5">
        <f t="shared" si="96"/>
        <v>0.03</v>
      </c>
      <c r="C575" s="5">
        <f t="shared" si="97"/>
        <v>0.06</v>
      </c>
      <c r="D575" s="5">
        <f t="shared" si="98"/>
        <v>0.09</v>
      </c>
      <c r="E575" s="43">
        <f t="shared" si="99"/>
        <v>0.83333333333333348</v>
      </c>
      <c r="F575" s="43">
        <f t="shared" si="100"/>
        <v>1.666666666666667</v>
      </c>
      <c r="G575" s="43">
        <f t="shared" si="101"/>
        <v>3.3333333333333339</v>
      </c>
    </row>
    <row r="576" spans="1:7">
      <c r="A576">
        <v>210</v>
      </c>
      <c r="B576" s="5">
        <f t="shared" si="96"/>
        <v>0.03</v>
      </c>
      <c r="C576" s="5">
        <f t="shared" si="97"/>
        <v>0.06</v>
      </c>
      <c r="D576" s="5">
        <f t="shared" si="98"/>
        <v>0.09</v>
      </c>
      <c r="E576" s="43">
        <f t="shared" si="99"/>
        <v>0.83333333333333348</v>
      </c>
      <c r="F576" s="43">
        <f t="shared" si="100"/>
        <v>1.666666666666667</v>
      </c>
      <c r="G576" s="43">
        <f t="shared" si="101"/>
        <v>3.3333333333333339</v>
      </c>
    </row>
    <row r="577" spans="1:7">
      <c r="A577">
        <v>211</v>
      </c>
      <c r="B577" s="5">
        <f t="shared" si="96"/>
        <v>0.03</v>
      </c>
      <c r="C577" s="5">
        <f t="shared" si="97"/>
        <v>0.06</v>
      </c>
      <c r="D577" s="5">
        <f t="shared" si="98"/>
        <v>0.09</v>
      </c>
      <c r="E577" s="43">
        <f t="shared" si="99"/>
        <v>0.83333333333333348</v>
      </c>
      <c r="F577" s="43">
        <f t="shared" si="100"/>
        <v>1.666666666666667</v>
      </c>
      <c r="G577" s="43">
        <f t="shared" si="101"/>
        <v>3.3333333333333339</v>
      </c>
    </row>
    <row r="578" spans="1:7">
      <c r="A578">
        <v>212</v>
      </c>
      <c r="B578" s="5">
        <f t="shared" si="96"/>
        <v>0.03</v>
      </c>
      <c r="C578" s="5">
        <f t="shared" si="97"/>
        <v>0.06</v>
      </c>
      <c r="D578" s="5">
        <f t="shared" si="98"/>
        <v>0.09</v>
      </c>
      <c r="E578" s="43">
        <f t="shared" si="99"/>
        <v>0.83333333333333348</v>
      </c>
      <c r="F578" s="43">
        <f t="shared" si="100"/>
        <v>1.666666666666667</v>
      </c>
      <c r="G578" s="43">
        <f t="shared" si="101"/>
        <v>3.3333333333333339</v>
      </c>
    </row>
    <row r="579" spans="1:7">
      <c r="A579">
        <v>213</v>
      </c>
      <c r="B579" s="5">
        <f t="shared" si="96"/>
        <v>0.03</v>
      </c>
      <c r="C579" s="5">
        <f t="shared" si="97"/>
        <v>0.06</v>
      </c>
      <c r="D579" s="5">
        <f t="shared" si="98"/>
        <v>0.09</v>
      </c>
      <c r="E579" s="43">
        <f t="shared" si="99"/>
        <v>0.83333333333333348</v>
      </c>
      <c r="F579" s="43">
        <f t="shared" si="100"/>
        <v>1.666666666666667</v>
      </c>
      <c r="G579" s="43">
        <f t="shared" si="101"/>
        <v>3.3333333333333339</v>
      </c>
    </row>
    <row r="580" spans="1:7">
      <c r="A580">
        <v>214</v>
      </c>
      <c r="B580" s="5">
        <f t="shared" si="96"/>
        <v>0.03</v>
      </c>
      <c r="C580" s="5">
        <f t="shared" si="97"/>
        <v>0.06</v>
      </c>
      <c r="D580" s="5">
        <f t="shared" si="98"/>
        <v>0.09</v>
      </c>
      <c r="E580" s="43">
        <f t="shared" si="99"/>
        <v>0.83333333333333348</v>
      </c>
      <c r="F580" s="43">
        <f t="shared" si="100"/>
        <v>1.666666666666667</v>
      </c>
      <c r="G580" s="43">
        <f t="shared" si="101"/>
        <v>3.3333333333333339</v>
      </c>
    </row>
    <row r="581" spans="1:7">
      <c r="A581">
        <v>215</v>
      </c>
      <c r="B581" s="5">
        <f t="shared" si="96"/>
        <v>0.03</v>
      </c>
      <c r="C581" s="5">
        <f t="shared" si="97"/>
        <v>0.06</v>
      </c>
      <c r="D581" s="5">
        <f t="shared" si="98"/>
        <v>0.09</v>
      </c>
      <c r="E581" s="43">
        <f t="shared" si="99"/>
        <v>0.83333333333333348</v>
      </c>
      <c r="F581" s="43">
        <f t="shared" si="100"/>
        <v>1.666666666666667</v>
      </c>
      <c r="G581" s="43">
        <f t="shared" si="101"/>
        <v>3.3333333333333339</v>
      </c>
    </row>
    <row r="582" spans="1:7">
      <c r="A582">
        <v>216</v>
      </c>
      <c r="B582" s="5">
        <f t="shared" si="96"/>
        <v>0.03</v>
      </c>
      <c r="C582" s="5">
        <f t="shared" si="97"/>
        <v>0.06</v>
      </c>
      <c r="D582" s="5">
        <f t="shared" si="98"/>
        <v>0.09</v>
      </c>
      <c r="E582" s="43">
        <f t="shared" si="99"/>
        <v>0.83333333333333348</v>
      </c>
      <c r="F582" s="43">
        <f t="shared" si="100"/>
        <v>1.666666666666667</v>
      </c>
      <c r="G582" s="43">
        <f t="shared" si="101"/>
        <v>3.3333333333333339</v>
      </c>
    </row>
    <row r="583" spans="1:7">
      <c r="A583">
        <v>217</v>
      </c>
      <c r="B583" s="5">
        <f t="shared" si="96"/>
        <v>0.03</v>
      </c>
      <c r="C583" s="5">
        <f t="shared" si="97"/>
        <v>0.06</v>
      </c>
      <c r="D583" s="5">
        <f t="shared" si="98"/>
        <v>0.09</v>
      </c>
      <c r="E583" s="43">
        <f t="shared" si="99"/>
        <v>0.83333333333333348</v>
      </c>
      <c r="F583" s="43">
        <f t="shared" si="100"/>
        <v>1.666666666666667</v>
      </c>
      <c r="G583" s="43">
        <f t="shared" si="101"/>
        <v>3.3333333333333339</v>
      </c>
    </row>
    <row r="584" spans="1:7">
      <c r="A584">
        <v>218</v>
      </c>
      <c r="B584" s="5">
        <f t="shared" si="96"/>
        <v>0.03</v>
      </c>
      <c r="C584" s="5">
        <f t="shared" si="97"/>
        <v>0.06</v>
      </c>
      <c r="D584" s="5">
        <f t="shared" si="98"/>
        <v>0.09</v>
      </c>
      <c r="E584" s="43">
        <f t="shared" si="99"/>
        <v>0.83333333333333348</v>
      </c>
      <c r="F584" s="43">
        <f t="shared" si="100"/>
        <v>1.666666666666667</v>
      </c>
      <c r="G584" s="43">
        <f t="shared" si="101"/>
        <v>3.3333333333333339</v>
      </c>
    </row>
    <row r="585" spans="1:7">
      <c r="A585">
        <v>219</v>
      </c>
      <c r="B585" s="5">
        <f t="shared" si="96"/>
        <v>0.03</v>
      </c>
      <c r="C585" s="5">
        <f t="shared" si="97"/>
        <v>0.06</v>
      </c>
      <c r="D585" s="5">
        <f t="shared" si="98"/>
        <v>0.09</v>
      </c>
      <c r="E585" s="43">
        <f t="shared" si="99"/>
        <v>0.83333333333333348</v>
      </c>
      <c r="F585" s="43">
        <f t="shared" si="100"/>
        <v>1.666666666666667</v>
      </c>
      <c r="G585" s="43">
        <f t="shared" si="101"/>
        <v>3.3333333333333339</v>
      </c>
    </row>
    <row r="586" spans="1:7">
      <c r="A586">
        <v>220</v>
      </c>
      <c r="B586" s="5">
        <f t="shared" si="96"/>
        <v>0.03</v>
      </c>
      <c r="C586" s="5">
        <f t="shared" si="97"/>
        <v>0.06</v>
      </c>
      <c r="D586" s="5">
        <f t="shared" si="98"/>
        <v>0.09</v>
      </c>
      <c r="E586" s="43">
        <f t="shared" si="99"/>
        <v>0.83333333333333348</v>
      </c>
      <c r="F586" s="43">
        <f t="shared" si="100"/>
        <v>1.666666666666667</v>
      </c>
      <c r="G586" s="43">
        <f t="shared" si="101"/>
        <v>3.3333333333333339</v>
      </c>
    </row>
    <row r="587" spans="1:7">
      <c r="A587">
        <v>221</v>
      </c>
      <c r="B587" s="5">
        <f t="shared" si="96"/>
        <v>0.03</v>
      </c>
      <c r="C587" s="5">
        <f t="shared" si="97"/>
        <v>0.06</v>
      </c>
      <c r="D587" s="5">
        <f t="shared" si="98"/>
        <v>0.09</v>
      </c>
      <c r="E587" s="43">
        <f t="shared" si="99"/>
        <v>0.83333333333333348</v>
      </c>
      <c r="F587" s="43">
        <f t="shared" si="100"/>
        <v>1.666666666666667</v>
      </c>
      <c r="G587" s="43">
        <f t="shared" si="101"/>
        <v>3.3333333333333339</v>
      </c>
    </row>
    <row r="588" spans="1:7">
      <c r="A588">
        <v>222</v>
      </c>
      <c r="B588" s="5">
        <f t="shared" si="96"/>
        <v>0.03</v>
      </c>
      <c r="C588" s="5">
        <f t="shared" si="97"/>
        <v>0.06</v>
      </c>
      <c r="D588" s="5">
        <f t="shared" si="98"/>
        <v>0.09</v>
      </c>
      <c r="E588" s="43">
        <f t="shared" si="99"/>
        <v>0.83333333333333348</v>
      </c>
      <c r="F588" s="43">
        <f t="shared" si="100"/>
        <v>1.666666666666667</v>
      </c>
      <c r="G588" s="43">
        <f t="shared" si="101"/>
        <v>3.3333333333333339</v>
      </c>
    </row>
    <row r="589" spans="1:7">
      <c r="A589">
        <v>223</v>
      </c>
      <c r="B589" s="5">
        <f t="shared" si="96"/>
        <v>0.03</v>
      </c>
      <c r="C589" s="5">
        <f t="shared" si="97"/>
        <v>0.06</v>
      </c>
      <c r="D589" s="5">
        <f t="shared" si="98"/>
        <v>0.09</v>
      </c>
      <c r="E589" s="43">
        <f t="shared" si="99"/>
        <v>0.83333333333333348</v>
      </c>
      <c r="F589" s="43">
        <f t="shared" si="100"/>
        <v>1.666666666666667</v>
      </c>
      <c r="G589" s="43">
        <f t="shared" si="101"/>
        <v>3.3333333333333339</v>
      </c>
    </row>
    <row r="590" spans="1:7">
      <c r="A590">
        <v>224</v>
      </c>
      <c r="B590" s="5">
        <f t="shared" si="96"/>
        <v>0.03</v>
      </c>
      <c r="C590" s="5">
        <f t="shared" si="97"/>
        <v>0.06</v>
      </c>
      <c r="D590" s="5">
        <f t="shared" si="98"/>
        <v>0.09</v>
      </c>
      <c r="E590" s="43">
        <f t="shared" si="99"/>
        <v>0.83333333333333348</v>
      </c>
      <c r="F590" s="43">
        <f t="shared" si="100"/>
        <v>1.666666666666667</v>
      </c>
      <c r="G590" s="43">
        <f t="shared" si="101"/>
        <v>3.3333333333333339</v>
      </c>
    </row>
    <row r="591" spans="1:7">
      <c r="A591">
        <v>225</v>
      </c>
      <c r="B591" s="5">
        <f t="shared" si="96"/>
        <v>0.03</v>
      </c>
      <c r="C591" s="5">
        <f t="shared" si="97"/>
        <v>0.06</v>
      </c>
      <c r="D591" s="5">
        <f t="shared" si="98"/>
        <v>0.09</v>
      </c>
      <c r="E591" s="43">
        <f t="shared" si="99"/>
        <v>0.83333333333333348</v>
      </c>
      <c r="F591" s="43">
        <f t="shared" si="100"/>
        <v>1.666666666666667</v>
      </c>
      <c r="G591" s="43">
        <f t="shared" si="101"/>
        <v>3.3333333333333339</v>
      </c>
    </row>
    <row r="592" spans="1:7">
      <c r="A592">
        <v>226</v>
      </c>
      <c r="B592" s="5">
        <f t="shared" si="96"/>
        <v>0.03</v>
      </c>
      <c r="C592" s="5">
        <f t="shared" si="97"/>
        <v>0.06</v>
      </c>
      <c r="D592" s="5">
        <f t="shared" si="98"/>
        <v>0.09</v>
      </c>
      <c r="E592" s="43">
        <f t="shared" si="99"/>
        <v>0.83333333333333348</v>
      </c>
      <c r="F592" s="43">
        <f t="shared" si="100"/>
        <v>1.666666666666667</v>
      </c>
      <c r="G592" s="43">
        <f t="shared" si="101"/>
        <v>3.3333333333333339</v>
      </c>
    </row>
    <row r="593" spans="1:7">
      <c r="A593">
        <v>227</v>
      </c>
      <c r="B593" s="5">
        <f t="shared" si="96"/>
        <v>0.03</v>
      </c>
      <c r="C593" s="5">
        <f t="shared" si="97"/>
        <v>0.06</v>
      </c>
      <c r="D593" s="5">
        <f t="shared" si="98"/>
        <v>0.09</v>
      </c>
      <c r="E593" s="43">
        <f t="shared" si="99"/>
        <v>0.83333333333333348</v>
      </c>
      <c r="F593" s="43">
        <f t="shared" si="100"/>
        <v>1.666666666666667</v>
      </c>
      <c r="G593" s="43">
        <f t="shared" si="101"/>
        <v>3.3333333333333339</v>
      </c>
    </row>
    <row r="594" spans="1:7">
      <c r="A594">
        <v>228</v>
      </c>
      <c r="B594" s="5">
        <f t="shared" si="96"/>
        <v>0.03</v>
      </c>
      <c r="C594" s="5">
        <f t="shared" si="97"/>
        <v>0.06</v>
      </c>
      <c r="D594" s="5">
        <f t="shared" si="98"/>
        <v>0.09</v>
      </c>
      <c r="E594" s="43">
        <f t="shared" si="99"/>
        <v>0.83333333333333348</v>
      </c>
      <c r="F594" s="43">
        <f t="shared" si="100"/>
        <v>1.666666666666667</v>
      </c>
      <c r="G594" s="43">
        <f t="shared" si="101"/>
        <v>3.3333333333333339</v>
      </c>
    </row>
    <row r="595" spans="1:7">
      <c r="A595">
        <v>229</v>
      </c>
      <c r="B595" s="5">
        <f t="shared" si="96"/>
        <v>0.03</v>
      </c>
      <c r="C595" s="5">
        <f t="shared" si="97"/>
        <v>0.06</v>
      </c>
      <c r="D595" s="5">
        <f t="shared" si="98"/>
        <v>0.09</v>
      </c>
      <c r="E595" s="43">
        <f t="shared" si="99"/>
        <v>0.83333333333333348</v>
      </c>
      <c r="F595" s="43">
        <f t="shared" si="100"/>
        <v>1.666666666666667</v>
      </c>
      <c r="G595" s="43">
        <f t="shared" si="101"/>
        <v>3.3333333333333339</v>
      </c>
    </row>
    <row r="596" spans="1:7">
      <c r="A596">
        <v>230</v>
      </c>
      <c r="B596" s="5">
        <f t="shared" si="96"/>
        <v>0.03</v>
      </c>
      <c r="C596" s="5">
        <f t="shared" si="97"/>
        <v>0.06</v>
      </c>
      <c r="D596" s="5">
        <f t="shared" si="98"/>
        <v>0.09</v>
      </c>
      <c r="E596" s="43">
        <f t="shared" si="99"/>
        <v>0.83333333333333348</v>
      </c>
      <c r="F596" s="43">
        <f t="shared" si="100"/>
        <v>1.666666666666667</v>
      </c>
      <c r="G596" s="43">
        <f t="shared" si="101"/>
        <v>3.3333333333333339</v>
      </c>
    </row>
    <row r="597" spans="1:7">
      <c r="A597">
        <v>231</v>
      </c>
      <c r="B597" s="5">
        <f t="shared" si="96"/>
        <v>0.03</v>
      </c>
      <c r="C597" s="5">
        <f t="shared" si="97"/>
        <v>0.06</v>
      </c>
      <c r="D597" s="5">
        <f t="shared" si="98"/>
        <v>0.09</v>
      </c>
      <c r="E597" s="43">
        <f t="shared" si="99"/>
        <v>0.83333333333333348</v>
      </c>
      <c r="F597" s="43">
        <f t="shared" si="100"/>
        <v>1.666666666666667</v>
      </c>
      <c r="G597" s="43">
        <f t="shared" si="101"/>
        <v>3.3333333333333339</v>
      </c>
    </row>
    <row r="598" spans="1:7">
      <c r="A598">
        <v>232</v>
      </c>
      <c r="B598" s="5">
        <f t="shared" si="96"/>
        <v>0.03</v>
      </c>
      <c r="C598" s="5">
        <f t="shared" si="97"/>
        <v>0.06</v>
      </c>
      <c r="D598" s="5">
        <f t="shared" si="98"/>
        <v>0.09</v>
      </c>
      <c r="E598" s="43">
        <f t="shared" si="99"/>
        <v>0.83333333333333348</v>
      </c>
      <c r="F598" s="43">
        <f t="shared" si="100"/>
        <v>1.666666666666667</v>
      </c>
      <c r="G598" s="43">
        <f t="shared" si="101"/>
        <v>3.3333333333333339</v>
      </c>
    </row>
    <row r="599" spans="1:7">
      <c r="A599">
        <v>233</v>
      </c>
      <c r="B599" s="5">
        <f t="shared" si="96"/>
        <v>0.03</v>
      </c>
      <c r="C599" s="5">
        <f t="shared" si="97"/>
        <v>0.06</v>
      </c>
      <c r="D599" s="5">
        <f t="shared" si="98"/>
        <v>0.09</v>
      </c>
      <c r="E599" s="43">
        <f t="shared" si="99"/>
        <v>0.83333333333333348</v>
      </c>
      <c r="F599" s="43">
        <f t="shared" si="100"/>
        <v>1.666666666666667</v>
      </c>
      <c r="G599" s="43">
        <f t="shared" si="101"/>
        <v>3.3333333333333339</v>
      </c>
    </row>
    <row r="600" spans="1:7">
      <c r="A600">
        <v>234</v>
      </c>
      <c r="B600" s="5">
        <f t="shared" si="96"/>
        <v>0.03</v>
      </c>
      <c r="C600" s="5">
        <f t="shared" si="97"/>
        <v>0.06</v>
      </c>
      <c r="D600" s="5">
        <f t="shared" si="98"/>
        <v>0.09</v>
      </c>
      <c r="E600" s="43">
        <f t="shared" si="99"/>
        <v>0.83333333333333348</v>
      </c>
      <c r="F600" s="43">
        <f t="shared" si="100"/>
        <v>1.666666666666667</v>
      </c>
      <c r="G600" s="43">
        <f t="shared" si="101"/>
        <v>3.3333333333333339</v>
      </c>
    </row>
    <row r="601" spans="1:7">
      <c r="A601">
        <v>235</v>
      </c>
      <c r="B601" s="5">
        <f t="shared" si="96"/>
        <v>0.03</v>
      </c>
      <c r="C601" s="5">
        <f t="shared" si="97"/>
        <v>0.06</v>
      </c>
      <c r="D601" s="5">
        <f t="shared" si="98"/>
        <v>0.09</v>
      </c>
      <c r="E601" s="43">
        <f t="shared" si="99"/>
        <v>0.83333333333333348</v>
      </c>
      <c r="F601" s="43">
        <f t="shared" si="100"/>
        <v>1.666666666666667</v>
      </c>
      <c r="G601" s="43">
        <f t="shared" si="101"/>
        <v>3.3333333333333339</v>
      </c>
    </row>
    <row r="602" spans="1:7">
      <c r="A602">
        <v>236</v>
      </c>
      <c r="B602" s="5">
        <f t="shared" si="96"/>
        <v>0.03</v>
      </c>
      <c r="C602" s="5">
        <f t="shared" si="97"/>
        <v>0.06</v>
      </c>
      <c r="D602" s="5">
        <f t="shared" si="98"/>
        <v>0.09</v>
      </c>
      <c r="E602" s="43">
        <f t="shared" si="99"/>
        <v>0.83333333333333348</v>
      </c>
      <c r="F602" s="43">
        <f t="shared" si="100"/>
        <v>1.666666666666667</v>
      </c>
      <c r="G602" s="43">
        <f t="shared" si="101"/>
        <v>3.3333333333333339</v>
      </c>
    </row>
    <row r="603" spans="1:7">
      <c r="A603">
        <v>237</v>
      </c>
      <c r="B603" s="5">
        <f t="shared" si="96"/>
        <v>0.03</v>
      </c>
      <c r="C603" s="5">
        <f t="shared" si="97"/>
        <v>0.06</v>
      </c>
      <c r="D603" s="5">
        <f t="shared" si="98"/>
        <v>0.09</v>
      </c>
      <c r="E603" s="43">
        <f t="shared" si="99"/>
        <v>0.83333333333333348</v>
      </c>
      <c r="F603" s="43">
        <f t="shared" si="100"/>
        <v>1.666666666666667</v>
      </c>
      <c r="G603" s="43">
        <f t="shared" si="101"/>
        <v>3.3333333333333339</v>
      </c>
    </row>
    <row r="604" spans="1:7">
      <c r="A604">
        <v>238</v>
      </c>
      <c r="B604" s="5">
        <f t="shared" si="96"/>
        <v>0.03</v>
      </c>
      <c r="C604" s="5">
        <f t="shared" si="97"/>
        <v>0.06</v>
      </c>
      <c r="D604" s="5">
        <f t="shared" si="98"/>
        <v>0.09</v>
      </c>
      <c r="E604" s="43">
        <f t="shared" si="99"/>
        <v>0.83333333333333348</v>
      </c>
      <c r="F604" s="43">
        <f t="shared" si="100"/>
        <v>1.666666666666667</v>
      </c>
      <c r="G604" s="43">
        <f t="shared" si="101"/>
        <v>3.3333333333333339</v>
      </c>
    </row>
    <row r="605" spans="1:7">
      <c r="A605">
        <v>239</v>
      </c>
      <c r="B605" s="5">
        <f t="shared" si="96"/>
        <v>0.03</v>
      </c>
      <c r="C605" s="5">
        <f t="shared" si="97"/>
        <v>0.06</v>
      </c>
      <c r="D605" s="5">
        <f t="shared" si="98"/>
        <v>0.09</v>
      </c>
      <c r="E605" s="43">
        <f t="shared" si="99"/>
        <v>0.83333333333333348</v>
      </c>
      <c r="F605" s="43">
        <f t="shared" si="100"/>
        <v>1.666666666666667</v>
      </c>
      <c r="G605" s="43">
        <f t="shared" si="101"/>
        <v>3.3333333333333339</v>
      </c>
    </row>
    <row r="606" spans="1:7">
      <c r="A606">
        <v>240</v>
      </c>
      <c r="B606" s="5">
        <f t="shared" si="96"/>
        <v>0.03</v>
      </c>
      <c r="C606" s="5">
        <f t="shared" si="97"/>
        <v>0.06</v>
      </c>
      <c r="D606" s="5">
        <f t="shared" si="98"/>
        <v>0.09</v>
      </c>
      <c r="E606" s="43">
        <f t="shared" si="99"/>
        <v>0.83333333333333348</v>
      </c>
      <c r="F606" s="43">
        <f t="shared" si="100"/>
        <v>1.666666666666667</v>
      </c>
      <c r="G606" s="43">
        <f t="shared" si="101"/>
        <v>3.3333333333333339</v>
      </c>
    </row>
    <row r="607" spans="1:7">
      <c r="A607">
        <v>241</v>
      </c>
      <c r="B607" s="5">
        <f t="shared" si="96"/>
        <v>0.03</v>
      </c>
      <c r="C607" s="5">
        <f t="shared" si="97"/>
        <v>0.06</v>
      </c>
      <c r="D607" s="5">
        <f t="shared" si="98"/>
        <v>0.09</v>
      </c>
      <c r="E607" s="43">
        <f t="shared" si="99"/>
        <v>0.83333333333333348</v>
      </c>
      <c r="F607" s="43">
        <f t="shared" si="100"/>
        <v>1.666666666666667</v>
      </c>
      <c r="G607" s="43">
        <f t="shared" si="101"/>
        <v>3.3333333333333339</v>
      </c>
    </row>
    <row r="608" spans="1:7">
      <c r="A608">
        <v>242</v>
      </c>
      <c r="B608" s="5">
        <f t="shared" si="96"/>
        <v>0.03</v>
      </c>
      <c r="C608" s="5">
        <f t="shared" si="97"/>
        <v>0.06</v>
      </c>
      <c r="D608" s="5">
        <f t="shared" si="98"/>
        <v>0.09</v>
      </c>
      <c r="E608" s="43">
        <f t="shared" si="99"/>
        <v>0.83333333333333348</v>
      </c>
      <c r="F608" s="43">
        <f t="shared" si="100"/>
        <v>1.666666666666667</v>
      </c>
      <c r="G608" s="43">
        <f t="shared" si="101"/>
        <v>3.3333333333333339</v>
      </c>
    </row>
    <row r="609" spans="1:7">
      <c r="A609">
        <v>243</v>
      </c>
      <c r="B609" s="5">
        <f t="shared" si="96"/>
        <v>0.03</v>
      </c>
      <c r="C609" s="5">
        <f t="shared" si="97"/>
        <v>0.06</v>
      </c>
      <c r="D609" s="5">
        <f t="shared" si="98"/>
        <v>0.09</v>
      </c>
      <c r="E609" s="43">
        <f t="shared" si="99"/>
        <v>0.83333333333333348</v>
      </c>
      <c r="F609" s="43">
        <f t="shared" si="100"/>
        <v>1.666666666666667</v>
      </c>
      <c r="G609" s="43">
        <f t="shared" si="101"/>
        <v>3.3333333333333339</v>
      </c>
    </row>
    <row r="610" spans="1:7">
      <c r="A610">
        <v>244</v>
      </c>
      <c r="B610" s="5">
        <f t="shared" si="96"/>
        <v>0.03</v>
      </c>
      <c r="C610" s="5">
        <f t="shared" si="97"/>
        <v>0.06</v>
      </c>
      <c r="D610" s="5">
        <f t="shared" si="98"/>
        <v>0.09</v>
      </c>
      <c r="E610" s="43">
        <f t="shared" si="99"/>
        <v>0.83333333333333348</v>
      </c>
      <c r="F610" s="43">
        <f t="shared" si="100"/>
        <v>1.666666666666667</v>
      </c>
      <c r="G610" s="43">
        <f t="shared" si="101"/>
        <v>3.3333333333333339</v>
      </c>
    </row>
    <row r="611" spans="1:7">
      <c r="A611">
        <v>245</v>
      </c>
      <c r="B611" s="5">
        <f t="shared" si="96"/>
        <v>0.03</v>
      </c>
      <c r="C611" s="5">
        <f t="shared" si="97"/>
        <v>0.06</v>
      </c>
      <c r="D611" s="5">
        <f t="shared" si="98"/>
        <v>0.09</v>
      </c>
      <c r="E611" s="43">
        <f t="shared" si="99"/>
        <v>0.83333333333333348</v>
      </c>
      <c r="F611" s="43">
        <f t="shared" si="100"/>
        <v>1.666666666666667</v>
      </c>
      <c r="G611" s="43">
        <f t="shared" si="101"/>
        <v>3.3333333333333339</v>
      </c>
    </row>
    <row r="612" spans="1:7">
      <c r="A612">
        <v>246</v>
      </c>
      <c r="B612" s="5">
        <f t="shared" si="96"/>
        <v>0.03</v>
      </c>
      <c r="C612" s="5">
        <f t="shared" si="97"/>
        <v>0.06</v>
      </c>
      <c r="D612" s="5">
        <f t="shared" si="98"/>
        <v>0.09</v>
      </c>
      <c r="E612" s="43">
        <f t="shared" si="99"/>
        <v>0.83333333333333348</v>
      </c>
      <c r="F612" s="43">
        <f t="shared" si="100"/>
        <v>1.666666666666667</v>
      </c>
      <c r="G612" s="43">
        <f t="shared" si="101"/>
        <v>3.3333333333333339</v>
      </c>
    </row>
    <row r="613" spans="1:7">
      <c r="A613">
        <v>247</v>
      </c>
      <c r="B613" s="5">
        <f t="shared" si="96"/>
        <v>0.03</v>
      </c>
      <c r="C613" s="5">
        <f t="shared" si="97"/>
        <v>0.06</v>
      </c>
      <c r="D613" s="5">
        <f t="shared" si="98"/>
        <v>0.09</v>
      </c>
      <c r="E613" s="43">
        <f t="shared" si="99"/>
        <v>0.83333333333333348</v>
      </c>
      <c r="F613" s="43">
        <f t="shared" si="100"/>
        <v>1.666666666666667</v>
      </c>
      <c r="G613" s="43">
        <f t="shared" si="101"/>
        <v>3.3333333333333339</v>
      </c>
    </row>
    <row r="614" spans="1:7">
      <c r="A614">
        <v>248</v>
      </c>
      <c r="B614" s="5">
        <f t="shared" si="96"/>
        <v>0.03</v>
      </c>
      <c r="C614" s="5">
        <f t="shared" si="97"/>
        <v>0.06</v>
      </c>
      <c r="D614" s="5">
        <f t="shared" si="98"/>
        <v>0.09</v>
      </c>
      <c r="E614" s="43">
        <f t="shared" si="99"/>
        <v>0.83333333333333348</v>
      </c>
      <c r="F614" s="43">
        <f t="shared" si="100"/>
        <v>1.666666666666667</v>
      </c>
      <c r="G614" s="43">
        <f t="shared" si="101"/>
        <v>3.3333333333333339</v>
      </c>
    </row>
    <row r="615" spans="1:7">
      <c r="A615">
        <v>249</v>
      </c>
      <c r="B615" s="5">
        <f t="shared" si="96"/>
        <v>0.03</v>
      </c>
      <c r="C615" s="5">
        <f t="shared" si="97"/>
        <v>0.06</v>
      </c>
      <c r="D615" s="5">
        <f t="shared" si="98"/>
        <v>0.09</v>
      </c>
      <c r="E615" s="43">
        <f t="shared" si="99"/>
        <v>0.83333333333333348</v>
      </c>
      <c r="F615" s="43">
        <f t="shared" si="100"/>
        <v>1.666666666666667</v>
      </c>
      <c r="G615" s="43">
        <f t="shared" si="101"/>
        <v>3.3333333333333339</v>
      </c>
    </row>
    <row r="616" spans="1:7">
      <c r="A616">
        <v>250</v>
      </c>
      <c r="B616" s="5">
        <f t="shared" si="96"/>
        <v>0.03</v>
      </c>
      <c r="C616" s="5">
        <f t="shared" si="97"/>
        <v>0.06</v>
      </c>
      <c r="D616" s="5">
        <f t="shared" si="98"/>
        <v>0.09</v>
      </c>
      <c r="E616" s="43">
        <f t="shared" si="99"/>
        <v>0.83333333333333348</v>
      </c>
      <c r="F616" s="43">
        <f t="shared" si="100"/>
        <v>1.666666666666667</v>
      </c>
      <c r="G616" s="43">
        <f t="shared" si="101"/>
        <v>3.3333333333333339</v>
      </c>
    </row>
    <row r="617" spans="1:7">
      <c r="A617">
        <v>251</v>
      </c>
      <c r="B617" s="5">
        <f t="shared" si="96"/>
        <v>0.03</v>
      </c>
      <c r="C617" s="5">
        <f t="shared" si="97"/>
        <v>0.06</v>
      </c>
      <c r="D617" s="5">
        <f t="shared" si="98"/>
        <v>0.09</v>
      </c>
      <c r="E617" s="43">
        <f t="shared" si="99"/>
        <v>0.83333333333333348</v>
      </c>
      <c r="F617" s="43">
        <f t="shared" si="100"/>
        <v>1.666666666666667</v>
      </c>
      <c r="G617" s="43">
        <f t="shared" si="101"/>
        <v>3.3333333333333339</v>
      </c>
    </row>
    <row r="618" spans="1:7">
      <c r="A618">
        <v>252</v>
      </c>
      <c r="B618" s="5">
        <f t="shared" si="96"/>
        <v>0.03</v>
      </c>
      <c r="C618" s="5">
        <f t="shared" si="97"/>
        <v>0.06</v>
      </c>
      <c r="D618" s="5">
        <f t="shared" si="98"/>
        <v>0.09</v>
      </c>
      <c r="E618" s="43">
        <f t="shared" si="99"/>
        <v>0.83333333333333348</v>
      </c>
      <c r="F618" s="43">
        <f t="shared" si="100"/>
        <v>1.666666666666667</v>
      </c>
      <c r="G618" s="43">
        <f t="shared" si="101"/>
        <v>3.3333333333333339</v>
      </c>
    </row>
    <row r="619" spans="1:7">
      <c r="A619">
        <v>253</v>
      </c>
      <c r="B619" s="5">
        <f t="shared" si="96"/>
        <v>0.03</v>
      </c>
      <c r="C619" s="5">
        <f t="shared" si="97"/>
        <v>0.06</v>
      </c>
      <c r="D619" s="5">
        <f t="shared" si="98"/>
        <v>0.09</v>
      </c>
      <c r="E619" s="43">
        <f t="shared" si="99"/>
        <v>0.83333333333333348</v>
      </c>
      <c r="F619" s="43">
        <f t="shared" si="100"/>
        <v>1.666666666666667</v>
      </c>
      <c r="G619" s="43">
        <f t="shared" si="101"/>
        <v>3.3333333333333339</v>
      </c>
    </row>
    <row r="620" spans="1:7">
      <c r="A620">
        <v>254</v>
      </c>
      <c r="B620" s="5">
        <f t="shared" si="96"/>
        <v>0.03</v>
      </c>
      <c r="C620" s="5">
        <f t="shared" si="97"/>
        <v>0.06</v>
      </c>
      <c r="D620" s="5">
        <f t="shared" si="98"/>
        <v>0.09</v>
      </c>
      <c r="E620" s="43">
        <f t="shared" si="99"/>
        <v>0.83333333333333348</v>
      </c>
      <c r="F620" s="43">
        <f t="shared" si="100"/>
        <v>1.666666666666667</v>
      </c>
      <c r="G620" s="43">
        <f t="shared" si="101"/>
        <v>3.3333333333333339</v>
      </c>
    </row>
    <row r="621" spans="1:7">
      <c r="A621">
        <v>255</v>
      </c>
      <c r="B621" s="5">
        <f t="shared" si="96"/>
        <v>0.03</v>
      </c>
      <c r="C621" s="5">
        <f t="shared" si="97"/>
        <v>0.06</v>
      </c>
      <c r="D621" s="5">
        <f t="shared" si="98"/>
        <v>0.09</v>
      </c>
      <c r="E621" s="43">
        <f t="shared" si="99"/>
        <v>0.83333333333333348</v>
      </c>
      <c r="F621" s="43">
        <f t="shared" si="100"/>
        <v>1.666666666666667</v>
      </c>
      <c r="G621" s="43">
        <f t="shared" si="101"/>
        <v>3.3333333333333339</v>
      </c>
    </row>
    <row r="622" spans="1:7">
      <c r="A622">
        <v>256</v>
      </c>
      <c r="B622" s="5">
        <f t="shared" si="96"/>
        <v>0.03</v>
      </c>
      <c r="C622" s="5">
        <f t="shared" si="97"/>
        <v>0.06</v>
      </c>
      <c r="D622" s="5">
        <f t="shared" si="98"/>
        <v>0.09</v>
      </c>
      <c r="E622" s="43">
        <f t="shared" si="99"/>
        <v>0.83333333333333348</v>
      </c>
      <c r="F622" s="43">
        <f t="shared" si="100"/>
        <v>1.666666666666667</v>
      </c>
      <c r="G622" s="43">
        <f t="shared" si="101"/>
        <v>3.3333333333333339</v>
      </c>
    </row>
    <row r="623" spans="1:7">
      <c r="A623">
        <v>257</v>
      </c>
      <c r="B623" s="5">
        <f t="shared" si="96"/>
        <v>0.03</v>
      </c>
      <c r="C623" s="5">
        <f t="shared" si="97"/>
        <v>0.06</v>
      </c>
      <c r="D623" s="5">
        <f t="shared" si="98"/>
        <v>0.09</v>
      </c>
      <c r="E623" s="43">
        <f t="shared" si="99"/>
        <v>0.83333333333333348</v>
      </c>
      <c r="F623" s="43">
        <f t="shared" si="100"/>
        <v>1.666666666666667</v>
      </c>
      <c r="G623" s="43">
        <f t="shared" si="101"/>
        <v>3.3333333333333339</v>
      </c>
    </row>
    <row r="624" spans="1:7">
      <c r="A624">
        <v>258</v>
      </c>
      <c r="B624" s="5">
        <f t="shared" ref="B624:B687" si="102">(50/100)*(IF(A624&lt;=30,0.06*(A624/30),0.06))</f>
        <v>0.03</v>
      </c>
      <c r="C624" s="5">
        <f t="shared" ref="C624:C687" si="103">(100/100)*(IF(A624&lt;=30,0.06*(A624/30),0.06))</f>
        <v>0.06</v>
      </c>
      <c r="D624" s="5">
        <f t="shared" ref="D624:D687" si="104">(150/100)*(IF(A624&lt;=30,0.06*(A624/30),0.06))</f>
        <v>0.09</v>
      </c>
      <c r="E624" s="43">
        <f t="shared" ref="E624:E687" si="105">(5/100)*IF(A624&gt;30, 100/6, (100/6)*(30/A624))</f>
        <v>0.83333333333333348</v>
      </c>
      <c r="F624" s="43">
        <f t="shared" ref="F624:F687" si="106">(10/100)*IF(A624&gt;30, 100/6, (100/6)*(30/A624))</f>
        <v>1.666666666666667</v>
      </c>
      <c r="G624" s="43">
        <f t="shared" ref="G624:G687" si="107">(20/100)*IF(A624&gt;30, 100/6, (100/6)*(30/A624))</f>
        <v>3.3333333333333339</v>
      </c>
    </row>
    <row r="625" spans="1:7">
      <c r="A625">
        <v>259</v>
      </c>
      <c r="B625" s="5">
        <f t="shared" si="102"/>
        <v>0.03</v>
      </c>
      <c r="C625" s="5">
        <f t="shared" si="103"/>
        <v>0.06</v>
      </c>
      <c r="D625" s="5">
        <f t="shared" si="104"/>
        <v>0.09</v>
      </c>
      <c r="E625" s="43">
        <f t="shared" si="105"/>
        <v>0.83333333333333348</v>
      </c>
      <c r="F625" s="43">
        <f t="shared" si="106"/>
        <v>1.666666666666667</v>
      </c>
      <c r="G625" s="43">
        <f t="shared" si="107"/>
        <v>3.3333333333333339</v>
      </c>
    </row>
    <row r="626" spans="1:7">
      <c r="A626">
        <v>260</v>
      </c>
      <c r="B626" s="5">
        <f t="shared" si="102"/>
        <v>0.03</v>
      </c>
      <c r="C626" s="5">
        <f t="shared" si="103"/>
        <v>0.06</v>
      </c>
      <c r="D626" s="5">
        <f t="shared" si="104"/>
        <v>0.09</v>
      </c>
      <c r="E626" s="43">
        <f t="shared" si="105"/>
        <v>0.83333333333333348</v>
      </c>
      <c r="F626" s="43">
        <f t="shared" si="106"/>
        <v>1.666666666666667</v>
      </c>
      <c r="G626" s="43">
        <f t="shared" si="107"/>
        <v>3.3333333333333339</v>
      </c>
    </row>
    <row r="627" spans="1:7">
      <c r="A627">
        <v>261</v>
      </c>
      <c r="B627" s="5">
        <f t="shared" si="102"/>
        <v>0.03</v>
      </c>
      <c r="C627" s="5">
        <f t="shared" si="103"/>
        <v>0.06</v>
      </c>
      <c r="D627" s="5">
        <f t="shared" si="104"/>
        <v>0.09</v>
      </c>
      <c r="E627" s="43">
        <f t="shared" si="105"/>
        <v>0.83333333333333348</v>
      </c>
      <c r="F627" s="43">
        <f t="shared" si="106"/>
        <v>1.666666666666667</v>
      </c>
      <c r="G627" s="43">
        <f t="shared" si="107"/>
        <v>3.3333333333333339</v>
      </c>
    </row>
    <row r="628" spans="1:7">
      <c r="A628">
        <v>262</v>
      </c>
      <c r="B628" s="5">
        <f t="shared" si="102"/>
        <v>0.03</v>
      </c>
      <c r="C628" s="5">
        <f t="shared" si="103"/>
        <v>0.06</v>
      </c>
      <c r="D628" s="5">
        <f t="shared" si="104"/>
        <v>0.09</v>
      </c>
      <c r="E628" s="43">
        <f t="shared" si="105"/>
        <v>0.83333333333333348</v>
      </c>
      <c r="F628" s="43">
        <f t="shared" si="106"/>
        <v>1.666666666666667</v>
      </c>
      <c r="G628" s="43">
        <f t="shared" si="107"/>
        <v>3.3333333333333339</v>
      </c>
    </row>
    <row r="629" spans="1:7">
      <c r="A629">
        <v>263</v>
      </c>
      <c r="B629" s="5">
        <f t="shared" si="102"/>
        <v>0.03</v>
      </c>
      <c r="C629" s="5">
        <f t="shared" si="103"/>
        <v>0.06</v>
      </c>
      <c r="D629" s="5">
        <f t="shared" si="104"/>
        <v>0.09</v>
      </c>
      <c r="E629" s="43">
        <f t="shared" si="105"/>
        <v>0.83333333333333348</v>
      </c>
      <c r="F629" s="43">
        <f t="shared" si="106"/>
        <v>1.666666666666667</v>
      </c>
      <c r="G629" s="43">
        <f t="shared" si="107"/>
        <v>3.3333333333333339</v>
      </c>
    </row>
    <row r="630" spans="1:7">
      <c r="A630">
        <v>264</v>
      </c>
      <c r="B630" s="5">
        <f t="shared" si="102"/>
        <v>0.03</v>
      </c>
      <c r="C630" s="5">
        <f t="shared" si="103"/>
        <v>0.06</v>
      </c>
      <c r="D630" s="5">
        <f t="shared" si="104"/>
        <v>0.09</v>
      </c>
      <c r="E630" s="43">
        <f t="shared" si="105"/>
        <v>0.83333333333333348</v>
      </c>
      <c r="F630" s="43">
        <f t="shared" si="106"/>
        <v>1.666666666666667</v>
      </c>
      <c r="G630" s="43">
        <f t="shared" si="107"/>
        <v>3.3333333333333339</v>
      </c>
    </row>
    <row r="631" spans="1:7">
      <c r="A631">
        <v>265</v>
      </c>
      <c r="B631" s="5">
        <f t="shared" si="102"/>
        <v>0.03</v>
      </c>
      <c r="C631" s="5">
        <f t="shared" si="103"/>
        <v>0.06</v>
      </c>
      <c r="D631" s="5">
        <f t="shared" si="104"/>
        <v>0.09</v>
      </c>
      <c r="E631" s="43">
        <f t="shared" si="105"/>
        <v>0.83333333333333348</v>
      </c>
      <c r="F631" s="43">
        <f t="shared" si="106"/>
        <v>1.666666666666667</v>
      </c>
      <c r="G631" s="43">
        <f t="shared" si="107"/>
        <v>3.3333333333333339</v>
      </c>
    </row>
    <row r="632" spans="1:7">
      <c r="A632">
        <v>266</v>
      </c>
      <c r="B632" s="5">
        <f t="shared" si="102"/>
        <v>0.03</v>
      </c>
      <c r="C632" s="5">
        <f t="shared" si="103"/>
        <v>0.06</v>
      </c>
      <c r="D632" s="5">
        <f t="shared" si="104"/>
        <v>0.09</v>
      </c>
      <c r="E632" s="43">
        <f t="shared" si="105"/>
        <v>0.83333333333333348</v>
      </c>
      <c r="F632" s="43">
        <f t="shared" si="106"/>
        <v>1.666666666666667</v>
      </c>
      <c r="G632" s="43">
        <f t="shared" si="107"/>
        <v>3.3333333333333339</v>
      </c>
    </row>
    <row r="633" spans="1:7">
      <c r="A633">
        <v>267</v>
      </c>
      <c r="B633" s="5">
        <f t="shared" si="102"/>
        <v>0.03</v>
      </c>
      <c r="C633" s="5">
        <f t="shared" si="103"/>
        <v>0.06</v>
      </c>
      <c r="D633" s="5">
        <f t="shared" si="104"/>
        <v>0.09</v>
      </c>
      <c r="E633" s="43">
        <f t="shared" si="105"/>
        <v>0.83333333333333348</v>
      </c>
      <c r="F633" s="43">
        <f t="shared" si="106"/>
        <v>1.666666666666667</v>
      </c>
      <c r="G633" s="43">
        <f t="shared" si="107"/>
        <v>3.3333333333333339</v>
      </c>
    </row>
    <row r="634" spans="1:7">
      <c r="A634">
        <v>268</v>
      </c>
      <c r="B634" s="5">
        <f t="shared" si="102"/>
        <v>0.03</v>
      </c>
      <c r="C634" s="5">
        <f t="shared" si="103"/>
        <v>0.06</v>
      </c>
      <c r="D634" s="5">
        <f t="shared" si="104"/>
        <v>0.09</v>
      </c>
      <c r="E634" s="43">
        <f t="shared" si="105"/>
        <v>0.83333333333333348</v>
      </c>
      <c r="F634" s="43">
        <f t="shared" si="106"/>
        <v>1.666666666666667</v>
      </c>
      <c r="G634" s="43">
        <f t="shared" si="107"/>
        <v>3.3333333333333339</v>
      </c>
    </row>
    <row r="635" spans="1:7">
      <c r="A635">
        <v>269</v>
      </c>
      <c r="B635" s="5">
        <f t="shared" si="102"/>
        <v>0.03</v>
      </c>
      <c r="C635" s="5">
        <f t="shared" si="103"/>
        <v>0.06</v>
      </c>
      <c r="D635" s="5">
        <f t="shared" si="104"/>
        <v>0.09</v>
      </c>
      <c r="E635" s="43">
        <f t="shared" si="105"/>
        <v>0.83333333333333348</v>
      </c>
      <c r="F635" s="43">
        <f t="shared" si="106"/>
        <v>1.666666666666667</v>
      </c>
      <c r="G635" s="43">
        <f t="shared" si="107"/>
        <v>3.3333333333333339</v>
      </c>
    </row>
    <row r="636" spans="1:7">
      <c r="A636">
        <v>270</v>
      </c>
      <c r="B636" s="5">
        <f t="shared" si="102"/>
        <v>0.03</v>
      </c>
      <c r="C636" s="5">
        <f t="shared" si="103"/>
        <v>0.06</v>
      </c>
      <c r="D636" s="5">
        <f t="shared" si="104"/>
        <v>0.09</v>
      </c>
      <c r="E636" s="43">
        <f t="shared" si="105"/>
        <v>0.83333333333333348</v>
      </c>
      <c r="F636" s="43">
        <f t="shared" si="106"/>
        <v>1.666666666666667</v>
      </c>
      <c r="G636" s="43">
        <f t="shared" si="107"/>
        <v>3.3333333333333339</v>
      </c>
    </row>
    <row r="637" spans="1:7">
      <c r="A637">
        <v>271</v>
      </c>
      <c r="B637" s="5">
        <f t="shared" si="102"/>
        <v>0.03</v>
      </c>
      <c r="C637" s="5">
        <f t="shared" si="103"/>
        <v>0.06</v>
      </c>
      <c r="D637" s="5">
        <f t="shared" si="104"/>
        <v>0.09</v>
      </c>
      <c r="E637" s="43">
        <f t="shared" si="105"/>
        <v>0.83333333333333348</v>
      </c>
      <c r="F637" s="43">
        <f t="shared" si="106"/>
        <v>1.666666666666667</v>
      </c>
      <c r="G637" s="43">
        <f t="shared" si="107"/>
        <v>3.3333333333333339</v>
      </c>
    </row>
    <row r="638" spans="1:7">
      <c r="A638">
        <v>272</v>
      </c>
      <c r="B638" s="5">
        <f t="shared" si="102"/>
        <v>0.03</v>
      </c>
      <c r="C638" s="5">
        <f t="shared" si="103"/>
        <v>0.06</v>
      </c>
      <c r="D638" s="5">
        <f t="shared" si="104"/>
        <v>0.09</v>
      </c>
      <c r="E638" s="43">
        <f t="shared" si="105"/>
        <v>0.83333333333333348</v>
      </c>
      <c r="F638" s="43">
        <f t="shared" si="106"/>
        <v>1.666666666666667</v>
      </c>
      <c r="G638" s="43">
        <f t="shared" si="107"/>
        <v>3.3333333333333339</v>
      </c>
    </row>
    <row r="639" spans="1:7">
      <c r="A639">
        <v>273</v>
      </c>
      <c r="B639" s="5">
        <f t="shared" si="102"/>
        <v>0.03</v>
      </c>
      <c r="C639" s="5">
        <f t="shared" si="103"/>
        <v>0.06</v>
      </c>
      <c r="D639" s="5">
        <f t="shared" si="104"/>
        <v>0.09</v>
      </c>
      <c r="E639" s="43">
        <f t="shared" si="105"/>
        <v>0.83333333333333348</v>
      </c>
      <c r="F639" s="43">
        <f t="shared" si="106"/>
        <v>1.666666666666667</v>
      </c>
      <c r="G639" s="43">
        <f t="shared" si="107"/>
        <v>3.3333333333333339</v>
      </c>
    </row>
    <row r="640" spans="1:7">
      <c r="A640">
        <v>274</v>
      </c>
      <c r="B640" s="5">
        <f t="shared" si="102"/>
        <v>0.03</v>
      </c>
      <c r="C640" s="5">
        <f t="shared" si="103"/>
        <v>0.06</v>
      </c>
      <c r="D640" s="5">
        <f t="shared" si="104"/>
        <v>0.09</v>
      </c>
      <c r="E640" s="43">
        <f t="shared" si="105"/>
        <v>0.83333333333333348</v>
      </c>
      <c r="F640" s="43">
        <f t="shared" si="106"/>
        <v>1.666666666666667</v>
      </c>
      <c r="G640" s="43">
        <f t="shared" si="107"/>
        <v>3.3333333333333339</v>
      </c>
    </row>
    <row r="641" spans="1:7">
      <c r="A641">
        <v>275</v>
      </c>
      <c r="B641" s="5">
        <f t="shared" si="102"/>
        <v>0.03</v>
      </c>
      <c r="C641" s="5">
        <f t="shared" si="103"/>
        <v>0.06</v>
      </c>
      <c r="D641" s="5">
        <f t="shared" si="104"/>
        <v>0.09</v>
      </c>
      <c r="E641" s="43">
        <f t="shared" si="105"/>
        <v>0.83333333333333348</v>
      </c>
      <c r="F641" s="43">
        <f t="shared" si="106"/>
        <v>1.666666666666667</v>
      </c>
      <c r="G641" s="43">
        <f t="shared" si="107"/>
        <v>3.3333333333333339</v>
      </c>
    </row>
    <row r="642" spans="1:7">
      <c r="A642">
        <v>276</v>
      </c>
      <c r="B642" s="5">
        <f t="shared" si="102"/>
        <v>0.03</v>
      </c>
      <c r="C642" s="5">
        <f t="shared" si="103"/>
        <v>0.06</v>
      </c>
      <c r="D642" s="5">
        <f t="shared" si="104"/>
        <v>0.09</v>
      </c>
      <c r="E642" s="43">
        <f t="shared" si="105"/>
        <v>0.83333333333333348</v>
      </c>
      <c r="F642" s="43">
        <f t="shared" si="106"/>
        <v>1.666666666666667</v>
      </c>
      <c r="G642" s="43">
        <f t="shared" si="107"/>
        <v>3.3333333333333339</v>
      </c>
    </row>
    <row r="643" spans="1:7">
      <c r="A643">
        <v>277</v>
      </c>
      <c r="B643" s="5">
        <f t="shared" si="102"/>
        <v>0.03</v>
      </c>
      <c r="C643" s="5">
        <f t="shared" si="103"/>
        <v>0.06</v>
      </c>
      <c r="D643" s="5">
        <f t="shared" si="104"/>
        <v>0.09</v>
      </c>
      <c r="E643" s="43">
        <f t="shared" si="105"/>
        <v>0.83333333333333348</v>
      </c>
      <c r="F643" s="43">
        <f t="shared" si="106"/>
        <v>1.666666666666667</v>
      </c>
      <c r="G643" s="43">
        <f t="shared" si="107"/>
        <v>3.3333333333333339</v>
      </c>
    </row>
    <row r="644" spans="1:7">
      <c r="A644">
        <v>278</v>
      </c>
      <c r="B644" s="5">
        <f t="shared" si="102"/>
        <v>0.03</v>
      </c>
      <c r="C644" s="5">
        <f t="shared" si="103"/>
        <v>0.06</v>
      </c>
      <c r="D644" s="5">
        <f t="shared" si="104"/>
        <v>0.09</v>
      </c>
      <c r="E644" s="43">
        <f t="shared" si="105"/>
        <v>0.83333333333333348</v>
      </c>
      <c r="F644" s="43">
        <f t="shared" si="106"/>
        <v>1.666666666666667</v>
      </c>
      <c r="G644" s="43">
        <f t="shared" si="107"/>
        <v>3.3333333333333339</v>
      </c>
    </row>
    <row r="645" spans="1:7">
      <c r="A645">
        <v>279</v>
      </c>
      <c r="B645" s="5">
        <f t="shared" si="102"/>
        <v>0.03</v>
      </c>
      <c r="C645" s="5">
        <f t="shared" si="103"/>
        <v>0.06</v>
      </c>
      <c r="D645" s="5">
        <f t="shared" si="104"/>
        <v>0.09</v>
      </c>
      <c r="E645" s="43">
        <f t="shared" si="105"/>
        <v>0.83333333333333348</v>
      </c>
      <c r="F645" s="43">
        <f t="shared" si="106"/>
        <v>1.666666666666667</v>
      </c>
      <c r="G645" s="43">
        <f t="shared" si="107"/>
        <v>3.3333333333333339</v>
      </c>
    </row>
    <row r="646" spans="1:7">
      <c r="A646">
        <v>280</v>
      </c>
      <c r="B646" s="5">
        <f t="shared" si="102"/>
        <v>0.03</v>
      </c>
      <c r="C646" s="5">
        <f t="shared" si="103"/>
        <v>0.06</v>
      </c>
      <c r="D646" s="5">
        <f t="shared" si="104"/>
        <v>0.09</v>
      </c>
      <c r="E646" s="43">
        <f t="shared" si="105"/>
        <v>0.83333333333333348</v>
      </c>
      <c r="F646" s="43">
        <f t="shared" si="106"/>
        <v>1.666666666666667</v>
      </c>
      <c r="G646" s="43">
        <f t="shared" si="107"/>
        <v>3.3333333333333339</v>
      </c>
    </row>
    <row r="647" spans="1:7">
      <c r="A647">
        <v>281</v>
      </c>
      <c r="B647" s="5">
        <f t="shared" si="102"/>
        <v>0.03</v>
      </c>
      <c r="C647" s="5">
        <f t="shared" si="103"/>
        <v>0.06</v>
      </c>
      <c r="D647" s="5">
        <f t="shared" si="104"/>
        <v>0.09</v>
      </c>
      <c r="E647" s="43">
        <f t="shared" si="105"/>
        <v>0.83333333333333348</v>
      </c>
      <c r="F647" s="43">
        <f t="shared" si="106"/>
        <v>1.666666666666667</v>
      </c>
      <c r="G647" s="43">
        <f t="shared" si="107"/>
        <v>3.3333333333333339</v>
      </c>
    </row>
    <row r="648" spans="1:7">
      <c r="A648">
        <v>282</v>
      </c>
      <c r="B648" s="5">
        <f t="shared" si="102"/>
        <v>0.03</v>
      </c>
      <c r="C648" s="5">
        <f t="shared" si="103"/>
        <v>0.06</v>
      </c>
      <c r="D648" s="5">
        <f t="shared" si="104"/>
        <v>0.09</v>
      </c>
      <c r="E648" s="43">
        <f t="shared" si="105"/>
        <v>0.83333333333333348</v>
      </c>
      <c r="F648" s="43">
        <f t="shared" si="106"/>
        <v>1.666666666666667</v>
      </c>
      <c r="G648" s="43">
        <f t="shared" si="107"/>
        <v>3.3333333333333339</v>
      </c>
    </row>
    <row r="649" spans="1:7">
      <c r="A649">
        <v>283</v>
      </c>
      <c r="B649" s="5">
        <f t="shared" si="102"/>
        <v>0.03</v>
      </c>
      <c r="C649" s="5">
        <f t="shared" si="103"/>
        <v>0.06</v>
      </c>
      <c r="D649" s="5">
        <f t="shared" si="104"/>
        <v>0.09</v>
      </c>
      <c r="E649" s="43">
        <f t="shared" si="105"/>
        <v>0.83333333333333348</v>
      </c>
      <c r="F649" s="43">
        <f t="shared" si="106"/>
        <v>1.666666666666667</v>
      </c>
      <c r="G649" s="43">
        <f t="shared" si="107"/>
        <v>3.3333333333333339</v>
      </c>
    </row>
    <row r="650" spans="1:7">
      <c r="A650">
        <v>284</v>
      </c>
      <c r="B650" s="5">
        <f t="shared" si="102"/>
        <v>0.03</v>
      </c>
      <c r="C650" s="5">
        <f t="shared" si="103"/>
        <v>0.06</v>
      </c>
      <c r="D650" s="5">
        <f t="shared" si="104"/>
        <v>0.09</v>
      </c>
      <c r="E650" s="43">
        <f t="shared" si="105"/>
        <v>0.83333333333333348</v>
      </c>
      <c r="F650" s="43">
        <f t="shared" si="106"/>
        <v>1.666666666666667</v>
      </c>
      <c r="G650" s="43">
        <f t="shared" si="107"/>
        <v>3.3333333333333339</v>
      </c>
    </row>
    <row r="651" spans="1:7">
      <c r="A651">
        <v>285</v>
      </c>
      <c r="B651" s="5">
        <f t="shared" si="102"/>
        <v>0.03</v>
      </c>
      <c r="C651" s="5">
        <f t="shared" si="103"/>
        <v>0.06</v>
      </c>
      <c r="D651" s="5">
        <f t="shared" si="104"/>
        <v>0.09</v>
      </c>
      <c r="E651" s="43">
        <f t="shared" si="105"/>
        <v>0.83333333333333348</v>
      </c>
      <c r="F651" s="43">
        <f t="shared" si="106"/>
        <v>1.666666666666667</v>
      </c>
      <c r="G651" s="43">
        <f t="shared" si="107"/>
        <v>3.3333333333333339</v>
      </c>
    </row>
    <row r="652" spans="1:7">
      <c r="A652">
        <v>286</v>
      </c>
      <c r="B652" s="5">
        <f t="shared" si="102"/>
        <v>0.03</v>
      </c>
      <c r="C652" s="5">
        <f t="shared" si="103"/>
        <v>0.06</v>
      </c>
      <c r="D652" s="5">
        <f t="shared" si="104"/>
        <v>0.09</v>
      </c>
      <c r="E652" s="43">
        <f t="shared" si="105"/>
        <v>0.83333333333333348</v>
      </c>
      <c r="F652" s="43">
        <f t="shared" si="106"/>
        <v>1.666666666666667</v>
      </c>
      <c r="G652" s="43">
        <f t="shared" si="107"/>
        <v>3.3333333333333339</v>
      </c>
    </row>
    <row r="653" spans="1:7">
      <c r="A653">
        <v>287</v>
      </c>
      <c r="B653" s="5">
        <f t="shared" si="102"/>
        <v>0.03</v>
      </c>
      <c r="C653" s="5">
        <f t="shared" si="103"/>
        <v>0.06</v>
      </c>
      <c r="D653" s="5">
        <f t="shared" si="104"/>
        <v>0.09</v>
      </c>
      <c r="E653" s="43">
        <f t="shared" si="105"/>
        <v>0.83333333333333348</v>
      </c>
      <c r="F653" s="43">
        <f t="shared" si="106"/>
        <v>1.666666666666667</v>
      </c>
      <c r="G653" s="43">
        <f t="shared" si="107"/>
        <v>3.3333333333333339</v>
      </c>
    </row>
    <row r="654" spans="1:7">
      <c r="A654">
        <v>288</v>
      </c>
      <c r="B654" s="5">
        <f t="shared" si="102"/>
        <v>0.03</v>
      </c>
      <c r="C654" s="5">
        <f t="shared" si="103"/>
        <v>0.06</v>
      </c>
      <c r="D654" s="5">
        <f t="shared" si="104"/>
        <v>0.09</v>
      </c>
      <c r="E654" s="43">
        <f t="shared" si="105"/>
        <v>0.83333333333333348</v>
      </c>
      <c r="F654" s="43">
        <f t="shared" si="106"/>
        <v>1.666666666666667</v>
      </c>
      <c r="G654" s="43">
        <f t="shared" si="107"/>
        <v>3.3333333333333339</v>
      </c>
    </row>
    <row r="655" spans="1:7">
      <c r="A655">
        <v>289</v>
      </c>
      <c r="B655" s="5">
        <f t="shared" si="102"/>
        <v>0.03</v>
      </c>
      <c r="C655" s="5">
        <f t="shared" si="103"/>
        <v>0.06</v>
      </c>
      <c r="D655" s="5">
        <f t="shared" si="104"/>
        <v>0.09</v>
      </c>
      <c r="E655" s="43">
        <f t="shared" si="105"/>
        <v>0.83333333333333348</v>
      </c>
      <c r="F655" s="43">
        <f t="shared" si="106"/>
        <v>1.666666666666667</v>
      </c>
      <c r="G655" s="43">
        <f t="shared" si="107"/>
        <v>3.3333333333333339</v>
      </c>
    </row>
    <row r="656" spans="1:7">
      <c r="A656">
        <v>290</v>
      </c>
      <c r="B656" s="5">
        <f t="shared" si="102"/>
        <v>0.03</v>
      </c>
      <c r="C656" s="5">
        <f t="shared" si="103"/>
        <v>0.06</v>
      </c>
      <c r="D656" s="5">
        <f t="shared" si="104"/>
        <v>0.09</v>
      </c>
      <c r="E656" s="43">
        <f t="shared" si="105"/>
        <v>0.83333333333333348</v>
      </c>
      <c r="F656" s="43">
        <f t="shared" si="106"/>
        <v>1.666666666666667</v>
      </c>
      <c r="G656" s="43">
        <f t="shared" si="107"/>
        <v>3.3333333333333339</v>
      </c>
    </row>
    <row r="657" spans="1:7">
      <c r="A657">
        <v>291</v>
      </c>
      <c r="B657" s="5">
        <f t="shared" si="102"/>
        <v>0.03</v>
      </c>
      <c r="C657" s="5">
        <f t="shared" si="103"/>
        <v>0.06</v>
      </c>
      <c r="D657" s="5">
        <f t="shared" si="104"/>
        <v>0.09</v>
      </c>
      <c r="E657" s="43">
        <f t="shared" si="105"/>
        <v>0.83333333333333348</v>
      </c>
      <c r="F657" s="43">
        <f t="shared" si="106"/>
        <v>1.666666666666667</v>
      </c>
      <c r="G657" s="43">
        <f t="shared" si="107"/>
        <v>3.3333333333333339</v>
      </c>
    </row>
    <row r="658" spans="1:7">
      <c r="A658">
        <v>292</v>
      </c>
      <c r="B658" s="5">
        <f t="shared" si="102"/>
        <v>0.03</v>
      </c>
      <c r="C658" s="5">
        <f t="shared" si="103"/>
        <v>0.06</v>
      </c>
      <c r="D658" s="5">
        <f t="shared" si="104"/>
        <v>0.09</v>
      </c>
      <c r="E658" s="43">
        <f t="shared" si="105"/>
        <v>0.83333333333333348</v>
      </c>
      <c r="F658" s="43">
        <f t="shared" si="106"/>
        <v>1.666666666666667</v>
      </c>
      <c r="G658" s="43">
        <f t="shared" si="107"/>
        <v>3.3333333333333339</v>
      </c>
    </row>
    <row r="659" spans="1:7">
      <c r="A659">
        <v>293</v>
      </c>
      <c r="B659" s="5">
        <f t="shared" si="102"/>
        <v>0.03</v>
      </c>
      <c r="C659" s="5">
        <f t="shared" si="103"/>
        <v>0.06</v>
      </c>
      <c r="D659" s="5">
        <f t="shared" si="104"/>
        <v>0.09</v>
      </c>
      <c r="E659" s="43">
        <f t="shared" si="105"/>
        <v>0.83333333333333348</v>
      </c>
      <c r="F659" s="43">
        <f t="shared" si="106"/>
        <v>1.666666666666667</v>
      </c>
      <c r="G659" s="43">
        <f t="shared" si="107"/>
        <v>3.3333333333333339</v>
      </c>
    </row>
    <row r="660" spans="1:7">
      <c r="A660">
        <v>294</v>
      </c>
      <c r="B660" s="5">
        <f t="shared" si="102"/>
        <v>0.03</v>
      </c>
      <c r="C660" s="5">
        <f t="shared" si="103"/>
        <v>0.06</v>
      </c>
      <c r="D660" s="5">
        <f t="shared" si="104"/>
        <v>0.09</v>
      </c>
      <c r="E660" s="43">
        <f t="shared" si="105"/>
        <v>0.83333333333333348</v>
      </c>
      <c r="F660" s="43">
        <f t="shared" si="106"/>
        <v>1.666666666666667</v>
      </c>
      <c r="G660" s="43">
        <f t="shared" si="107"/>
        <v>3.3333333333333339</v>
      </c>
    </row>
    <row r="661" spans="1:7">
      <c r="A661">
        <v>295</v>
      </c>
      <c r="B661" s="5">
        <f t="shared" si="102"/>
        <v>0.03</v>
      </c>
      <c r="C661" s="5">
        <f t="shared" si="103"/>
        <v>0.06</v>
      </c>
      <c r="D661" s="5">
        <f t="shared" si="104"/>
        <v>0.09</v>
      </c>
      <c r="E661" s="43">
        <f t="shared" si="105"/>
        <v>0.83333333333333348</v>
      </c>
      <c r="F661" s="43">
        <f t="shared" si="106"/>
        <v>1.666666666666667</v>
      </c>
      <c r="G661" s="43">
        <f t="shared" si="107"/>
        <v>3.3333333333333339</v>
      </c>
    </row>
    <row r="662" spans="1:7">
      <c r="A662">
        <v>296</v>
      </c>
      <c r="B662" s="5">
        <f t="shared" si="102"/>
        <v>0.03</v>
      </c>
      <c r="C662" s="5">
        <f t="shared" si="103"/>
        <v>0.06</v>
      </c>
      <c r="D662" s="5">
        <f t="shared" si="104"/>
        <v>0.09</v>
      </c>
      <c r="E662" s="43">
        <f t="shared" si="105"/>
        <v>0.83333333333333348</v>
      </c>
      <c r="F662" s="43">
        <f t="shared" si="106"/>
        <v>1.666666666666667</v>
      </c>
      <c r="G662" s="43">
        <f t="shared" si="107"/>
        <v>3.3333333333333339</v>
      </c>
    </row>
    <row r="663" spans="1:7">
      <c r="A663">
        <v>297</v>
      </c>
      <c r="B663" s="5">
        <f t="shared" si="102"/>
        <v>0.03</v>
      </c>
      <c r="C663" s="5">
        <f t="shared" si="103"/>
        <v>0.06</v>
      </c>
      <c r="D663" s="5">
        <f t="shared" si="104"/>
        <v>0.09</v>
      </c>
      <c r="E663" s="43">
        <f t="shared" si="105"/>
        <v>0.83333333333333348</v>
      </c>
      <c r="F663" s="43">
        <f t="shared" si="106"/>
        <v>1.666666666666667</v>
      </c>
      <c r="G663" s="43">
        <f t="shared" si="107"/>
        <v>3.3333333333333339</v>
      </c>
    </row>
    <row r="664" spans="1:7">
      <c r="A664">
        <v>298</v>
      </c>
      <c r="B664" s="5">
        <f t="shared" si="102"/>
        <v>0.03</v>
      </c>
      <c r="C664" s="5">
        <f t="shared" si="103"/>
        <v>0.06</v>
      </c>
      <c r="D664" s="5">
        <f t="shared" si="104"/>
        <v>0.09</v>
      </c>
      <c r="E664" s="43">
        <f t="shared" si="105"/>
        <v>0.83333333333333348</v>
      </c>
      <c r="F664" s="43">
        <f t="shared" si="106"/>
        <v>1.666666666666667</v>
      </c>
      <c r="G664" s="43">
        <f t="shared" si="107"/>
        <v>3.3333333333333339</v>
      </c>
    </row>
    <row r="665" spans="1:7">
      <c r="A665">
        <v>299</v>
      </c>
      <c r="B665" s="5">
        <f t="shared" si="102"/>
        <v>0.03</v>
      </c>
      <c r="C665" s="5">
        <f t="shared" si="103"/>
        <v>0.06</v>
      </c>
      <c r="D665" s="5">
        <f t="shared" si="104"/>
        <v>0.09</v>
      </c>
      <c r="E665" s="43">
        <f t="shared" si="105"/>
        <v>0.83333333333333348</v>
      </c>
      <c r="F665" s="43">
        <f t="shared" si="106"/>
        <v>1.666666666666667</v>
      </c>
      <c r="G665" s="43">
        <f t="shared" si="107"/>
        <v>3.3333333333333339</v>
      </c>
    </row>
    <row r="666" spans="1:7">
      <c r="A666">
        <v>300</v>
      </c>
      <c r="B666" s="5">
        <f t="shared" si="102"/>
        <v>0.03</v>
      </c>
      <c r="C666" s="5">
        <f t="shared" si="103"/>
        <v>0.06</v>
      </c>
      <c r="D666" s="5">
        <f t="shared" si="104"/>
        <v>0.09</v>
      </c>
      <c r="E666" s="43">
        <f t="shared" si="105"/>
        <v>0.83333333333333348</v>
      </c>
      <c r="F666" s="43">
        <f t="shared" si="106"/>
        <v>1.666666666666667</v>
      </c>
      <c r="G666" s="43">
        <f t="shared" si="107"/>
        <v>3.3333333333333339</v>
      </c>
    </row>
    <row r="667" spans="1:7">
      <c r="A667">
        <v>301</v>
      </c>
      <c r="B667" s="5">
        <f t="shared" si="102"/>
        <v>0.03</v>
      </c>
      <c r="C667" s="5">
        <f t="shared" si="103"/>
        <v>0.06</v>
      </c>
      <c r="D667" s="5">
        <f t="shared" si="104"/>
        <v>0.09</v>
      </c>
      <c r="E667" s="43">
        <f t="shared" si="105"/>
        <v>0.83333333333333348</v>
      </c>
      <c r="F667" s="43">
        <f t="shared" si="106"/>
        <v>1.666666666666667</v>
      </c>
      <c r="G667" s="43">
        <f t="shared" si="107"/>
        <v>3.3333333333333339</v>
      </c>
    </row>
    <row r="668" spans="1:7">
      <c r="A668">
        <v>302</v>
      </c>
      <c r="B668" s="5">
        <f t="shared" si="102"/>
        <v>0.03</v>
      </c>
      <c r="C668" s="5">
        <f t="shared" si="103"/>
        <v>0.06</v>
      </c>
      <c r="D668" s="5">
        <f t="shared" si="104"/>
        <v>0.09</v>
      </c>
      <c r="E668" s="43">
        <f t="shared" si="105"/>
        <v>0.83333333333333348</v>
      </c>
      <c r="F668" s="43">
        <f t="shared" si="106"/>
        <v>1.666666666666667</v>
      </c>
      <c r="G668" s="43">
        <f t="shared" si="107"/>
        <v>3.3333333333333339</v>
      </c>
    </row>
    <row r="669" spans="1:7">
      <c r="A669">
        <v>303</v>
      </c>
      <c r="B669" s="5">
        <f t="shared" si="102"/>
        <v>0.03</v>
      </c>
      <c r="C669" s="5">
        <f t="shared" si="103"/>
        <v>0.06</v>
      </c>
      <c r="D669" s="5">
        <f t="shared" si="104"/>
        <v>0.09</v>
      </c>
      <c r="E669" s="43">
        <f t="shared" si="105"/>
        <v>0.83333333333333348</v>
      </c>
      <c r="F669" s="43">
        <f t="shared" si="106"/>
        <v>1.666666666666667</v>
      </c>
      <c r="G669" s="43">
        <f t="shared" si="107"/>
        <v>3.3333333333333339</v>
      </c>
    </row>
    <row r="670" spans="1:7">
      <c r="A670">
        <v>304</v>
      </c>
      <c r="B670" s="5">
        <f t="shared" si="102"/>
        <v>0.03</v>
      </c>
      <c r="C670" s="5">
        <f t="shared" si="103"/>
        <v>0.06</v>
      </c>
      <c r="D670" s="5">
        <f t="shared" si="104"/>
        <v>0.09</v>
      </c>
      <c r="E670" s="43">
        <f t="shared" si="105"/>
        <v>0.83333333333333348</v>
      </c>
      <c r="F670" s="43">
        <f t="shared" si="106"/>
        <v>1.666666666666667</v>
      </c>
      <c r="G670" s="43">
        <f t="shared" si="107"/>
        <v>3.3333333333333339</v>
      </c>
    </row>
    <row r="671" spans="1:7">
      <c r="A671">
        <v>305</v>
      </c>
      <c r="B671" s="5">
        <f t="shared" si="102"/>
        <v>0.03</v>
      </c>
      <c r="C671" s="5">
        <f t="shared" si="103"/>
        <v>0.06</v>
      </c>
      <c r="D671" s="5">
        <f t="shared" si="104"/>
        <v>0.09</v>
      </c>
      <c r="E671" s="43">
        <f t="shared" si="105"/>
        <v>0.83333333333333348</v>
      </c>
      <c r="F671" s="43">
        <f t="shared" si="106"/>
        <v>1.666666666666667</v>
      </c>
      <c r="G671" s="43">
        <f t="shared" si="107"/>
        <v>3.3333333333333339</v>
      </c>
    </row>
    <row r="672" spans="1:7">
      <c r="A672">
        <v>306</v>
      </c>
      <c r="B672" s="5">
        <f t="shared" si="102"/>
        <v>0.03</v>
      </c>
      <c r="C672" s="5">
        <f t="shared" si="103"/>
        <v>0.06</v>
      </c>
      <c r="D672" s="5">
        <f t="shared" si="104"/>
        <v>0.09</v>
      </c>
      <c r="E672" s="43">
        <f t="shared" si="105"/>
        <v>0.83333333333333348</v>
      </c>
      <c r="F672" s="43">
        <f t="shared" si="106"/>
        <v>1.666666666666667</v>
      </c>
      <c r="G672" s="43">
        <f t="shared" si="107"/>
        <v>3.3333333333333339</v>
      </c>
    </row>
    <row r="673" spans="1:7">
      <c r="A673">
        <v>307</v>
      </c>
      <c r="B673" s="5">
        <f t="shared" si="102"/>
        <v>0.03</v>
      </c>
      <c r="C673" s="5">
        <f t="shared" si="103"/>
        <v>0.06</v>
      </c>
      <c r="D673" s="5">
        <f t="shared" si="104"/>
        <v>0.09</v>
      </c>
      <c r="E673" s="43">
        <f t="shared" si="105"/>
        <v>0.83333333333333348</v>
      </c>
      <c r="F673" s="43">
        <f t="shared" si="106"/>
        <v>1.666666666666667</v>
      </c>
      <c r="G673" s="43">
        <f t="shared" si="107"/>
        <v>3.3333333333333339</v>
      </c>
    </row>
    <row r="674" spans="1:7">
      <c r="A674">
        <v>308</v>
      </c>
      <c r="B674" s="5">
        <f t="shared" si="102"/>
        <v>0.03</v>
      </c>
      <c r="C674" s="5">
        <f t="shared" si="103"/>
        <v>0.06</v>
      </c>
      <c r="D674" s="5">
        <f t="shared" si="104"/>
        <v>0.09</v>
      </c>
      <c r="E674" s="43">
        <f t="shared" si="105"/>
        <v>0.83333333333333348</v>
      </c>
      <c r="F674" s="43">
        <f t="shared" si="106"/>
        <v>1.666666666666667</v>
      </c>
      <c r="G674" s="43">
        <f t="shared" si="107"/>
        <v>3.3333333333333339</v>
      </c>
    </row>
    <row r="675" spans="1:7">
      <c r="A675">
        <v>309</v>
      </c>
      <c r="B675" s="5">
        <f t="shared" si="102"/>
        <v>0.03</v>
      </c>
      <c r="C675" s="5">
        <f t="shared" si="103"/>
        <v>0.06</v>
      </c>
      <c r="D675" s="5">
        <f t="shared" si="104"/>
        <v>0.09</v>
      </c>
      <c r="E675" s="43">
        <f t="shared" si="105"/>
        <v>0.83333333333333348</v>
      </c>
      <c r="F675" s="43">
        <f t="shared" si="106"/>
        <v>1.666666666666667</v>
      </c>
      <c r="G675" s="43">
        <f t="shared" si="107"/>
        <v>3.3333333333333339</v>
      </c>
    </row>
    <row r="676" spans="1:7">
      <c r="A676">
        <v>310</v>
      </c>
      <c r="B676" s="5">
        <f t="shared" si="102"/>
        <v>0.03</v>
      </c>
      <c r="C676" s="5">
        <f t="shared" si="103"/>
        <v>0.06</v>
      </c>
      <c r="D676" s="5">
        <f t="shared" si="104"/>
        <v>0.09</v>
      </c>
      <c r="E676" s="43">
        <f t="shared" si="105"/>
        <v>0.83333333333333348</v>
      </c>
      <c r="F676" s="43">
        <f t="shared" si="106"/>
        <v>1.666666666666667</v>
      </c>
      <c r="G676" s="43">
        <f t="shared" si="107"/>
        <v>3.3333333333333339</v>
      </c>
    </row>
    <row r="677" spans="1:7">
      <c r="A677">
        <v>311</v>
      </c>
      <c r="B677" s="5">
        <f t="shared" si="102"/>
        <v>0.03</v>
      </c>
      <c r="C677" s="5">
        <f t="shared" si="103"/>
        <v>0.06</v>
      </c>
      <c r="D677" s="5">
        <f t="shared" si="104"/>
        <v>0.09</v>
      </c>
      <c r="E677" s="43">
        <f t="shared" si="105"/>
        <v>0.83333333333333348</v>
      </c>
      <c r="F677" s="43">
        <f t="shared" si="106"/>
        <v>1.666666666666667</v>
      </c>
      <c r="G677" s="43">
        <f t="shared" si="107"/>
        <v>3.3333333333333339</v>
      </c>
    </row>
    <row r="678" spans="1:7">
      <c r="A678">
        <v>312</v>
      </c>
      <c r="B678" s="5">
        <f t="shared" si="102"/>
        <v>0.03</v>
      </c>
      <c r="C678" s="5">
        <f t="shared" si="103"/>
        <v>0.06</v>
      </c>
      <c r="D678" s="5">
        <f t="shared" si="104"/>
        <v>0.09</v>
      </c>
      <c r="E678" s="43">
        <f t="shared" si="105"/>
        <v>0.83333333333333348</v>
      </c>
      <c r="F678" s="43">
        <f t="shared" si="106"/>
        <v>1.666666666666667</v>
      </c>
      <c r="G678" s="43">
        <f t="shared" si="107"/>
        <v>3.3333333333333339</v>
      </c>
    </row>
    <row r="679" spans="1:7">
      <c r="A679">
        <v>313</v>
      </c>
      <c r="B679" s="5">
        <f t="shared" si="102"/>
        <v>0.03</v>
      </c>
      <c r="C679" s="5">
        <f t="shared" si="103"/>
        <v>0.06</v>
      </c>
      <c r="D679" s="5">
        <f t="shared" si="104"/>
        <v>0.09</v>
      </c>
      <c r="E679" s="43">
        <f t="shared" si="105"/>
        <v>0.83333333333333348</v>
      </c>
      <c r="F679" s="43">
        <f t="shared" si="106"/>
        <v>1.666666666666667</v>
      </c>
      <c r="G679" s="43">
        <f t="shared" si="107"/>
        <v>3.3333333333333339</v>
      </c>
    </row>
    <row r="680" spans="1:7">
      <c r="A680">
        <v>314</v>
      </c>
      <c r="B680" s="5">
        <f t="shared" si="102"/>
        <v>0.03</v>
      </c>
      <c r="C680" s="5">
        <f t="shared" si="103"/>
        <v>0.06</v>
      </c>
      <c r="D680" s="5">
        <f t="shared" si="104"/>
        <v>0.09</v>
      </c>
      <c r="E680" s="43">
        <f t="shared" si="105"/>
        <v>0.83333333333333348</v>
      </c>
      <c r="F680" s="43">
        <f t="shared" si="106"/>
        <v>1.666666666666667</v>
      </c>
      <c r="G680" s="43">
        <f t="shared" si="107"/>
        <v>3.3333333333333339</v>
      </c>
    </row>
    <row r="681" spans="1:7">
      <c r="A681">
        <v>315</v>
      </c>
      <c r="B681" s="5">
        <f t="shared" si="102"/>
        <v>0.03</v>
      </c>
      <c r="C681" s="5">
        <f t="shared" si="103"/>
        <v>0.06</v>
      </c>
      <c r="D681" s="5">
        <f t="shared" si="104"/>
        <v>0.09</v>
      </c>
      <c r="E681" s="43">
        <f t="shared" si="105"/>
        <v>0.83333333333333348</v>
      </c>
      <c r="F681" s="43">
        <f t="shared" si="106"/>
        <v>1.666666666666667</v>
      </c>
      <c r="G681" s="43">
        <f t="shared" si="107"/>
        <v>3.3333333333333339</v>
      </c>
    </row>
    <row r="682" spans="1:7">
      <c r="A682">
        <v>316</v>
      </c>
      <c r="B682" s="5">
        <f t="shared" si="102"/>
        <v>0.03</v>
      </c>
      <c r="C682" s="5">
        <f t="shared" si="103"/>
        <v>0.06</v>
      </c>
      <c r="D682" s="5">
        <f t="shared" si="104"/>
        <v>0.09</v>
      </c>
      <c r="E682" s="43">
        <f t="shared" si="105"/>
        <v>0.83333333333333348</v>
      </c>
      <c r="F682" s="43">
        <f t="shared" si="106"/>
        <v>1.666666666666667</v>
      </c>
      <c r="G682" s="43">
        <f t="shared" si="107"/>
        <v>3.3333333333333339</v>
      </c>
    </row>
    <row r="683" spans="1:7">
      <c r="A683">
        <v>317</v>
      </c>
      <c r="B683" s="5">
        <f t="shared" si="102"/>
        <v>0.03</v>
      </c>
      <c r="C683" s="5">
        <f t="shared" si="103"/>
        <v>0.06</v>
      </c>
      <c r="D683" s="5">
        <f t="shared" si="104"/>
        <v>0.09</v>
      </c>
      <c r="E683" s="43">
        <f t="shared" si="105"/>
        <v>0.83333333333333348</v>
      </c>
      <c r="F683" s="43">
        <f t="shared" si="106"/>
        <v>1.666666666666667</v>
      </c>
      <c r="G683" s="43">
        <f t="shared" si="107"/>
        <v>3.3333333333333339</v>
      </c>
    </row>
    <row r="684" spans="1:7">
      <c r="A684">
        <v>318</v>
      </c>
      <c r="B684" s="5">
        <f t="shared" si="102"/>
        <v>0.03</v>
      </c>
      <c r="C684" s="5">
        <f t="shared" si="103"/>
        <v>0.06</v>
      </c>
      <c r="D684" s="5">
        <f t="shared" si="104"/>
        <v>0.09</v>
      </c>
      <c r="E684" s="43">
        <f t="shared" si="105"/>
        <v>0.83333333333333348</v>
      </c>
      <c r="F684" s="43">
        <f t="shared" si="106"/>
        <v>1.666666666666667</v>
      </c>
      <c r="G684" s="43">
        <f t="shared" si="107"/>
        <v>3.3333333333333339</v>
      </c>
    </row>
    <row r="685" spans="1:7">
      <c r="A685">
        <v>319</v>
      </c>
      <c r="B685" s="5">
        <f t="shared" si="102"/>
        <v>0.03</v>
      </c>
      <c r="C685" s="5">
        <f t="shared" si="103"/>
        <v>0.06</v>
      </c>
      <c r="D685" s="5">
        <f t="shared" si="104"/>
        <v>0.09</v>
      </c>
      <c r="E685" s="43">
        <f t="shared" si="105"/>
        <v>0.83333333333333348</v>
      </c>
      <c r="F685" s="43">
        <f t="shared" si="106"/>
        <v>1.666666666666667</v>
      </c>
      <c r="G685" s="43">
        <f t="shared" si="107"/>
        <v>3.3333333333333339</v>
      </c>
    </row>
    <row r="686" spans="1:7">
      <c r="A686">
        <v>320</v>
      </c>
      <c r="B686" s="5">
        <f t="shared" si="102"/>
        <v>0.03</v>
      </c>
      <c r="C686" s="5">
        <f t="shared" si="103"/>
        <v>0.06</v>
      </c>
      <c r="D686" s="5">
        <f t="shared" si="104"/>
        <v>0.09</v>
      </c>
      <c r="E686" s="43">
        <f t="shared" si="105"/>
        <v>0.83333333333333348</v>
      </c>
      <c r="F686" s="43">
        <f t="shared" si="106"/>
        <v>1.666666666666667</v>
      </c>
      <c r="G686" s="43">
        <f t="shared" si="107"/>
        <v>3.3333333333333339</v>
      </c>
    </row>
    <row r="687" spans="1:7">
      <c r="A687">
        <v>321</v>
      </c>
      <c r="B687" s="5">
        <f t="shared" si="102"/>
        <v>0.03</v>
      </c>
      <c r="C687" s="5">
        <f t="shared" si="103"/>
        <v>0.06</v>
      </c>
      <c r="D687" s="5">
        <f t="shared" si="104"/>
        <v>0.09</v>
      </c>
      <c r="E687" s="43">
        <f t="shared" si="105"/>
        <v>0.83333333333333348</v>
      </c>
      <c r="F687" s="43">
        <f t="shared" si="106"/>
        <v>1.666666666666667</v>
      </c>
      <c r="G687" s="43">
        <f t="shared" si="107"/>
        <v>3.3333333333333339</v>
      </c>
    </row>
    <row r="688" spans="1:7">
      <c r="A688">
        <v>322</v>
      </c>
      <c r="B688" s="5">
        <f t="shared" ref="B688:B726" si="108">(50/100)*(IF(A688&lt;=30,0.06*(A688/30),0.06))</f>
        <v>0.03</v>
      </c>
      <c r="C688" s="5">
        <f t="shared" ref="C688:C726" si="109">(100/100)*(IF(A688&lt;=30,0.06*(A688/30),0.06))</f>
        <v>0.06</v>
      </c>
      <c r="D688" s="5">
        <f t="shared" ref="D688:D726" si="110">(150/100)*(IF(A688&lt;=30,0.06*(A688/30),0.06))</f>
        <v>0.09</v>
      </c>
      <c r="E688" s="43">
        <f t="shared" ref="E688:E726" si="111">(5/100)*IF(A688&gt;30, 100/6, (100/6)*(30/A688))</f>
        <v>0.83333333333333348</v>
      </c>
      <c r="F688" s="43">
        <f t="shared" ref="F688:F726" si="112">(10/100)*IF(A688&gt;30, 100/6, (100/6)*(30/A688))</f>
        <v>1.666666666666667</v>
      </c>
      <c r="G688" s="43">
        <f t="shared" ref="G688:G726" si="113">(20/100)*IF(A688&gt;30, 100/6, (100/6)*(30/A688))</f>
        <v>3.3333333333333339</v>
      </c>
    </row>
    <row r="689" spans="1:7">
      <c r="A689">
        <v>323</v>
      </c>
      <c r="B689" s="5">
        <f t="shared" si="108"/>
        <v>0.03</v>
      </c>
      <c r="C689" s="5">
        <f t="shared" si="109"/>
        <v>0.06</v>
      </c>
      <c r="D689" s="5">
        <f t="shared" si="110"/>
        <v>0.09</v>
      </c>
      <c r="E689" s="43">
        <f t="shared" si="111"/>
        <v>0.83333333333333348</v>
      </c>
      <c r="F689" s="43">
        <f t="shared" si="112"/>
        <v>1.666666666666667</v>
      </c>
      <c r="G689" s="43">
        <f t="shared" si="113"/>
        <v>3.3333333333333339</v>
      </c>
    </row>
    <row r="690" spans="1:7">
      <c r="A690">
        <v>324</v>
      </c>
      <c r="B690" s="5">
        <f t="shared" si="108"/>
        <v>0.03</v>
      </c>
      <c r="C690" s="5">
        <f t="shared" si="109"/>
        <v>0.06</v>
      </c>
      <c r="D690" s="5">
        <f t="shared" si="110"/>
        <v>0.09</v>
      </c>
      <c r="E690" s="43">
        <f t="shared" si="111"/>
        <v>0.83333333333333348</v>
      </c>
      <c r="F690" s="43">
        <f t="shared" si="112"/>
        <v>1.666666666666667</v>
      </c>
      <c r="G690" s="43">
        <f t="shared" si="113"/>
        <v>3.3333333333333339</v>
      </c>
    </row>
    <row r="691" spans="1:7">
      <c r="A691">
        <v>325</v>
      </c>
      <c r="B691" s="5">
        <f t="shared" si="108"/>
        <v>0.03</v>
      </c>
      <c r="C691" s="5">
        <f t="shared" si="109"/>
        <v>0.06</v>
      </c>
      <c r="D691" s="5">
        <f t="shared" si="110"/>
        <v>0.09</v>
      </c>
      <c r="E691" s="43">
        <f t="shared" si="111"/>
        <v>0.83333333333333348</v>
      </c>
      <c r="F691" s="43">
        <f t="shared" si="112"/>
        <v>1.666666666666667</v>
      </c>
      <c r="G691" s="43">
        <f t="shared" si="113"/>
        <v>3.3333333333333339</v>
      </c>
    </row>
    <row r="692" spans="1:7">
      <c r="A692">
        <v>326</v>
      </c>
      <c r="B692" s="5">
        <f t="shared" si="108"/>
        <v>0.03</v>
      </c>
      <c r="C692" s="5">
        <f t="shared" si="109"/>
        <v>0.06</v>
      </c>
      <c r="D692" s="5">
        <f t="shared" si="110"/>
        <v>0.09</v>
      </c>
      <c r="E692" s="43">
        <f t="shared" si="111"/>
        <v>0.83333333333333348</v>
      </c>
      <c r="F692" s="43">
        <f t="shared" si="112"/>
        <v>1.666666666666667</v>
      </c>
      <c r="G692" s="43">
        <f t="shared" si="113"/>
        <v>3.3333333333333339</v>
      </c>
    </row>
    <row r="693" spans="1:7">
      <c r="A693">
        <v>327</v>
      </c>
      <c r="B693" s="5">
        <f t="shared" si="108"/>
        <v>0.03</v>
      </c>
      <c r="C693" s="5">
        <f t="shared" si="109"/>
        <v>0.06</v>
      </c>
      <c r="D693" s="5">
        <f t="shared" si="110"/>
        <v>0.09</v>
      </c>
      <c r="E693" s="43">
        <f t="shared" si="111"/>
        <v>0.83333333333333348</v>
      </c>
      <c r="F693" s="43">
        <f t="shared" si="112"/>
        <v>1.666666666666667</v>
      </c>
      <c r="G693" s="43">
        <f t="shared" si="113"/>
        <v>3.3333333333333339</v>
      </c>
    </row>
    <row r="694" spans="1:7">
      <c r="A694">
        <v>328</v>
      </c>
      <c r="B694" s="5">
        <f t="shared" si="108"/>
        <v>0.03</v>
      </c>
      <c r="C694" s="5">
        <f t="shared" si="109"/>
        <v>0.06</v>
      </c>
      <c r="D694" s="5">
        <f t="shared" si="110"/>
        <v>0.09</v>
      </c>
      <c r="E694" s="43">
        <f t="shared" si="111"/>
        <v>0.83333333333333348</v>
      </c>
      <c r="F694" s="43">
        <f t="shared" si="112"/>
        <v>1.666666666666667</v>
      </c>
      <c r="G694" s="43">
        <f t="shared" si="113"/>
        <v>3.3333333333333339</v>
      </c>
    </row>
    <row r="695" spans="1:7">
      <c r="A695">
        <v>329</v>
      </c>
      <c r="B695" s="5">
        <f t="shared" si="108"/>
        <v>0.03</v>
      </c>
      <c r="C695" s="5">
        <f t="shared" si="109"/>
        <v>0.06</v>
      </c>
      <c r="D695" s="5">
        <f t="shared" si="110"/>
        <v>0.09</v>
      </c>
      <c r="E695" s="43">
        <f t="shared" si="111"/>
        <v>0.83333333333333348</v>
      </c>
      <c r="F695" s="43">
        <f t="shared" si="112"/>
        <v>1.666666666666667</v>
      </c>
      <c r="G695" s="43">
        <f t="shared" si="113"/>
        <v>3.3333333333333339</v>
      </c>
    </row>
    <row r="696" spans="1:7">
      <c r="A696">
        <v>330</v>
      </c>
      <c r="B696" s="5">
        <f t="shared" si="108"/>
        <v>0.03</v>
      </c>
      <c r="C696" s="5">
        <f t="shared" si="109"/>
        <v>0.06</v>
      </c>
      <c r="D696" s="5">
        <f t="shared" si="110"/>
        <v>0.09</v>
      </c>
      <c r="E696" s="43">
        <f t="shared" si="111"/>
        <v>0.83333333333333348</v>
      </c>
      <c r="F696" s="43">
        <f t="shared" si="112"/>
        <v>1.666666666666667</v>
      </c>
      <c r="G696" s="43">
        <f t="shared" si="113"/>
        <v>3.3333333333333339</v>
      </c>
    </row>
    <row r="697" spans="1:7">
      <c r="A697">
        <v>331</v>
      </c>
      <c r="B697" s="5">
        <f t="shared" si="108"/>
        <v>0.03</v>
      </c>
      <c r="C697" s="5">
        <f t="shared" si="109"/>
        <v>0.06</v>
      </c>
      <c r="D697" s="5">
        <f t="shared" si="110"/>
        <v>0.09</v>
      </c>
      <c r="E697" s="43">
        <f t="shared" si="111"/>
        <v>0.83333333333333348</v>
      </c>
      <c r="F697" s="43">
        <f t="shared" si="112"/>
        <v>1.666666666666667</v>
      </c>
      <c r="G697" s="43">
        <f t="shared" si="113"/>
        <v>3.3333333333333339</v>
      </c>
    </row>
    <row r="698" spans="1:7">
      <c r="A698">
        <v>332</v>
      </c>
      <c r="B698" s="5">
        <f t="shared" si="108"/>
        <v>0.03</v>
      </c>
      <c r="C698" s="5">
        <f t="shared" si="109"/>
        <v>0.06</v>
      </c>
      <c r="D698" s="5">
        <f t="shared" si="110"/>
        <v>0.09</v>
      </c>
      <c r="E698" s="43">
        <f t="shared" si="111"/>
        <v>0.83333333333333348</v>
      </c>
      <c r="F698" s="43">
        <f t="shared" si="112"/>
        <v>1.666666666666667</v>
      </c>
      <c r="G698" s="43">
        <f t="shared" si="113"/>
        <v>3.3333333333333339</v>
      </c>
    </row>
    <row r="699" spans="1:7">
      <c r="A699">
        <v>333</v>
      </c>
      <c r="B699" s="5">
        <f t="shared" si="108"/>
        <v>0.03</v>
      </c>
      <c r="C699" s="5">
        <f t="shared" si="109"/>
        <v>0.06</v>
      </c>
      <c r="D699" s="5">
        <f t="shared" si="110"/>
        <v>0.09</v>
      </c>
      <c r="E699" s="43">
        <f t="shared" si="111"/>
        <v>0.83333333333333348</v>
      </c>
      <c r="F699" s="43">
        <f t="shared" si="112"/>
        <v>1.666666666666667</v>
      </c>
      <c r="G699" s="43">
        <f t="shared" si="113"/>
        <v>3.3333333333333339</v>
      </c>
    </row>
    <row r="700" spans="1:7">
      <c r="A700">
        <v>334</v>
      </c>
      <c r="B700" s="5">
        <f t="shared" si="108"/>
        <v>0.03</v>
      </c>
      <c r="C700" s="5">
        <f t="shared" si="109"/>
        <v>0.06</v>
      </c>
      <c r="D700" s="5">
        <f t="shared" si="110"/>
        <v>0.09</v>
      </c>
      <c r="E700" s="43">
        <f t="shared" si="111"/>
        <v>0.83333333333333348</v>
      </c>
      <c r="F700" s="43">
        <f t="shared" si="112"/>
        <v>1.666666666666667</v>
      </c>
      <c r="G700" s="43">
        <f t="shared" si="113"/>
        <v>3.3333333333333339</v>
      </c>
    </row>
    <row r="701" spans="1:7">
      <c r="A701">
        <v>335</v>
      </c>
      <c r="B701" s="5">
        <f t="shared" si="108"/>
        <v>0.03</v>
      </c>
      <c r="C701" s="5">
        <f t="shared" si="109"/>
        <v>0.06</v>
      </c>
      <c r="D701" s="5">
        <f t="shared" si="110"/>
        <v>0.09</v>
      </c>
      <c r="E701" s="43">
        <f t="shared" si="111"/>
        <v>0.83333333333333348</v>
      </c>
      <c r="F701" s="43">
        <f t="shared" si="112"/>
        <v>1.666666666666667</v>
      </c>
      <c r="G701" s="43">
        <f t="shared" si="113"/>
        <v>3.3333333333333339</v>
      </c>
    </row>
    <row r="702" spans="1:7">
      <c r="A702">
        <v>336</v>
      </c>
      <c r="B702" s="5">
        <f t="shared" si="108"/>
        <v>0.03</v>
      </c>
      <c r="C702" s="5">
        <f t="shared" si="109"/>
        <v>0.06</v>
      </c>
      <c r="D702" s="5">
        <f t="shared" si="110"/>
        <v>0.09</v>
      </c>
      <c r="E702" s="43">
        <f t="shared" si="111"/>
        <v>0.83333333333333348</v>
      </c>
      <c r="F702" s="43">
        <f t="shared" si="112"/>
        <v>1.666666666666667</v>
      </c>
      <c r="G702" s="43">
        <f t="shared" si="113"/>
        <v>3.3333333333333339</v>
      </c>
    </row>
    <row r="703" spans="1:7">
      <c r="A703">
        <v>337</v>
      </c>
      <c r="B703" s="5">
        <f t="shared" si="108"/>
        <v>0.03</v>
      </c>
      <c r="C703" s="5">
        <f t="shared" si="109"/>
        <v>0.06</v>
      </c>
      <c r="D703" s="5">
        <f t="shared" si="110"/>
        <v>0.09</v>
      </c>
      <c r="E703" s="43">
        <f t="shared" si="111"/>
        <v>0.83333333333333348</v>
      </c>
      <c r="F703" s="43">
        <f t="shared" si="112"/>
        <v>1.666666666666667</v>
      </c>
      <c r="G703" s="43">
        <f t="shared" si="113"/>
        <v>3.3333333333333339</v>
      </c>
    </row>
    <row r="704" spans="1:7">
      <c r="A704">
        <v>338</v>
      </c>
      <c r="B704" s="5">
        <f t="shared" si="108"/>
        <v>0.03</v>
      </c>
      <c r="C704" s="5">
        <f t="shared" si="109"/>
        <v>0.06</v>
      </c>
      <c r="D704" s="5">
        <f t="shared" si="110"/>
        <v>0.09</v>
      </c>
      <c r="E704" s="43">
        <f t="shared" si="111"/>
        <v>0.83333333333333348</v>
      </c>
      <c r="F704" s="43">
        <f t="shared" si="112"/>
        <v>1.666666666666667</v>
      </c>
      <c r="G704" s="43">
        <f t="shared" si="113"/>
        <v>3.3333333333333339</v>
      </c>
    </row>
    <row r="705" spans="1:7">
      <c r="A705">
        <v>339</v>
      </c>
      <c r="B705" s="5">
        <f t="shared" si="108"/>
        <v>0.03</v>
      </c>
      <c r="C705" s="5">
        <f t="shared" si="109"/>
        <v>0.06</v>
      </c>
      <c r="D705" s="5">
        <f t="shared" si="110"/>
        <v>0.09</v>
      </c>
      <c r="E705" s="43">
        <f t="shared" si="111"/>
        <v>0.83333333333333348</v>
      </c>
      <c r="F705" s="43">
        <f t="shared" si="112"/>
        <v>1.666666666666667</v>
      </c>
      <c r="G705" s="43">
        <f t="shared" si="113"/>
        <v>3.3333333333333339</v>
      </c>
    </row>
    <row r="706" spans="1:7">
      <c r="A706">
        <v>340</v>
      </c>
      <c r="B706" s="5">
        <f t="shared" si="108"/>
        <v>0.03</v>
      </c>
      <c r="C706" s="5">
        <f t="shared" si="109"/>
        <v>0.06</v>
      </c>
      <c r="D706" s="5">
        <f t="shared" si="110"/>
        <v>0.09</v>
      </c>
      <c r="E706" s="43">
        <f t="shared" si="111"/>
        <v>0.83333333333333348</v>
      </c>
      <c r="F706" s="43">
        <f t="shared" si="112"/>
        <v>1.666666666666667</v>
      </c>
      <c r="G706" s="43">
        <f t="shared" si="113"/>
        <v>3.3333333333333339</v>
      </c>
    </row>
    <row r="707" spans="1:7">
      <c r="A707">
        <v>341</v>
      </c>
      <c r="B707" s="5">
        <f t="shared" si="108"/>
        <v>0.03</v>
      </c>
      <c r="C707" s="5">
        <f t="shared" si="109"/>
        <v>0.06</v>
      </c>
      <c r="D707" s="5">
        <f t="shared" si="110"/>
        <v>0.09</v>
      </c>
      <c r="E707" s="43">
        <f t="shared" si="111"/>
        <v>0.83333333333333348</v>
      </c>
      <c r="F707" s="43">
        <f t="shared" si="112"/>
        <v>1.666666666666667</v>
      </c>
      <c r="G707" s="43">
        <f t="shared" si="113"/>
        <v>3.3333333333333339</v>
      </c>
    </row>
    <row r="708" spans="1:7">
      <c r="A708">
        <v>342</v>
      </c>
      <c r="B708" s="5">
        <f t="shared" si="108"/>
        <v>0.03</v>
      </c>
      <c r="C708" s="5">
        <f t="shared" si="109"/>
        <v>0.06</v>
      </c>
      <c r="D708" s="5">
        <f t="shared" si="110"/>
        <v>0.09</v>
      </c>
      <c r="E708" s="43">
        <f t="shared" si="111"/>
        <v>0.83333333333333348</v>
      </c>
      <c r="F708" s="43">
        <f t="shared" si="112"/>
        <v>1.666666666666667</v>
      </c>
      <c r="G708" s="43">
        <f t="shared" si="113"/>
        <v>3.3333333333333339</v>
      </c>
    </row>
    <row r="709" spans="1:7">
      <c r="A709">
        <v>343</v>
      </c>
      <c r="B709" s="5">
        <f t="shared" si="108"/>
        <v>0.03</v>
      </c>
      <c r="C709" s="5">
        <f t="shared" si="109"/>
        <v>0.06</v>
      </c>
      <c r="D709" s="5">
        <f t="shared" si="110"/>
        <v>0.09</v>
      </c>
      <c r="E709" s="43">
        <f t="shared" si="111"/>
        <v>0.83333333333333348</v>
      </c>
      <c r="F709" s="43">
        <f t="shared" si="112"/>
        <v>1.666666666666667</v>
      </c>
      <c r="G709" s="43">
        <f t="shared" si="113"/>
        <v>3.3333333333333339</v>
      </c>
    </row>
    <row r="710" spans="1:7">
      <c r="A710">
        <v>344</v>
      </c>
      <c r="B710" s="5">
        <f t="shared" si="108"/>
        <v>0.03</v>
      </c>
      <c r="C710" s="5">
        <f t="shared" si="109"/>
        <v>0.06</v>
      </c>
      <c r="D710" s="5">
        <f t="shared" si="110"/>
        <v>0.09</v>
      </c>
      <c r="E710" s="43">
        <f t="shared" si="111"/>
        <v>0.83333333333333348</v>
      </c>
      <c r="F710" s="43">
        <f t="shared" si="112"/>
        <v>1.666666666666667</v>
      </c>
      <c r="G710" s="43">
        <f t="shared" si="113"/>
        <v>3.3333333333333339</v>
      </c>
    </row>
    <row r="711" spans="1:7">
      <c r="A711">
        <v>345</v>
      </c>
      <c r="B711" s="5">
        <f t="shared" si="108"/>
        <v>0.03</v>
      </c>
      <c r="C711" s="5">
        <f t="shared" si="109"/>
        <v>0.06</v>
      </c>
      <c r="D711" s="5">
        <f t="shared" si="110"/>
        <v>0.09</v>
      </c>
      <c r="E711" s="43">
        <f t="shared" si="111"/>
        <v>0.83333333333333348</v>
      </c>
      <c r="F711" s="43">
        <f t="shared" si="112"/>
        <v>1.666666666666667</v>
      </c>
      <c r="G711" s="43">
        <f t="shared" si="113"/>
        <v>3.3333333333333339</v>
      </c>
    </row>
    <row r="712" spans="1:7">
      <c r="A712">
        <v>346</v>
      </c>
      <c r="B712" s="5">
        <f t="shared" si="108"/>
        <v>0.03</v>
      </c>
      <c r="C712" s="5">
        <f t="shared" si="109"/>
        <v>0.06</v>
      </c>
      <c r="D712" s="5">
        <f t="shared" si="110"/>
        <v>0.09</v>
      </c>
      <c r="E712" s="43">
        <f t="shared" si="111"/>
        <v>0.83333333333333348</v>
      </c>
      <c r="F712" s="43">
        <f t="shared" si="112"/>
        <v>1.666666666666667</v>
      </c>
      <c r="G712" s="43">
        <f t="shared" si="113"/>
        <v>3.3333333333333339</v>
      </c>
    </row>
    <row r="713" spans="1:7">
      <c r="A713">
        <v>347</v>
      </c>
      <c r="B713" s="5">
        <f t="shared" si="108"/>
        <v>0.03</v>
      </c>
      <c r="C713" s="5">
        <f t="shared" si="109"/>
        <v>0.06</v>
      </c>
      <c r="D713" s="5">
        <f t="shared" si="110"/>
        <v>0.09</v>
      </c>
      <c r="E713" s="43">
        <f t="shared" si="111"/>
        <v>0.83333333333333348</v>
      </c>
      <c r="F713" s="43">
        <f t="shared" si="112"/>
        <v>1.666666666666667</v>
      </c>
      <c r="G713" s="43">
        <f t="shared" si="113"/>
        <v>3.3333333333333339</v>
      </c>
    </row>
    <row r="714" spans="1:7">
      <c r="A714">
        <v>348</v>
      </c>
      <c r="B714" s="5">
        <f t="shared" si="108"/>
        <v>0.03</v>
      </c>
      <c r="C714" s="5">
        <f t="shared" si="109"/>
        <v>0.06</v>
      </c>
      <c r="D714" s="5">
        <f t="shared" si="110"/>
        <v>0.09</v>
      </c>
      <c r="E714" s="43">
        <f t="shared" si="111"/>
        <v>0.83333333333333348</v>
      </c>
      <c r="F714" s="43">
        <f t="shared" si="112"/>
        <v>1.666666666666667</v>
      </c>
      <c r="G714" s="43">
        <f t="shared" si="113"/>
        <v>3.3333333333333339</v>
      </c>
    </row>
    <row r="715" spans="1:7">
      <c r="A715">
        <v>349</v>
      </c>
      <c r="B715" s="5">
        <f t="shared" si="108"/>
        <v>0.03</v>
      </c>
      <c r="C715" s="5">
        <f t="shared" si="109"/>
        <v>0.06</v>
      </c>
      <c r="D715" s="5">
        <f t="shared" si="110"/>
        <v>0.09</v>
      </c>
      <c r="E715" s="43">
        <f t="shared" si="111"/>
        <v>0.83333333333333348</v>
      </c>
      <c r="F715" s="43">
        <f t="shared" si="112"/>
        <v>1.666666666666667</v>
      </c>
      <c r="G715" s="43">
        <f t="shared" si="113"/>
        <v>3.3333333333333339</v>
      </c>
    </row>
    <row r="716" spans="1:7">
      <c r="A716">
        <v>350</v>
      </c>
      <c r="B716" s="5">
        <f t="shared" si="108"/>
        <v>0.03</v>
      </c>
      <c r="C716" s="5">
        <f t="shared" si="109"/>
        <v>0.06</v>
      </c>
      <c r="D716" s="5">
        <f t="shared" si="110"/>
        <v>0.09</v>
      </c>
      <c r="E716" s="43">
        <f t="shared" si="111"/>
        <v>0.83333333333333348</v>
      </c>
      <c r="F716" s="43">
        <f t="shared" si="112"/>
        <v>1.666666666666667</v>
      </c>
      <c r="G716" s="43">
        <f t="shared" si="113"/>
        <v>3.3333333333333339</v>
      </c>
    </row>
    <row r="717" spans="1:7">
      <c r="A717">
        <v>351</v>
      </c>
      <c r="B717" s="5">
        <f t="shared" si="108"/>
        <v>0.03</v>
      </c>
      <c r="C717" s="5">
        <f t="shared" si="109"/>
        <v>0.06</v>
      </c>
      <c r="D717" s="5">
        <f t="shared" si="110"/>
        <v>0.09</v>
      </c>
      <c r="E717" s="43">
        <f t="shared" si="111"/>
        <v>0.83333333333333348</v>
      </c>
      <c r="F717" s="43">
        <f t="shared" si="112"/>
        <v>1.666666666666667</v>
      </c>
      <c r="G717" s="43">
        <f t="shared" si="113"/>
        <v>3.3333333333333339</v>
      </c>
    </row>
    <row r="718" spans="1:7">
      <c r="A718">
        <v>352</v>
      </c>
      <c r="B718" s="5">
        <f t="shared" si="108"/>
        <v>0.03</v>
      </c>
      <c r="C718" s="5">
        <f t="shared" si="109"/>
        <v>0.06</v>
      </c>
      <c r="D718" s="5">
        <f t="shared" si="110"/>
        <v>0.09</v>
      </c>
      <c r="E718" s="43">
        <f t="shared" si="111"/>
        <v>0.83333333333333348</v>
      </c>
      <c r="F718" s="43">
        <f t="shared" si="112"/>
        <v>1.666666666666667</v>
      </c>
      <c r="G718" s="43">
        <f t="shared" si="113"/>
        <v>3.3333333333333339</v>
      </c>
    </row>
    <row r="719" spans="1:7">
      <c r="A719">
        <v>353</v>
      </c>
      <c r="B719" s="5">
        <f t="shared" si="108"/>
        <v>0.03</v>
      </c>
      <c r="C719" s="5">
        <f t="shared" si="109"/>
        <v>0.06</v>
      </c>
      <c r="D719" s="5">
        <f t="shared" si="110"/>
        <v>0.09</v>
      </c>
      <c r="E719" s="43">
        <f t="shared" si="111"/>
        <v>0.83333333333333348</v>
      </c>
      <c r="F719" s="43">
        <f t="shared" si="112"/>
        <v>1.666666666666667</v>
      </c>
      <c r="G719" s="43">
        <f t="shared" si="113"/>
        <v>3.3333333333333339</v>
      </c>
    </row>
    <row r="720" spans="1:7">
      <c r="A720">
        <v>354</v>
      </c>
      <c r="B720" s="5">
        <f t="shared" si="108"/>
        <v>0.03</v>
      </c>
      <c r="C720" s="5">
        <f t="shared" si="109"/>
        <v>0.06</v>
      </c>
      <c r="D720" s="5">
        <f t="shared" si="110"/>
        <v>0.09</v>
      </c>
      <c r="E720" s="43">
        <f t="shared" si="111"/>
        <v>0.83333333333333348</v>
      </c>
      <c r="F720" s="43">
        <f t="shared" si="112"/>
        <v>1.666666666666667</v>
      </c>
      <c r="G720" s="43">
        <f t="shared" si="113"/>
        <v>3.3333333333333339</v>
      </c>
    </row>
    <row r="721" spans="1:7">
      <c r="A721">
        <v>355</v>
      </c>
      <c r="B721" s="5">
        <f t="shared" si="108"/>
        <v>0.03</v>
      </c>
      <c r="C721" s="5">
        <f t="shared" si="109"/>
        <v>0.06</v>
      </c>
      <c r="D721" s="5">
        <f t="shared" si="110"/>
        <v>0.09</v>
      </c>
      <c r="E721" s="43">
        <f t="shared" si="111"/>
        <v>0.83333333333333348</v>
      </c>
      <c r="F721" s="43">
        <f t="shared" si="112"/>
        <v>1.666666666666667</v>
      </c>
      <c r="G721" s="43">
        <f t="shared" si="113"/>
        <v>3.3333333333333339</v>
      </c>
    </row>
    <row r="722" spans="1:7">
      <c r="A722">
        <v>356</v>
      </c>
      <c r="B722" s="5">
        <f t="shared" si="108"/>
        <v>0.03</v>
      </c>
      <c r="C722" s="5">
        <f t="shared" si="109"/>
        <v>0.06</v>
      </c>
      <c r="D722" s="5">
        <f t="shared" si="110"/>
        <v>0.09</v>
      </c>
      <c r="E722" s="43">
        <f t="shared" si="111"/>
        <v>0.83333333333333348</v>
      </c>
      <c r="F722" s="43">
        <f t="shared" si="112"/>
        <v>1.666666666666667</v>
      </c>
      <c r="G722" s="43">
        <f t="shared" si="113"/>
        <v>3.3333333333333339</v>
      </c>
    </row>
    <row r="723" spans="1:7">
      <c r="A723">
        <v>357</v>
      </c>
      <c r="B723" s="5">
        <f t="shared" si="108"/>
        <v>0.03</v>
      </c>
      <c r="C723" s="5">
        <f t="shared" si="109"/>
        <v>0.06</v>
      </c>
      <c r="D723" s="5">
        <f t="shared" si="110"/>
        <v>0.09</v>
      </c>
      <c r="E723" s="43">
        <f t="shared" si="111"/>
        <v>0.83333333333333348</v>
      </c>
      <c r="F723" s="43">
        <f t="shared" si="112"/>
        <v>1.666666666666667</v>
      </c>
      <c r="G723" s="43">
        <f t="shared" si="113"/>
        <v>3.3333333333333339</v>
      </c>
    </row>
    <row r="724" spans="1:7">
      <c r="A724">
        <v>358</v>
      </c>
      <c r="B724" s="5">
        <f t="shared" si="108"/>
        <v>0.03</v>
      </c>
      <c r="C724" s="5">
        <f t="shared" si="109"/>
        <v>0.06</v>
      </c>
      <c r="D724" s="5">
        <f t="shared" si="110"/>
        <v>0.09</v>
      </c>
      <c r="E724" s="43">
        <f t="shared" si="111"/>
        <v>0.83333333333333348</v>
      </c>
      <c r="F724" s="43">
        <f t="shared" si="112"/>
        <v>1.666666666666667</v>
      </c>
      <c r="G724" s="43">
        <f t="shared" si="113"/>
        <v>3.3333333333333339</v>
      </c>
    </row>
    <row r="725" spans="1:7">
      <c r="A725">
        <v>359</v>
      </c>
      <c r="B725" s="5">
        <f t="shared" si="108"/>
        <v>0.03</v>
      </c>
      <c r="C725" s="5">
        <f t="shared" si="109"/>
        <v>0.06</v>
      </c>
      <c r="D725" s="5">
        <f t="shared" si="110"/>
        <v>0.09</v>
      </c>
      <c r="E725" s="43">
        <f t="shared" si="111"/>
        <v>0.83333333333333348</v>
      </c>
      <c r="F725" s="43">
        <f t="shared" si="112"/>
        <v>1.666666666666667</v>
      </c>
      <c r="G725" s="43">
        <f t="shared" si="113"/>
        <v>3.3333333333333339</v>
      </c>
    </row>
    <row r="726" spans="1:7">
      <c r="A726">
        <v>360</v>
      </c>
      <c r="B726" s="5">
        <f t="shared" si="108"/>
        <v>0.03</v>
      </c>
      <c r="C726" s="5">
        <f t="shared" si="109"/>
        <v>0.06</v>
      </c>
      <c r="D726" s="5">
        <f t="shared" si="110"/>
        <v>0.09</v>
      </c>
      <c r="E726" s="43">
        <f t="shared" si="111"/>
        <v>0.83333333333333348</v>
      </c>
      <c r="F726" s="43">
        <f t="shared" si="112"/>
        <v>1.666666666666667</v>
      </c>
      <c r="G726" s="43">
        <f t="shared" si="113"/>
        <v>3.3333333333333339</v>
      </c>
    </row>
  </sheetData>
  <mergeCells count="6">
    <mergeCell ref="C1:E1"/>
    <mergeCell ref="F1:J1"/>
    <mergeCell ref="P1:Q1"/>
    <mergeCell ref="M1:O1"/>
    <mergeCell ref="B365:D365"/>
    <mergeCell ref="E365:G365"/>
  </mergeCells>
  <pageMargins left="0.7" right="0.7" top="0.75" bottom="0.75" header="0.3" footer="0.3"/>
  <pageSetup orientation="portrait" horizontalDpi="0" verticalDpi="0" r:id="rId1"/>
  <ignoredErrors>
    <ignoredError sqref="J367:J1048576 H3:H363 J3:J365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75B24-36AF-42F0-B172-7BDE7EF33794}">
  <sheetPr codeName="Sheet4"/>
  <dimension ref="A1:H369"/>
  <sheetViews>
    <sheetView workbookViewId="0">
      <selection activeCell="D8" sqref="D8"/>
    </sheetView>
  </sheetViews>
  <sheetFormatPr baseColWidth="10" defaultColWidth="8.83203125" defaultRowHeight="15"/>
  <cols>
    <col min="1" max="1" width="25" customWidth="1"/>
    <col min="2" max="2" width="20.33203125" customWidth="1"/>
    <col min="3" max="3" width="17.1640625" customWidth="1"/>
    <col min="4" max="4" width="27" customWidth="1"/>
    <col min="5" max="5" width="26.1640625" bestFit="1" customWidth="1"/>
    <col min="6" max="6" width="25.5" bestFit="1" customWidth="1"/>
    <col min="7" max="7" width="25.5" customWidth="1"/>
    <col min="8" max="8" width="26.33203125" customWidth="1"/>
  </cols>
  <sheetData>
    <row r="1" spans="1:8">
      <c r="A1" t="s">
        <v>3</v>
      </c>
      <c r="B1">
        <v>5</v>
      </c>
      <c r="C1" t="s">
        <v>2</v>
      </c>
      <c r="D1">
        <v>360</v>
      </c>
    </row>
    <row r="2" spans="1:8" ht="16">
      <c r="A2" s="27" t="s">
        <v>17</v>
      </c>
      <c r="B2" s="27" t="s">
        <v>12</v>
      </c>
      <c r="C2" s="27" t="s">
        <v>13</v>
      </c>
      <c r="D2" s="27" t="s">
        <v>29</v>
      </c>
      <c r="E2" s="27" t="s">
        <v>31</v>
      </c>
      <c r="F2" s="27" t="s">
        <v>30</v>
      </c>
      <c r="G2" s="27" t="s">
        <v>32</v>
      </c>
      <c r="H2" s="27" t="s">
        <v>16</v>
      </c>
    </row>
    <row r="3" spans="1:8">
      <c r="A3">
        <f>'PSA&amp;CPR'!A3</f>
        <v>1</v>
      </c>
      <c r="B3" s="19">
        <f>100000</f>
        <v>100000</v>
      </c>
      <c r="C3" s="19">
        <f>B3*($B$1/1200)</f>
        <v>416.66666666666669</v>
      </c>
      <c r="D3" s="19">
        <f>Monthly_payment($B$1,$D$1,$B$3)*1</f>
        <v>536.82162301213975</v>
      </c>
      <c r="E3" s="19">
        <f>Principle_portion_of_payment($B$1,$D$1,A3,$B$3)*1</f>
        <v>120.15495634547315</v>
      </c>
      <c r="F3" s="19">
        <f>Interest_portion_of_payment($B$1,$D$1,A3,$B$3)*1</f>
        <v>416.66666666666669</v>
      </c>
      <c r="G3" s="19">
        <f>(B3-E3)*'PSA&amp;CPR'!F3</f>
        <v>8.3271377145472112</v>
      </c>
      <c r="H3" s="19">
        <f>Remaining_balance($B$1,$D$1,A3,$B$3)*'PSA&amp;CPR'!M3</f>
        <v>99871.517905939996</v>
      </c>
    </row>
    <row r="4" spans="1:8">
      <c r="A4">
        <f>'PSA&amp;CPR'!A4</f>
        <v>2</v>
      </c>
      <c r="B4" s="19">
        <f>H3</f>
        <v>99871.517905939996</v>
      </c>
      <c r="C4" s="19">
        <f>B4*($B$1/1200)</f>
        <v>416.13132460808333</v>
      </c>
      <c r="D4" s="19">
        <f>Monthly_payment($B$1,$D$1,$B$3)*'PSA&amp;CPR'!M3</f>
        <v>536.77686736017597</v>
      </c>
      <c r="E4" s="19">
        <f>Principle_portion_of_payment($B$1,$D$1,A4,$B$3)*'PSA&amp;CPR'!M3</f>
        <v>120.64554275209279</v>
      </c>
      <c r="F4" s="19">
        <f>Interest_portion_of_payment($B$1,$D$1,A4,$B$3)*'PSA&amp;CPR'!M3</f>
        <v>416.13132460808322</v>
      </c>
      <c r="G4" s="19">
        <f>(B4-E4)*'PSA&amp;CPR'!F4</f>
        <v>16.640404611884637</v>
      </c>
      <c r="H4" s="19">
        <f>Remaining_balance($B$1,$D$1,A4,$B$3)*'PSA&amp;CPR'!M4</f>
        <v>99734.231958575998</v>
      </c>
    </row>
    <row r="5" spans="1:8">
      <c r="A5">
        <f>'PSA&amp;CPR'!A5</f>
        <v>3</v>
      </c>
      <c r="B5" s="19">
        <f t="shared" ref="B5:B68" si="0">H4</f>
        <v>99734.231958575998</v>
      </c>
      <c r="C5" s="19">
        <f t="shared" ref="C5:C68" si="1">B5*($B$1/1200)</f>
        <v>415.55929982739997</v>
      </c>
      <c r="D5" s="19">
        <f>Monthly_payment($B$1,$D$1,$B$3)*'PSA&amp;CPR'!M4</f>
        <v>536.68732243643183</v>
      </c>
      <c r="E5" s="19">
        <f>Principle_portion_of_payment($B$1,$D$1,A5,$B$3)*'PSA&amp;CPR'!M4</f>
        <v>121.12802260903189</v>
      </c>
      <c r="F5" s="19">
        <f>Interest_portion_of_payment($B$1,$D$1,A5,$B$3)*'PSA&amp;CPR'!M4</f>
        <v>415.55929982740003</v>
      </c>
      <c r="G5" s="19">
        <f>(B5-E5)*'PSA&amp;CPR'!F5</f>
        <v>24.937583762883559</v>
      </c>
      <c r="H5" s="19">
        <f>Remaining_balance($B$1,$D$1,A5,$B$3)*'PSA&amp;CPR'!M5</f>
        <v>99588.166352204091</v>
      </c>
    </row>
    <row r="6" spans="1:8">
      <c r="A6">
        <f>'PSA&amp;CPR'!A6</f>
        <v>4</v>
      </c>
      <c r="B6" s="19">
        <f t="shared" si="0"/>
        <v>99588.166352204091</v>
      </c>
      <c r="C6" s="19">
        <f t="shared" si="1"/>
        <v>414.95069313418372</v>
      </c>
      <c r="D6" s="19">
        <f>Monthly_payment($B$1,$D$1,$B$3)*'PSA&amp;CPR'!M5</f>
        <v>536.55296576518163</v>
      </c>
      <c r="E6" s="19">
        <f>Principle_portion_of_payment($B$1,$D$1,A6,$B$3)*'PSA&amp;CPR'!M5</f>
        <v>121.602272630998</v>
      </c>
      <c r="F6" s="19">
        <f>Interest_portion_of_payment($B$1,$D$1,A6,$B$3)*'PSA&amp;CPR'!M5</f>
        <v>414.95069313418372</v>
      </c>
      <c r="G6" s="19">
        <f>(B6-E6)*'PSA&amp;CPR'!F6</f>
        <v>33.216462276608262</v>
      </c>
      <c r="H6" s="19">
        <f>Remaining_balance($B$1,$D$1,A6,$B$3)*'PSA&amp;CPR'!M6</f>
        <v>99433.347617296487</v>
      </c>
    </row>
    <row r="7" spans="1:8">
      <c r="A7">
        <f>'PSA&amp;CPR'!A7</f>
        <v>5</v>
      </c>
      <c r="B7" s="19">
        <f t="shared" si="0"/>
        <v>99433.347617296487</v>
      </c>
      <c r="C7" s="19">
        <f t="shared" si="1"/>
        <v>414.30561507206869</v>
      </c>
      <c r="D7" s="19">
        <f>Monthly_payment($B$1,$D$1,$B$3)*'PSA&amp;CPR'!M6</f>
        <v>536.37378604271248</v>
      </c>
      <c r="E7" s="19">
        <f>Principle_portion_of_payment($B$1,$D$1,A7,$B$3)*'PSA&amp;CPR'!M6</f>
        <v>122.06817097064383</v>
      </c>
      <c r="F7" s="19">
        <f>Interest_portion_of_payment($B$1,$D$1,A7,$B$3)*'PSA&amp;CPR'!M6</f>
        <v>414.30561507206875</v>
      </c>
      <c r="G7" s="19">
        <f>(B7-E7)*'PSA&amp;CPR'!F7</f>
        <v>41.474832281006336</v>
      </c>
      <c r="H7" s="19">
        <f>Remaining_balance($B$1,$D$1,A7,$B$3)*'PSA&amp;CPR'!M7</f>
        <v>99269.804614044842</v>
      </c>
    </row>
    <row r="8" spans="1:8">
      <c r="A8">
        <f>'PSA&amp;CPR'!A8</f>
        <v>6</v>
      </c>
      <c r="B8" s="19">
        <f t="shared" si="0"/>
        <v>99269.804614044842</v>
      </c>
      <c r="C8" s="19">
        <f t="shared" si="1"/>
        <v>413.62418589185353</v>
      </c>
      <c r="D8" s="19">
        <f>Monthly_payment($B$1,$D$1,$B$3)*'PSA&amp;CPR'!M7</f>
        <v>536.14978316066242</v>
      </c>
      <c r="E8" s="19">
        <f>Principle_portion_of_payment($B$1,$D$1,A8,$B$3)*'PSA&amp;CPR'!M7</f>
        <v>122.52559726880905</v>
      </c>
      <c r="F8" s="19">
        <f>Interest_portion_of_payment($B$1,$D$1,A8,$B$3)*'PSA&amp;CPR'!M7</f>
        <v>413.62418589185341</v>
      </c>
      <c r="G8" s="19">
        <f>(B8-E8)*'PSA&amp;CPR'!F8</f>
        <v>49.710491902944533</v>
      </c>
      <c r="H8" s="19">
        <f>Remaining_balance($B$1,$D$1,A8,$B$3)*'PSA&amp;CPR'!M8</f>
        <v>99097.568524873073</v>
      </c>
    </row>
    <row r="9" spans="1:8">
      <c r="A9">
        <f>'PSA&amp;CPR'!A9</f>
        <v>7</v>
      </c>
      <c r="B9" s="19">
        <f t="shared" si="0"/>
        <v>99097.568524873073</v>
      </c>
      <c r="C9" s="19">
        <f t="shared" si="1"/>
        <v>412.90653552030449</v>
      </c>
      <c r="D9" s="19">
        <f>Monthly_payment($B$1,$D$1,$B$3)*'PSA&amp;CPR'!M8</f>
        <v>535.88096822475211</v>
      </c>
      <c r="E9" s="19">
        <f>Principle_portion_of_payment($B$1,$D$1,A9,$B$3)*'PSA&amp;CPR'!M8</f>
        <v>122.97443270444775</v>
      </c>
      <c r="F9" s="19">
        <f>Interest_portion_of_payment($B$1,$D$1,A9,$B$3)*'PSA&amp;CPR'!M8</f>
        <v>412.90653552030443</v>
      </c>
      <c r="G9" s="19">
        <f>(B9-E9)*'PSA&amp;CPR'!F9</f>
        <v>57.921246247154954</v>
      </c>
      <c r="H9" s="19">
        <f>Remaining_balance($B$1,$D$1,A9,$B$3)*'PSA&amp;CPR'!M9</f>
        <v>98916.672845921479</v>
      </c>
    </row>
    <row r="10" spans="1:8">
      <c r="A10">
        <f>'PSA&amp;CPR'!A10</f>
        <v>8</v>
      </c>
      <c r="B10" s="19">
        <f t="shared" si="0"/>
        <v>98916.672845921479</v>
      </c>
      <c r="C10" s="19">
        <f t="shared" si="1"/>
        <v>412.15280352467283</v>
      </c>
      <c r="D10" s="19">
        <f>Monthly_payment($B$1,$D$1,$B$3)*'PSA&amp;CPR'!M9</f>
        <v>535.56736356888655</v>
      </c>
      <c r="E10" s="19">
        <f>Principle_portion_of_payment($B$1,$D$1,A10,$B$3)*'PSA&amp;CPR'!M9</f>
        <v>123.41456004421384</v>
      </c>
      <c r="F10" s="19">
        <f>Interest_portion_of_payment($B$1,$D$1,A10,$B$3)*'PSA&amp;CPR'!M9</f>
        <v>412.15280352467289</v>
      </c>
      <c r="G10" s="19">
        <f>(B10-E10)*'PSA&amp;CPR'!F10</f>
        <v>66.104908373378834</v>
      </c>
      <c r="H10" s="19">
        <f>Remaining_balance($B$1,$D$1,A10,$B$3)*'PSA&amp;CPR'!M10</f>
        <v>98727.15337750387</v>
      </c>
    </row>
    <row r="11" spans="1:8">
      <c r="A11">
        <f>'PSA&amp;CPR'!A11</f>
        <v>9</v>
      </c>
      <c r="B11" s="19">
        <f t="shared" si="0"/>
        <v>98727.15337750387</v>
      </c>
      <c r="C11" s="19">
        <f t="shared" si="1"/>
        <v>411.36313907293277</v>
      </c>
      <c r="D11" s="19">
        <f>Monthly_payment($B$1,$D$1,$B$3)*'PSA&amp;CPR'!M10</f>
        <v>535.20900276460929</v>
      </c>
      <c r="E11" s="19">
        <f>Principle_portion_of_payment($B$1,$D$1,A11,$B$3)*'PSA&amp;CPR'!M10</f>
        <v>123.84586369167658</v>
      </c>
      <c r="F11" s="19">
        <f>Interest_portion_of_payment($B$1,$D$1,A11,$B$3)*'PSA&amp;CPR'!M10</f>
        <v>411.36313907293277</v>
      </c>
      <c r="G11" s="19">
        <f>(B11-E11)*'PSA&amp;CPR'!F11</f>
        <v>74.259300271159901</v>
      </c>
      <c r="H11" s="19">
        <f>Remaining_balance($B$1,$D$1,A11,$B$3)*'PSA&amp;CPR'!M11</f>
        <v>98529.048213541042</v>
      </c>
    </row>
    <row r="12" spans="1:8">
      <c r="A12">
        <f>'PSA&amp;CPR'!A12</f>
        <v>10</v>
      </c>
      <c r="B12" s="19">
        <f t="shared" si="0"/>
        <v>98529.048213541042</v>
      </c>
      <c r="C12" s="19">
        <f t="shared" si="1"/>
        <v>410.53770088975432</v>
      </c>
      <c r="D12" s="19">
        <f>Monthly_payment($B$1,$D$1,$B$3)*'PSA&amp;CPR'!M11</f>
        <v>534.80593062589264</v>
      </c>
      <c r="E12" s="19">
        <f>Principle_portion_of_payment($B$1,$D$1,A12,$B$3)*'PSA&amp;CPR'!M11</f>
        <v>124.26822973613844</v>
      </c>
      <c r="F12" s="19">
        <f>Interest_portion_of_payment($B$1,$D$1,A12,$B$3)*'PSA&amp;CPR'!M11</f>
        <v>410.53770088975432</v>
      </c>
      <c r="G12" s="19">
        <f>(B12-E12)*'PSA&amp;CPR'!F12</f>
        <v>82.38225383168438</v>
      </c>
      <c r="H12" s="19">
        <f>Remaining_balance($B$1,$D$1,A12,$B$3)*'PSA&amp;CPR'!M12</f>
        <v>98322.397729973221</v>
      </c>
    </row>
    <row r="13" spans="1:8">
      <c r="A13">
        <f>'PSA&amp;CPR'!A13</f>
        <v>11</v>
      </c>
      <c r="B13" s="19">
        <f t="shared" si="0"/>
        <v>98322.397729973221</v>
      </c>
      <c r="C13" s="19">
        <f t="shared" si="1"/>
        <v>409.67665720822174</v>
      </c>
      <c r="D13" s="19">
        <f>Monthly_payment($B$1,$D$1,$B$3)*'PSA&amp;CPR'!M12</f>
        <v>534.35820320924927</v>
      </c>
      <c r="E13" s="19">
        <f>Principle_portion_of_payment($B$1,$D$1,A13,$B$3)*'PSA&amp;CPR'!M12</f>
        <v>124.6815460010276</v>
      </c>
      <c r="F13" s="19">
        <f>Interest_portion_of_payment($B$1,$D$1,A13,$B$3)*'PSA&amp;CPR'!M12</f>
        <v>409.67665720822174</v>
      </c>
      <c r="G13" s="19">
        <f>(B13-E13)*'PSA&amp;CPR'!F13</f>
        <v>90.471611816063614</v>
      </c>
      <c r="H13" s="19">
        <f>Remaining_balance($B$1,$D$1,A13,$B$3)*'PSA&amp;CPR'!M13</f>
        <v>98107.244572156138</v>
      </c>
    </row>
    <row r="14" spans="1:8">
      <c r="A14">
        <f>'PSA&amp;CPR'!A14</f>
        <v>12</v>
      </c>
      <c r="B14" s="19">
        <f t="shared" si="0"/>
        <v>98107.244572156138</v>
      </c>
      <c r="C14" s="19">
        <f t="shared" si="1"/>
        <v>408.78018571731724</v>
      </c>
      <c r="D14" s="19">
        <f>Monthly_payment($B$1,$D$1,$B$3)*'PSA&amp;CPR'!M13</f>
        <v>533.86588780915474</v>
      </c>
      <c r="E14" s="19">
        <f>Principle_portion_of_payment($B$1,$D$1,A14,$B$3)*'PSA&amp;CPR'!M13</f>
        <v>125.0857020918377</v>
      </c>
      <c r="F14" s="19">
        <f>Interest_portion_of_payment($B$1,$D$1,A14,$B$3)*'PSA&amp;CPR'!M13</f>
        <v>408.78018571731724</v>
      </c>
      <c r="G14" s="19">
        <f>(B14-E14)*'PSA&amp;CPR'!F14</f>
        <v>98.525228819413968</v>
      </c>
      <c r="H14" s="19">
        <f>Remaining_balance($B$1,$D$1,A14,$B$3)*'PSA&amp;CPR'!M14</f>
        <v>97883.633641244873</v>
      </c>
    </row>
    <row r="15" spans="1:8">
      <c r="A15">
        <f>'PSA&amp;CPR'!A15</f>
        <v>13</v>
      </c>
      <c r="B15" s="19">
        <f t="shared" si="0"/>
        <v>97883.633641244873</v>
      </c>
      <c r="C15" s="19">
        <f t="shared" si="1"/>
        <v>407.84847350518697</v>
      </c>
      <c r="D15" s="19">
        <f>Monthly_payment($B$1,$D$1,$B$3)*'PSA&amp;CPR'!M14</f>
        <v>533.32906294877353</v>
      </c>
      <c r="E15" s="19">
        <f>Principle_portion_of_payment($B$1,$D$1,A15,$B$3)*'PSA&amp;CPR'!M14</f>
        <v>125.48058944358662</v>
      </c>
      <c r="F15" s="19">
        <f>Interest_portion_of_payment($B$1,$D$1,A15,$B$3)*'PSA&amp;CPR'!M14</f>
        <v>407.84847350518697</v>
      </c>
      <c r="G15" s="19">
        <f>(B15-E15)*'PSA&amp;CPR'!F15</f>
        <v>106.54097223020848</v>
      </c>
      <c r="H15" s="19">
        <f>Remaining_balance($B$1,$D$1,A15,$B$3)*'PSA&amp;CPR'!M15</f>
        <v>97651.612079571089</v>
      </c>
    </row>
    <row r="16" spans="1:8">
      <c r="A16">
        <f>'PSA&amp;CPR'!A16</f>
        <v>14</v>
      </c>
      <c r="B16" s="19">
        <f t="shared" si="0"/>
        <v>97651.612079571089</v>
      </c>
      <c r="C16" s="19">
        <f t="shared" si="1"/>
        <v>406.88171699821288</v>
      </c>
      <c r="D16" s="19">
        <f>Monthly_payment($B$1,$D$1,$B$3)*'PSA&amp;CPR'!M15</f>
        <v>532.74781836598072</v>
      </c>
      <c r="E16" s="19">
        <f>Principle_portion_of_payment($B$1,$D$1,A16,$B$3)*'PSA&amp;CPR'!M15</f>
        <v>125.866101367768</v>
      </c>
      <c r="F16" s="19">
        <f>Interest_portion_of_payment($B$1,$D$1,A16,$B$3)*'PSA&amp;CPR'!M15</f>
        <v>406.88171699821277</v>
      </c>
      <c r="G16" s="19">
        <f>(B16-E16)*'PSA&amp;CPR'!F16</f>
        <v>114.51672318420297</v>
      </c>
      <c r="H16" s="19">
        <f>Remaining_balance($B$1,$D$1,A16,$B$3)*'PSA&amp;CPR'!M16</f>
        <v>97411.229255019105</v>
      </c>
    </row>
    <row r="17" spans="1:8">
      <c r="A17">
        <f>'PSA&amp;CPR'!A17</f>
        <v>15</v>
      </c>
      <c r="B17" s="19">
        <f t="shared" si="0"/>
        <v>97411.229255019105</v>
      </c>
      <c r="C17" s="19">
        <f t="shared" si="1"/>
        <v>405.88012189591291</v>
      </c>
      <c r="D17" s="19">
        <f>Monthly_payment($B$1,$D$1,$B$3)*'PSA&amp;CPR'!M16</f>
        <v>532.12225499467934</v>
      </c>
      <c r="E17" s="19">
        <f>Principle_portion_of_payment($B$1,$D$1,A17,$B$3)*'PSA&amp;CPR'!M16</f>
        <v>126.24213309876652</v>
      </c>
      <c r="F17" s="19">
        <f>Interest_portion_of_payment($B$1,$D$1,A17,$B$3)*'PSA&amp;CPR'!M16</f>
        <v>405.88012189591296</v>
      </c>
      <c r="G17" s="19">
        <f>(B17-E17)*'PSA&amp;CPR'!F17</f>
        <v>122.45037751245829</v>
      </c>
      <c r="H17" s="19">
        <f>Remaining_balance($B$1,$D$1,A17,$B$3)*'PSA&amp;CPR'!M17</f>
        <v>97162.536744407873</v>
      </c>
    </row>
    <row r="18" spans="1:8">
      <c r="A18">
        <f>'PSA&amp;CPR'!A18</f>
        <v>16</v>
      </c>
      <c r="B18" s="19">
        <f t="shared" si="0"/>
        <v>97162.536744407873</v>
      </c>
      <c r="C18" s="19">
        <f t="shared" si="1"/>
        <v>404.84390310169948</v>
      </c>
      <c r="D18" s="19">
        <f>Monthly_payment($B$1,$D$1,$B$3)*'PSA&amp;CPR'!M17</f>
        <v>531.45248494141083</v>
      </c>
      <c r="E18" s="19">
        <f>Principle_portion_of_payment($B$1,$D$1,A18,$B$3)*'PSA&amp;CPR'!M17</f>
        <v>126.60858183971141</v>
      </c>
      <c r="F18" s="19">
        <f>Interest_portion_of_payment($B$1,$D$1,A18,$B$3)*'PSA&amp;CPR'!M17</f>
        <v>404.84390310169948</v>
      </c>
      <c r="G18" s="19">
        <f>(B18-E18)*'PSA&amp;CPR'!F18</f>
        <v>130.33984668275534</v>
      </c>
      <c r="H18" s="19">
        <f>Remaining_balance($B$1,$D$1,A18,$B$3)*'PSA&amp;CPR'!M18</f>
        <v>96905.588315885412</v>
      </c>
    </row>
    <row r="19" spans="1:8">
      <c r="A19">
        <f>'PSA&amp;CPR'!A19</f>
        <v>17</v>
      </c>
      <c r="B19" s="19">
        <f t="shared" si="0"/>
        <v>96905.588315885412</v>
      </c>
      <c r="C19" s="19">
        <f t="shared" si="1"/>
        <v>403.77328464952257</v>
      </c>
      <c r="D19" s="19">
        <f>Monthly_payment($B$1,$D$1,$B$3)*'PSA&amp;CPR'!M18</f>
        <v>530.73863145726239</v>
      </c>
      <c r="E19" s="19">
        <f>Principle_portion_of_payment($B$1,$D$1,A19,$B$3)*'PSA&amp;CPR'!M18</f>
        <v>126.96534680773983</v>
      </c>
      <c r="F19" s="19">
        <f>Interest_portion_of_payment($B$1,$D$1,A19,$B$3)*'PSA&amp;CPR'!M18</f>
        <v>403.77328464952257</v>
      </c>
      <c r="G19" s="19">
        <f>(B19-E19)*'PSA&amp;CPR'!F19</f>
        <v>138.18305873383255</v>
      </c>
      <c r="H19" s="19">
        <f>Remaining_balance($B$1,$D$1,A19,$B$3)*'PSA&amp;CPR'!M19</f>
        <v>96640.439910343863</v>
      </c>
    </row>
    <row r="20" spans="1:8">
      <c r="A20">
        <f>'PSA&amp;CPR'!A20</f>
        <v>18</v>
      </c>
      <c r="B20" s="19">
        <f t="shared" si="0"/>
        <v>96640.439910343863</v>
      </c>
      <c r="C20" s="19">
        <f t="shared" si="1"/>
        <v>402.66849962643278</v>
      </c>
      <c r="D20" s="19">
        <f>Monthly_payment($B$1,$D$1,$B$3)*'PSA&amp;CPR'!M19</f>
        <v>529.98082890507681</v>
      </c>
      <c r="E20" s="19">
        <f>Principle_portion_of_payment($B$1,$D$1,A20,$B$3)*'PSA&amp;CPR'!M19</f>
        <v>127.31232927864414</v>
      </c>
      <c r="F20" s="19">
        <f>Interest_portion_of_payment($B$1,$D$1,A20,$B$3)*'PSA&amp;CPR'!M19</f>
        <v>402.66849962643278</v>
      </c>
      <c r="G20" s="19">
        <f>(B20-E20)*'PSA&amp;CPR'!F20</f>
        <v>145.97795920198709</v>
      </c>
      <c r="H20" s="19">
        <f>Remaining_balance($B$1,$D$1,A20,$B$3)*'PSA&amp;CPR'!M20</f>
        <v>96367.149621863224</v>
      </c>
    </row>
    <row r="21" spans="1:8">
      <c r="A21">
        <f>'PSA&amp;CPR'!A21</f>
        <v>19</v>
      </c>
      <c r="B21" s="19">
        <f t="shared" si="0"/>
        <v>96367.149621863224</v>
      </c>
      <c r="C21" s="19">
        <f t="shared" si="1"/>
        <v>401.52979009109674</v>
      </c>
      <c r="D21" s="19">
        <f>Monthly_payment($B$1,$D$1,$B$3)*'PSA&amp;CPR'!M20</f>
        <v>529.17922272197222</v>
      </c>
      <c r="E21" s="19">
        <f>Principle_portion_of_payment($B$1,$D$1,A21,$B$3)*'PSA&amp;CPR'!M20</f>
        <v>127.64943263087552</v>
      </c>
      <c r="F21" s="19">
        <f>Interest_portion_of_payment($B$1,$D$1,A21,$B$3)*'PSA&amp;CPR'!M20</f>
        <v>401.52979009109674</v>
      </c>
      <c r="G21" s="19">
        <f>(B21-E21)*'PSA&amp;CPR'!F21</f>
        <v>153.72251203921743</v>
      </c>
      <c r="H21" s="19">
        <f>Remaining_balance($B$1,$D$1,A21,$B$3)*'PSA&amp;CPR'!M21</f>
        <v>96085.777677193124</v>
      </c>
    </row>
    <row r="22" spans="1:8">
      <c r="A22">
        <f>'PSA&amp;CPR'!A22</f>
        <v>20</v>
      </c>
      <c r="B22" s="19">
        <f t="shared" si="0"/>
        <v>96085.777677193124</v>
      </c>
      <c r="C22" s="19">
        <f t="shared" si="1"/>
        <v>400.35740698830466</v>
      </c>
      <c r="D22" s="19">
        <f>Monthly_payment($B$1,$D$1,$B$3)*'PSA&amp;CPR'!M21</f>
        <v>528.33396937718305</v>
      </c>
      <c r="E22" s="19">
        <f>Principle_portion_of_payment($B$1,$D$1,A22,$B$3)*'PSA&amp;CPR'!M21</f>
        <v>127.97656238887848</v>
      </c>
      <c r="F22" s="19">
        <f>Interest_portion_of_payment($B$1,$D$1,A22,$B$3)*'PSA&amp;CPR'!M21</f>
        <v>400.35740698830472</v>
      </c>
      <c r="G22" s="19">
        <f>(B22-E22)*'PSA&amp;CPR'!F22</f>
        <v>161.41470052253314</v>
      </c>
      <c r="H22" s="19">
        <f>Remaining_balance($B$1,$D$1,A22,$B$3)*'PSA&amp;CPR'!M22</f>
        <v>95796.386414281704</v>
      </c>
    </row>
    <row r="23" spans="1:8">
      <c r="A23">
        <f>'PSA&amp;CPR'!A23</f>
        <v>21</v>
      </c>
      <c r="B23" s="19">
        <f t="shared" si="0"/>
        <v>95796.386414281704</v>
      </c>
      <c r="C23" s="19">
        <f t="shared" si="1"/>
        <v>399.15161005950711</v>
      </c>
      <c r="D23" s="19">
        <f>Monthly_payment($B$1,$D$1,$B$3)*'PSA&amp;CPR'!M22</f>
        <v>527.4452363252359</v>
      </c>
      <c r="E23" s="19">
        <f>Principle_portion_of_payment($B$1,$D$1,A23,$B$3)*'PSA&amp;CPR'!M22</f>
        <v>128.29362626572888</v>
      </c>
      <c r="F23" s="19">
        <f>Interest_portion_of_payment($B$1,$D$1,A23,$B$3)*'PSA&amp;CPR'!M22</f>
        <v>399.15161005950716</v>
      </c>
      <c r="G23" s="19">
        <f>(B23-E23)*'PSA&amp;CPR'!F23</f>
        <v>169.05252815375891</v>
      </c>
      <c r="H23" s="19">
        <f>Remaining_balance($B$1,$D$1,A23,$B$3)*'PSA&amp;CPR'!M23</f>
        <v>95499.040259862217</v>
      </c>
    </row>
    <row r="24" spans="1:8">
      <c r="A24">
        <f>'PSA&amp;CPR'!A24</f>
        <v>22</v>
      </c>
      <c r="B24" s="19">
        <f t="shared" si="0"/>
        <v>95499.040259862217</v>
      </c>
      <c r="C24" s="19">
        <f t="shared" si="1"/>
        <v>397.91266774942591</v>
      </c>
      <c r="D24" s="19">
        <f>Monthly_payment($B$1,$D$1,$B$3)*'PSA&amp;CPR'!M23</f>
        <v>526.51320195447636</v>
      </c>
      <c r="E24" s="19">
        <f>Principle_portion_of_payment($B$1,$D$1,A24,$B$3)*'PSA&amp;CPR'!M23</f>
        <v>128.60053420505059</v>
      </c>
      <c r="F24" s="19">
        <f>Interest_portion_of_payment($B$1,$D$1,A24,$B$3)*'PSA&amp;CPR'!M23</f>
        <v>397.91266774942585</v>
      </c>
      <c r="G24" s="19">
        <f>(B24-E24)*'PSA&amp;CPR'!F24</f>
        <v>176.63401954930674</v>
      </c>
      <c r="H24" s="19">
        <f>Remaining_balance($B$1,$D$1,A24,$B$3)*'PSA&amp;CPR'!M24</f>
        <v>95193.805706107873</v>
      </c>
    </row>
    <row r="25" spans="1:8">
      <c r="A25">
        <f>'PSA&amp;CPR'!A25</f>
        <v>23</v>
      </c>
      <c r="B25" s="19">
        <f t="shared" si="0"/>
        <v>95193.805706107873</v>
      </c>
      <c r="C25" s="19">
        <f t="shared" si="1"/>
        <v>396.64085710878282</v>
      </c>
      <c r="D25" s="19">
        <f>Monthly_payment($B$1,$D$1,$B$3)*'PSA&amp;CPR'!M24</f>
        <v>525.53805553096697</v>
      </c>
      <c r="E25" s="19">
        <f>Principle_portion_of_payment($B$1,$D$1,A25,$B$3)*'PSA&amp;CPR'!M24</f>
        <v>128.89719842218432</v>
      </c>
      <c r="F25" s="19">
        <f>Interest_portion_of_payment($B$1,$D$1,A25,$B$3)*'PSA&amp;CPR'!M24</f>
        <v>396.64085710878282</v>
      </c>
      <c r="G25" s="19">
        <f>(B25-E25)*'PSA&amp;CPR'!F25</f>
        <v>184.15722131929857</v>
      </c>
      <c r="H25" s="19">
        <f>Remaining_balance($B$1,$D$1,A25,$B$3)*'PSA&amp;CPR'!M25</f>
        <v>94880.751286366401</v>
      </c>
    </row>
    <row r="26" spans="1:8">
      <c r="A26">
        <f>'PSA&amp;CPR'!A26</f>
        <v>24</v>
      </c>
      <c r="B26" s="19">
        <f t="shared" si="0"/>
        <v>94880.751286366401</v>
      </c>
      <c r="C26" s="19">
        <f t="shared" si="1"/>
        <v>395.33646369319331</v>
      </c>
      <c r="D26" s="19">
        <f>Monthly_payment($B$1,$D$1,$B$3)*'PSA&amp;CPR'!M25</f>
        <v>524.51999713777661</v>
      </c>
      <c r="E26" s="19">
        <f>Principle_portion_of_payment($B$1,$D$1,A26,$B$3)*'PSA&amp;CPR'!M25</f>
        <v>129.18353344458336</v>
      </c>
      <c r="F26" s="19">
        <f>Interest_portion_of_payment($B$1,$D$1,A26,$B$3)*'PSA&amp;CPR'!M25</f>
        <v>395.33646369319325</v>
      </c>
      <c r="G26" s="19">
        <f>(B26-E26)*'PSA&amp;CPR'!F26</f>
        <v>191.62020293555707</v>
      </c>
      <c r="H26" s="19">
        <f>Remaining_balance($B$1,$D$1,A26,$B$3)*'PSA&amp;CPR'!M26</f>
        <v>94559.947549986246</v>
      </c>
    </row>
    <row r="27" spans="1:8">
      <c r="A27">
        <f>'PSA&amp;CPR'!A27</f>
        <v>25</v>
      </c>
      <c r="B27" s="19">
        <f t="shared" si="0"/>
        <v>94559.947549986246</v>
      </c>
      <c r="C27" s="19">
        <f t="shared" si="1"/>
        <v>393.999781458276</v>
      </c>
      <c r="D27" s="19">
        <f>Monthly_payment($B$1,$D$1,$B$3)*'PSA&amp;CPR'!M26</f>
        <v>523.45923760968742</v>
      </c>
      <c r="E27" s="19">
        <f>Principle_portion_of_payment($B$1,$D$1,A27,$B$3)*'PSA&amp;CPR'!M26</f>
        <v>129.45945615141144</v>
      </c>
      <c r="F27" s="19">
        <f>Interest_portion_of_payment($B$1,$D$1,A27,$B$3)*'PSA&amp;CPR'!M26</f>
        <v>393.999781458276</v>
      </c>
      <c r="G27" s="19">
        <f>(B27-E27)*'PSA&amp;CPR'!F27</f>
        <v>199.0210575878283</v>
      </c>
      <c r="H27" s="19">
        <f>Remaining_balance($B$1,$D$1,A27,$B$3)*'PSA&amp;CPR'!M27</f>
        <v>94231.467036247006</v>
      </c>
    </row>
    <row r="28" spans="1:8">
      <c r="A28">
        <f>'PSA&amp;CPR'!A28</f>
        <v>26</v>
      </c>
      <c r="B28" s="19">
        <f t="shared" si="0"/>
        <v>94231.467036247006</v>
      </c>
      <c r="C28" s="19">
        <f t="shared" si="1"/>
        <v>392.63111265102918</v>
      </c>
      <c r="D28" s="19">
        <f>Monthly_payment($B$1,$D$1,$B$3)*'PSA&amp;CPR'!M27</f>
        <v>522.35599846334651</v>
      </c>
      <c r="E28" s="19">
        <f>Principle_portion_of_payment($B$1,$D$1,A28,$B$3)*'PSA&amp;CPR'!M27</f>
        <v>129.72488581231738</v>
      </c>
      <c r="F28" s="19">
        <f>Interest_portion_of_payment($B$1,$D$1,A28,$B$3)*'PSA&amp;CPR'!M27</f>
        <v>392.63111265102924</v>
      </c>
      <c r="G28" s="19">
        <f>(B28-E28)*'PSA&amp;CPR'!F28</f>
        <v>206.35790302773651</v>
      </c>
      <c r="H28" s="19">
        <f>Remaining_balance($B$1,$D$1,A28,$B$3)*'PSA&amp;CPR'!M28</f>
        <v>93895.384247406968</v>
      </c>
    </row>
    <row r="29" spans="1:8">
      <c r="A29">
        <f>'PSA&amp;CPR'!A29</f>
        <v>27</v>
      </c>
      <c r="B29" s="19">
        <f t="shared" si="0"/>
        <v>93895.384247406968</v>
      </c>
      <c r="C29" s="19">
        <f t="shared" si="1"/>
        <v>391.23076769752902</v>
      </c>
      <c r="D29" s="19">
        <f>Monthly_payment($B$1,$D$1,$B$3)*'PSA&amp;CPR'!M28</f>
        <v>521.21051182289159</v>
      </c>
      <c r="E29" s="19">
        <f>Principle_portion_of_payment($B$1,$D$1,A29,$B$3)*'PSA&amp;CPR'!M28</f>
        <v>129.97974412536269</v>
      </c>
      <c r="F29" s="19">
        <f>Interest_portion_of_payment($B$1,$D$1,A29,$B$3)*'PSA&amp;CPR'!M28</f>
        <v>391.23076769752902</v>
      </c>
      <c r="G29" s="19">
        <f>(B29-E29)*'PSA&amp;CPR'!F29</f>
        <v>213.62888240000734</v>
      </c>
      <c r="H29" s="19">
        <f>Remaining_balance($B$1,$D$1,A29,$B$3)*'PSA&amp;CPR'!M29</f>
        <v>93551.775620881584</v>
      </c>
    </row>
    <row r="30" spans="1:8">
      <c r="A30">
        <f>'PSA&amp;CPR'!A30</f>
        <v>28</v>
      </c>
      <c r="B30" s="19">
        <f t="shared" si="0"/>
        <v>93551.775620881584</v>
      </c>
      <c r="C30" s="19">
        <f t="shared" si="1"/>
        <v>389.79906508700662</v>
      </c>
      <c r="D30" s="19">
        <f>Monthly_payment($B$1,$D$1,$B$3)*'PSA&amp;CPR'!M29</f>
        <v>520.02302034108436</v>
      </c>
      <c r="E30" s="19">
        <f>Principle_portion_of_payment($B$1,$D$1,A30,$B$3)*'PSA&amp;CPR'!M29</f>
        <v>130.22395525407779</v>
      </c>
      <c r="F30" s="19">
        <f>Interest_portion_of_payment($B$1,$D$1,A30,$B$3)*'PSA&amp;CPR'!M29</f>
        <v>389.79906508700657</v>
      </c>
      <c r="G30" s="19">
        <f>(B30-E30)*'PSA&amp;CPR'!F30</f>
        <v>220.83216506027475</v>
      </c>
      <c r="H30" s="19">
        <f>Remaining_balance($B$1,$D$1,A30,$B$3)*'PSA&amp;CPR'!M30</f>
        <v>93200.71950056724</v>
      </c>
    </row>
    <row r="31" spans="1:8">
      <c r="A31">
        <f>'PSA&amp;CPR'!A31</f>
        <v>29</v>
      </c>
      <c r="B31" s="19">
        <f t="shared" si="0"/>
        <v>93200.71950056724</v>
      </c>
      <c r="C31" s="19">
        <f t="shared" si="1"/>
        <v>388.33633125236349</v>
      </c>
      <c r="D31" s="19">
        <f>Monthly_payment($B$1,$D$1,$B$3)*'PSA&amp;CPR'!M30</f>
        <v>518.79377711598647</v>
      </c>
      <c r="E31" s="19">
        <f>Principle_portion_of_payment($B$1,$D$1,A31,$B$3)*'PSA&amp;CPR'!M30</f>
        <v>130.45744586362304</v>
      </c>
      <c r="F31" s="19">
        <f>Interest_portion_of_payment($B$1,$D$1,A31,$B$3)*'PSA&amp;CPR'!M30</f>
        <v>388.33633125236344</v>
      </c>
      <c r="G31" s="19">
        <f>(B31-E31)*'PSA&amp;CPR'!F31</f>
        <v>227.96594737906938</v>
      </c>
      <c r="H31" s="19">
        <f>Remaining_balance($B$1,$D$1,A31,$B$3)*'PSA&amp;CPR'!M31</f>
        <v>92842.296107324553</v>
      </c>
    </row>
    <row r="32" spans="1:8">
      <c r="A32">
        <f>'PSA&amp;CPR'!A32</f>
        <v>30</v>
      </c>
      <c r="B32" s="19">
        <f t="shared" si="0"/>
        <v>92842.296107324553</v>
      </c>
      <c r="C32" s="19">
        <f t="shared" si="1"/>
        <v>386.84290044718563</v>
      </c>
      <c r="D32" s="19">
        <f>Monthly_payment($B$1,$D$1,$B$3)*'PSA&amp;CPR'!M31</f>
        <v>517.52304560321716</v>
      </c>
      <c r="E32" s="19">
        <f>Principle_portion_of_payment($B$1,$D$1,A32,$B$3)*'PSA&amp;CPR'!M31</f>
        <v>130.68014515603159</v>
      </c>
      <c r="F32" s="19">
        <f>Interest_portion_of_payment($B$1,$D$1,A32,$B$3)*'PSA&amp;CPR'!M31</f>
        <v>386.84290044718563</v>
      </c>
      <c r="G32" s="19">
        <f>(B32-E32)*'PSA&amp;CPR'!F32</f>
        <v>235.02845353145466</v>
      </c>
      <c r="H32" s="19">
        <f>Remaining_balance($B$1,$D$1,A32,$B$3)*'PSA&amp;CPR'!M32</f>
        <v>92476.587508637051</v>
      </c>
    </row>
    <row r="33" spans="1:8">
      <c r="A33">
        <f>'PSA&amp;CPR'!A33</f>
        <v>31</v>
      </c>
      <c r="B33" s="19">
        <f t="shared" si="0"/>
        <v>92476.587508637051</v>
      </c>
      <c r="C33" s="19">
        <f t="shared" si="1"/>
        <v>385.31911461932106</v>
      </c>
      <c r="D33" s="19">
        <f>Monthly_payment($B$1,$D$1,$B$3)*'PSA&amp;CPR'!M32</f>
        <v>516.2110995238321</v>
      </c>
      <c r="E33" s="19">
        <f>Principle_portion_of_payment($B$1,$D$1,A33,$B$3)*'PSA&amp;CPR'!M32</f>
        <v>130.89198490451113</v>
      </c>
      <c r="F33" s="19">
        <f>Interest_portion_of_payment($B$1,$D$1,A33,$B$3)*'PSA&amp;CPR'!M32</f>
        <v>385.31911461932106</v>
      </c>
      <c r="G33" s="19">
        <f>(B33-E33)*'PSA&amp;CPR'!F33</f>
        <v>234.10082743122302</v>
      </c>
      <c r="H33" s="19">
        <f>Remaining_balance($B$1,$D$1,A33,$B$3)*'PSA&amp;CPR'!M33</f>
        <v>92111.594696301312</v>
      </c>
    </row>
    <row r="34" spans="1:8">
      <c r="A34">
        <f>'PSA&amp;CPR'!A34</f>
        <v>32</v>
      </c>
      <c r="B34" s="19">
        <f t="shared" si="0"/>
        <v>92111.594696301312</v>
      </c>
      <c r="C34" s="19">
        <f t="shared" si="1"/>
        <v>383.79831123458882</v>
      </c>
      <c r="D34" s="19">
        <f>Monthly_payment($B$1,$D$1,$B$3)*'PSA&amp;CPR'!M33</f>
        <v>514.90247929153713</v>
      </c>
      <c r="E34" s="19">
        <f>Principle_portion_of_payment($B$1,$D$1,A34,$B$3)*'PSA&amp;CPR'!M33</f>
        <v>131.10416805694837</v>
      </c>
      <c r="F34" s="19">
        <f>Interest_portion_of_payment($B$1,$D$1,A34,$B$3)*'PSA&amp;CPR'!M33</f>
        <v>383.79831123458882</v>
      </c>
      <c r="G34" s="19">
        <f>(B34-E34)*'PSA&amp;CPR'!F34</f>
        <v>233.17501501364447</v>
      </c>
      <c r="H34" s="19">
        <f>Remaining_balance($B$1,$D$1,A34,$B$3)*'PSA&amp;CPR'!M34</f>
        <v>91747.315513230729</v>
      </c>
    </row>
    <row r="35" spans="1:8">
      <c r="A35">
        <f>'PSA&amp;CPR'!A35</f>
        <v>33</v>
      </c>
      <c r="B35" s="19">
        <f t="shared" si="0"/>
        <v>91747.315513230729</v>
      </c>
      <c r="C35" s="19">
        <f t="shared" si="1"/>
        <v>382.28048130512803</v>
      </c>
      <c r="D35" s="19">
        <f>Monthly_payment($B$1,$D$1,$B$3)*'PSA&amp;CPR'!M34</f>
        <v>513.5971764751481</v>
      </c>
      <c r="E35" s="19">
        <f>Principle_portion_of_payment($B$1,$D$1,A35,$B$3)*'PSA&amp;CPR'!M34</f>
        <v>131.3166951700201</v>
      </c>
      <c r="F35" s="19">
        <f>Interest_portion_of_payment($B$1,$D$1,A35,$B$3)*'PSA&amp;CPR'!M34</f>
        <v>382.28048130512803</v>
      </c>
      <c r="G35" s="19">
        <f>(B35-E35)*'PSA&amp;CPR'!F35</f>
        <v>232.25101080898841</v>
      </c>
      <c r="H35" s="19">
        <f>Remaining_balance($B$1,$D$1,A35,$B$3)*'PSA&amp;CPR'!M35</f>
        <v>91383.747807251726</v>
      </c>
    </row>
    <row r="36" spans="1:8">
      <c r="A36">
        <f>'PSA&amp;CPR'!A36</f>
        <v>34</v>
      </c>
      <c r="B36" s="19">
        <f t="shared" si="0"/>
        <v>91383.747807251726</v>
      </c>
      <c r="C36" s="19">
        <f t="shared" si="1"/>
        <v>380.76561586354887</v>
      </c>
      <c r="D36" s="19">
        <f>Monthly_payment($B$1,$D$1,$B$3)*'PSA&amp;CPR'!M35</f>
        <v>512.29518266485434</v>
      </c>
      <c r="E36" s="19">
        <f>Principle_portion_of_payment($B$1,$D$1,A36,$B$3)*'PSA&amp;CPR'!M35</f>
        <v>131.52956680130552</v>
      </c>
      <c r="F36" s="19">
        <f>Interest_portion_of_payment($B$1,$D$1,A36,$B$3)*'PSA&amp;CPR'!M35</f>
        <v>380.76561586354882</v>
      </c>
      <c r="G36" s="19">
        <f>(B36-E36)*'PSA&amp;CPR'!F36</f>
        <v>231.32880935997679</v>
      </c>
      <c r="H36" s="19">
        <f>Remaining_balance($B$1,$D$1,A36,$B$3)*'PSA&amp;CPR'!M36</f>
        <v>91020.889431090443</v>
      </c>
    </row>
    <row r="37" spans="1:8">
      <c r="A37">
        <f>'PSA&amp;CPR'!A37</f>
        <v>35</v>
      </c>
      <c r="B37" s="19">
        <f t="shared" si="0"/>
        <v>91020.889431090443</v>
      </c>
      <c r="C37" s="19">
        <f t="shared" si="1"/>
        <v>379.25370596287684</v>
      </c>
      <c r="D37" s="19">
        <f>Monthly_payment($B$1,$D$1,$B$3)*'PSA&amp;CPR'!M36</f>
        <v>510.99648947216451</v>
      </c>
      <c r="E37" s="19">
        <f>Principle_portion_of_payment($B$1,$D$1,A37,$B$3)*'PSA&amp;CPR'!M36</f>
        <v>131.74278350928776</v>
      </c>
      <c r="F37" s="19">
        <f>Interest_portion_of_payment($B$1,$D$1,A37,$B$3)*'PSA&amp;CPR'!M36</f>
        <v>379.25370596287684</v>
      </c>
      <c r="G37" s="19">
        <f>(B37-E37)*'PSA&amp;CPR'!F37</f>
        <v>230.40840522175006</v>
      </c>
      <c r="H37" s="19">
        <f>Remaining_balance($B$1,$D$1,A37,$B$3)*'PSA&amp;CPR'!M37</f>
        <v>90658.73824235941</v>
      </c>
    </row>
    <row r="38" spans="1:8">
      <c r="A38">
        <f>'PSA&amp;CPR'!A38</f>
        <v>36</v>
      </c>
      <c r="B38" s="19">
        <f t="shared" si="0"/>
        <v>90658.73824235941</v>
      </c>
      <c r="C38" s="19">
        <f t="shared" si="1"/>
        <v>377.74474267649754</v>
      </c>
      <c r="D38" s="19">
        <f>Monthly_payment($B$1,$D$1,$B$3)*'PSA&amp;CPR'!M37</f>
        <v>509.70108852985271</v>
      </c>
      <c r="E38" s="19">
        <f>Principle_portion_of_payment($B$1,$D$1,A38,$B$3)*'PSA&amp;CPR'!M37</f>
        <v>131.95634585335529</v>
      </c>
      <c r="F38" s="19">
        <f>Interest_portion_of_payment($B$1,$D$1,A38,$B$3)*'PSA&amp;CPR'!M37</f>
        <v>377.74474267649748</v>
      </c>
      <c r="G38" s="19">
        <f>(B38-E38)*'PSA&amp;CPR'!F38</f>
        <v>229.48979296183384</v>
      </c>
      <c r="H38" s="19">
        <f>Remaining_balance($B$1,$D$1,A38,$B$3)*'PSA&amp;CPR'!M38</f>
        <v>90297.292103544212</v>
      </c>
    </row>
    <row r="39" spans="1:8">
      <c r="A39">
        <f>'PSA&amp;CPR'!A39</f>
        <v>37</v>
      </c>
      <c r="B39" s="19">
        <f t="shared" si="0"/>
        <v>90297.292103544212</v>
      </c>
      <c r="C39" s="19">
        <f t="shared" si="1"/>
        <v>376.23871709810089</v>
      </c>
      <c r="D39" s="19">
        <f>Monthly_payment($B$1,$D$1,$B$3)*'PSA&amp;CPR'!M38</f>
        <v>508.40897149190403</v>
      </c>
      <c r="E39" s="19">
        <f>Principle_portion_of_payment($B$1,$D$1,A39,$B$3)*'PSA&amp;CPR'!M38</f>
        <v>132.17025439380322</v>
      </c>
      <c r="F39" s="19">
        <f>Interest_portion_of_payment($B$1,$D$1,A39,$B$3)*'PSA&amp;CPR'!M38</f>
        <v>376.23871709810089</v>
      </c>
      <c r="G39" s="19">
        <f>(B39-E39)*'PSA&amp;CPR'!F39</f>
        <v>228.57296716010481</v>
      </c>
      <c r="H39" s="19">
        <f>Remaining_balance($B$1,$D$1,A39,$B$3)*'PSA&amp;CPR'!M39</f>
        <v>89936.548881990311</v>
      </c>
    </row>
    <row r="40" spans="1:8">
      <c r="A40">
        <f>'PSA&amp;CPR'!A40</f>
        <v>38</v>
      </c>
      <c r="B40" s="19">
        <f t="shared" si="0"/>
        <v>89936.548881990311</v>
      </c>
      <c r="C40" s="19">
        <f t="shared" si="1"/>
        <v>374.73562034162632</v>
      </c>
      <c r="D40" s="19">
        <f>Monthly_payment($B$1,$D$1,$B$3)*'PSA&amp;CPR'!M39</f>
        <v>507.12013003346135</v>
      </c>
      <c r="E40" s="19">
        <f>Principle_portion_of_payment($B$1,$D$1,A40,$B$3)*'PSA&amp;CPR'!M39</f>
        <v>132.38450969183518</v>
      </c>
      <c r="F40" s="19">
        <f>Interest_portion_of_payment($B$1,$D$1,A40,$B$3)*'PSA&amp;CPR'!M39</f>
        <v>374.73562034162632</v>
      </c>
      <c r="G40" s="19">
        <f>(B40-E40)*'PSA&amp;CPR'!F40</f>
        <v>227.65792240875732</v>
      </c>
      <c r="H40" s="19">
        <f>Remaining_balance($B$1,$D$1,A40,$B$3)*'PSA&amp;CPR'!M40</f>
        <v>89576.506449889712</v>
      </c>
    </row>
    <row r="41" spans="1:8">
      <c r="A41">
        <f>'PSA&amp;CPR'!A41</f>
        <v>39</v>
      </c>
      <c r="B41" s="19">
        <f t="shared" si="0"/>
        <v>89576.506449889712</v>
      </c>
      <c r="C41" s="19">
        <f t="shared" si="1"/>
        <v>373.23544354120713</v>
      </c>
      <c r="D41" s="19">
        <f>Monthly_payment($B$1,$D$1,$B$3)*'PSA&amp;CPR'!M40</f>
        <v>505.83455585077132</v>
      </c>
      <c r="E41" s="19">
        <f>Principle_portion_of_payment($B$1,$D$1,A41,$B$3)*'PSA&amp;CPR'!M40</f>
        <v>132.59911230956428</v>
      </c>
      <c r="F41" s="19">
        <f>Interest_portion_of_payment($B$1,$D$1,A41,$B$3)*'PSA&amp;CPR'!M40</f>
        <v>373.23544354120719</v>
      </c>
      <c r="G41" s="19">
        <f>(B41-E41)*'PSA&amp;CPR'!F41</f>
        <v>226.74465331226972</v>
      </c>
      <c r="H41" s="19">
        <f>Remaining_balance($B$1,$D$1,A41,$B$3)*'PSA&amp;CPR'!M41</f>
        <v>89217.162684267882</v>
      </c>
    </row>
    <row r="42" spans="1:8">
      <c r="A42">
        <f>'PSA&amp;CPR'!A42</f>
        <v>40</v>
      </c>
      <c r="B42" s="19">
        <f t="shared" si="0"/>
        <v>89217.162684267882</v>
      </c>
      <c r="C42" s="19">
        <f t="shared" si="1"/>
        <v>371.73817785111618</v>
      </c>
      <c r="D42" s="19">
        <f>Monthly_payment($B$1,$D$1,$B$3)*'PSA&amp;CPR'!M41</f>
        <v>504.55224066113118</v>
      </c>
      <c r="E42" s="19">
        <f>Principle_portion_of_payment($B$1,$D$1,A42,$B$3)*'PSA&amp;CPR'!M41</f>
        <v>132.81406281001506</v>
      </c>
      <c r="F42" s="19">
        <f>Interest_portion_of_payment($B$1,$D$1,A42,$B$3)*'PSA&amp;CPR'!M41</f>
        <v>371.73817785111612</v>
      </c>
      <c r="G42" s="19">
        <f>(B42-E42)*'PSA&amp;CPR'!F42</f>
        <v>225.83315448737105</v>
      </c>
      <c r="H42" s="19">
        <f>Remaining_balance($B$1,$D$1,A42,$B$3)*'PSA&amp;CPR'!M42</f>
        <v>88858.515466970508</v>
      </c>
    </row>
    <row r="43" spans="1:8">
      <c r="A43">
        <f>'PSA&amp;CPR'!A43</f>
        <v>41</v>
      </c>
      <c r="B43" s="19">
        <f t="shared" si="0"/>
        <v>88858.515466970508</v>
      </c>
      <c r="C43" s="19">
        <f t="shared" si="1"/>
        <v>370.24381444571043</v>
      </c>
      <c r="D43" s="19">
        <f>Monthly_payment($B$1,$D$1,$B$3)*'PSA&amp;CPR'!M42</f>
        <v>503.27317620283492</v>
      </c>
      <c r="E43" s="19">
        <f>Principle_portion_of_payment($B$1,$D$1,A43,$B$3)*'PSA&amp;CPR'!M42</f>
        <v>133.0293617571246</v>
      </c>
      <c r="F43" s="19">
        <f>Interest_portion_of_payment($B$1,$D$1,A43,$B$3)*'PSA&amp;CPR'!M42</f>
        <v>370.24381444571037</v>
      </c>
      <c r="G43" s="19">
        <f>(B43-E43)*'PSA&amp;CPR'!F43</f>
        <v>224.92342056300748</v>
      </c>
      <c r="H43" s="19">
        <f>Remaining_balance($B$1,$D$1,A43,$B$3)*'PSA&amp;CPR'!M43</f>
        <v>88500.562684650344</v>
      </c>
    </row>
    <row r="44" spans="1:8">
      <c r="A44">
        <f>'PSA&amp;CPR'!A44</f>
        <v>42</v>
      </c>
      <c r="B44" s="19">
        <f t="shared" si="0"/>
        <v>88500.562684650344</v>
      </c>
      <c r="C44" s="19">
        <f t="shared" si="1"/>
        <v>368.75234451937644</v>
      </c>
      <c r="D44" s="19">
        <f>Monthly_payment($B$1,$D$1,$B$3)*'PSA&amp;CPR'!M43</f>
        <v>501.99735423512072</v>
      </c>
      <c r="E44" s="19">
        <f>Principle_portion_of_payment($B$1,$D$1,A44,$B$3)*'PSA&amp;CPR'!M43</f>
        <v>133.24500971574435</v>
      </c>
      <c r="F44" s="19">
        <f>Interest_portion_of_payment($B$1,$D$1,A44,$B$3)*'PSA&amp;CPR'!M43</f>
        <v>368.75234451937644</v>
      </c>
      <c r="G44" s="19">
        <f>(B44-E44)*'PSA&amp;CPR'!F44</f>
        <v>224.01544618030923</v>
      </c>
      <c r="H44" s="19">
        <f>Remaining_balance($B$1,$D$1,A44,$B$3)*'PSA&amp;CPR'!M44</f>
        <v>88143.302228754284</v>
      </c>
    </row>
    <row r="45" spans="1:8">
      <c r="A45">
        <f>'PSA&amp;CPR'!A45</f>
        <v>43</v>
      </c>
      <c r="B45" s="19">
        <f t="shared" si="0"/>
        <v>88143.302228754284</v>
      </c>
      <c r="C45" s="19">
        <f t="shared" si="1"/>
        <v>367.26375928647616</v>
      </c>
      <c r="D45" s="19">
        <f>Monthly_payment($B$1,$D$1,$B$3)*'PSA&amp;CPR'!M44</f>
        <v>500.72476653811731</v>
      </c>
      <c r="E45" s="19">
        <f>Principle_portion_of_payment($B$1,$D$1,A45,$B$3)*'PSA&amp;CPR'!M44</f>
        <v>133.46100725164112</v>
      </c>
      <c r="F45" s="19">
        <f>Interest_portion_of_payment($B$1,$D$1,A45,$B$3)*'PSA&amp;CPR'!M44</f>
        <v>367.26375928647622</v>
      </c>
      <c r="G45" s="19">
        <f>(B45-E45)*'PSA&amp;CPR'!F45</f>
        <v>223.10922599255727</v>
      </c>
      <c r="H45" s="19">
        <f>Remaining_balance($B$1,$D$1,A45,$B$3)*'PSA&amp;CPR'!M45</f>
        <v>87786.731995510112</v>
      </c>
    </row>
    <row r="46" spans="1:8">
      <c r="A46">
        <f>'PSA&amp;CPR'!A46</f>
        <v>44</v>
      </c>
      <c r="B46" s="19">
        <f t="shared" si="0"/>
        <v>87786.731995510112</v>
      </c>
      <c r="C46" s="19">
        <f t="shared" si="1"/>
        <v>365.77804998129216</v>
      </c>
      <c r="D46" s="19">
        <f>Monthly_payment($B$1,$D$1,$B$3)*'PSA&amp;CPR'!M45</f>
        <v>499.45540491279115</v>
      </c>
      <c r="E46" s="19">
        <f>Principle_portion_of_payment($B$1,$D$1,A46,$B$3)*'PSA&amp;CPR'!M45</f>
        <v>133.67735493149911</v>
      </c>
      <c r="F46" s="19">
        <f>Interest_portion_of_payment($B$1,$D$1,A46,$B$3)*'PSA&amp;CPR'!M45</f>
        <v>365.77804998129216</v>
      </c>
      <c r="G46" s="19">
        <f>(B46-E46)*'PSA&amp;CPR'!F46</f>
        <v>222.20475466515029</v>
      </c>
      <c r="H46" s="19">
        <f>Remaining_balance($B$1,$D$1,A46,$B$3)*'PSA&amp;CPR'!M46</f>
        <v>87430.849885913471</v>
      </c>
    </row>
    <row r="47" spans="1:8">
      <c r="A47">
        <f>'PSA&amp;CPR'!A47</f>
        <v>45</v>
      </c>
      <c r="B47" s="19">
        <f t="shared" si="0"/>
        <v>87430.849885913471</v>
      </c>
      <c r="C47" s="19">
        <f t="shared" si="1"/>
        <v>364.2952078579728</v>
      </c>
      <c r="D47" s="19">
        <f>Monthly_payment($B$1,$D$1,$B$3)*'PSA&amp;CPR'!M46</f>
        <v>498.18926118089377</v>
      </c>
      <c r="E47" s="19">
        <f>Principle_portion_of_payment($B$1,$D$1,A47,$B$3)*'PSA&amp;CPR'!M46</f>
        <v>133.89405332292111</v>
      </c>
      <c r="F47" s="19">
        <f>Interest_portion_of_payment($B$1,$D$1,A47,$B$3)*'PSA&amp;CPR'!M46</f>
        <v>364.29520785797274</v>
      </c>
      <c r="G47" s="19">
        <f>(B47-E47)*'PSA&amp;CPR'!F47</f>
        <v>221.30202687557124</v>
      </c>
      <c r="H47" s="19">
        <f>Remaining_balance($B$1,$D$1,A47,$B$3)*'PSA&amp;CPR'!M47</f>
        <v>87075.653805714974</v>
      </c>
    </row>
    <row r="48" spans="1:8">
      <c r="A48">
        <f>'PSA&amp;CPR'!A48</f>
        <v>46</v>
      </c>
      <c r="B48" s="19">
        <f t="shared" si="0"/>
        <v>87075.653805714974</v>
      </c>
      <c r="C48" s="19">
        <f t="shared" si="1"/>
        <v>362.81522419047906</v>
      </c>
      <c r="D48" s="19">
        <f>Monthly_payment($B$1,$D$1,$B$3)*'PSA&amp;CPR'!M47</f>
        <v>496.92632718490887</v>
      </c>
      <c r="E48" s="19">
        <f>Principle_portion_of_payment($B$1,$D$1,A48,$B$3)*'PSA&amp;CPR'!M47</f>
        <v>134.11110299442984</v>
      </c>
      <c r="F48" s="19">
        <f>Interest_portion_of_payment($B$1,$D$1,A48,$B$3)*'PSA&amp;CPR'!M47</f>
        <v>362.81522419047906</v>
      </c>
      <c r="G48" s="19">
        <f>(B48-E48)*'PSA&amp;CPR'!F48</f>
        <v>220.40103731335492</v>
      </c>
      <c r="H48" s="19">
        <f>Remaining_balance($B$1,$D$1,A48,$B$3)*'PSA&amp;CPR'!M48</f>
        <v>86721.14166540718</v>
      </c>
    </row>
    <row r="49" spans="1:8">
      <c r="A49">
        <f>'PSA&amp;CPR'!A49</f>
        <v>47</v>
      </c>
      <c r="B49" s="19">
        <f t="shared" si="0"/>
        <v>86721.14166540718</v>
      </c>
      <c r="C49" s="19">
        <f t="shared" si="1"/>
        <v>361.33809027252994</v>
      </c>
      <c r="D49" s="19">
        <f>Monthly_payment($B$1,$D$1,$B$3)*'PSA&amp;CPR'!M48</f>
        <v>495.66659478799977</v>
      </c>
      <c r="E49" s="19">
        <f>Principle_portion_of_payment($B$1,$D$1,A49,$B$3)*'PSA&amp;CPR'!M48</f>
        <v>134.32850451546992</v>
      </c>
      <c r="F49" s="19">
        <f>Interest_portion_of_payment($B$1,$D$1,A49,$B$3)*'PSA&amp;CPR'!M48</f>
        <v>361.33809027252994</v>
      </c>
      <c r="G49" s="19">
        <f>(B49-E49)*'PSA&amp;CPR'!F49</f>
        <v>219.50178068005479</v>
      </c>
      <c r="H49" s="19">
        <f>Remaining_balance($B$1,$D$1,A49,$B$3)*'PSA&amp;CPR'!M49</f>
        <v>86367.311380211657</v>
      </c>
    </row>
    <row r="50" spans="1:8">
      <c r="A50">
        <f>'PSA&amp;CPR'!A50</f>
        <v>48</v>
      </c>
      <c r="B50" s="19">
        <f t="shared" si="0"/>
        <v>86367.311380211657</v>
      </c>
      <c r="C50" s="19">
        <f t="shared" si="1"/>
        <v>359.86379741754854</v>
      </c>
      <c r="D50" s="19">
        <f>Monthly_payment($B$1,$D$1,$B$3)*'PSA&amp;CPR'!M49</f>
        <v>494.41005587395733</v>
      </c>
      <c r="E50" s="19">
        <f>Principle_portion_of_payment($B$1,$D$1,A50,$B$3)*'PSA&amp;CPR'!M49</f>
        <v>134.54625845640879</v>
      </c>
      <c r="F50" s="19">
        <f>Interest_portion_of_payment($B$1,$D$1,A50,$B$3)*'PSA&amp;CPR'!M49</f>
        <v>359.8637974175486</v>
      </c>
      <c r="G50" s="19">
        <f>(B50-E50)*'PSA&amp;CPR'!F50</f>
        <v>218.60425168921032</v>
      </c>
      <c r="H50" s="19">
        <f>Remaining_balance($B$1,$D$1,A50,$B$3)*'PSA&amp;CPR'!M50</f>
        <v>86014.160870066058</v>
      </c>
    </row>
    <row r="51" spans="1:8">
      <c r="A51">
        <f>'PSA&amp;CPR'!A51</f>
        <v>49</v>
      </c>
      <c r="B51" s="19">
        <f t="shared" si="0"/>
        <v>86014.160870066058</v>
      </c>
      <c r="C51" s="19">
        <f t="shared" si="1"/>
        <v>358.39233695860855</v>
      </c>
      <c r="D51" s="19">
        <f>Monthly_payment($B$1,$D$1,$B$3)*'PSA&amp;CPR'!M50</f>
        <v>493.15670234714713</v>
      </c>
      <c r="E51" s="19">
        <f>Principle_portion_of_payment($B$1,$D$1,A51,$B$3)*'PSA&amp;CPR'!M50</f>
        <v>134.76436538853866</v>
      </c>
      <c r="F51" s="19">
        <f>Interest_portion_of_payment($B$1,$D$1,A51,$B$3)*'PSA&amp;CPR'!M50</f>
        <v>358.3923369586085</v>
      </c>
      <c r="G51" s="19">
        <f>(B51-E51)*'PSA&amp;CPR'!F51</f>
        <v>217.70844506631406</v>
      </c>
      <c r="H51" s="19">
        <f>Remaining_balance($B$1,$D$1,A51,$B$3)*'PSA&amp;CPR'!M51</f>
        <v>85661.688059611202</v>
      </c>
    </row>
    <row r="52" spans="1:8">
      <c r="A52">
        <f>'PSA&amp;CPR'!A52</f>
        <v>50</v>
      </c>
      <c r="B52" s="19">
        <f t="shared" si="0"/>
        <v>85661.688059611202</v>
      </c>
      <c r="C52" s="19">
        <f t="shared" si="1"/>
        <v>356.92370024837999</v>
      </c>
      <c r="D52" s="19">
        <f>Monthly_payment($B$1,$D$1,$B$3)*'PSA&amp;CPR'!M51</f>
        <v>491.90652613245766</v>
      </c>
      <c r="E52" s="19">
        <f>Principle_portion_of_payment($B$1,$D$1,A52,$B$3)*'PSA&amp;CPR'!M51</f>
        <v>134.98282588407778</v>
      </c>
      <c r="F52" s="19">
        <f>Interest_portion_of_payment($B$1,$D$1,A52,$B$3)*'PSA&amp;CPR'!M51</f>
        <v>356.92370024837993</v>
      </c>
      <c r="G52" s="19">
        <f>(B52-E52)*'PSA&amp;CPR'!F52</f>
        <v>216.81435554877896</v>
      </c>
      <c r="H52" s="19">
        <f>Remaining_balance($B$1,$D$1,A52,$B$3)*'PSA&amp;CPR'!M52</f>
        <v>85309.890878178339</v>
      </c>
    </row>
    <row r="53" spans="1:8">
      <c r="A53">
        <f>'PSA&amp;CPR'!A53</f>
        <v>51</v>
      </c>
      <c r="B53" s="19">
        <f t="shared" si="0"/>
        <v>85309.890878178339</v>
      </c>
      <c r="C53" s="19">
        <f t="shared" si="1"/>
        <v>355.45787865907641</v>
      </c>
      <c r="D53" s="19">
        <f>Monthly_payment($B$1,$D$1,$B$3)*'PSA&amp;CPR'!M52</f>
        <v>490.65951917524842</v>
      </c>
      <c r="E53" s="19">
        <f>Principle_portion_of_payment($B$1,$D$1,A53,$B$3)*'PSA&amp;CPR'!M52</f>
        <v>135.20164051617206</v>
      </c>
      <c r="F53" s="19">
        <f>Interest_portion_of_payment($B$1,$D$1,A53,$B$3)*'PSA&amp;CPR'!M52</f>
        <v>355.45787865907647</v>
      </c>
      <c r="G53" s="19">
        <f>(B53-E53)*'PSA&amp;CPR'!F53</f>
        <v>215.92197788590613</v>
      </c>
      <c r="H53" s="19">
        <f>Remaining_balance($B$1,$D$1,A53,$B$3)*'PSA&amp;CPR'!M53</f>
        <v>84958.767259776243</v>
      </c>
    </row>
    <row r="54" spans="1:8">
      <c r="A54">
        <f>'PSA&amp;CPR'!A54</f>
        <v>52</v>
      </c>
      <c r="B54" s="19">
        <f t="shared" si="0"/>
        <v>84958.767259776243</v>
      </c>
      <c r="C54" s="19">
        <f t="shared" si="1"/>
        <v>353.99486358240102</v>
      </c>
      <c r="D54" s="19">
        <f>Monthly_payment($B$1,$D$1,$B$3)*'PSA&amp;CPR'!M53</f>
        <v>489.41567344129737</v>
      </c>
      <c r="E54" s="19">
        <f>Principle_portion_of_payment($B$1,$D$1,A54,$B$3)*'PSA&amp;CPR'!M53</f>
        <v>135.42080985889638</v>
      </c>
      <c r="F54" s="19">
        <f>Interest_portion_of_payment($B$1,$D$1,A54,$B$3)*'PSA&amp;CPR'!M53</f>
        <v>353.99486358240102</v>
      </c>
      <c r="G54" s="19">
        <f>(B54-E54)*'PSA&amp;CPR'!F54</f>
        <v>215.03130683885209</v>
      </c>
      <c r="H54" s="19">
        <f>Remaining_balance($B$1,$D$1,A54,$B$3)*'PSA&amp;CPR'!M54</f>
        <v>84608.315143078507</v>
      </c>
    </row>
    <row r="55" spans="1:8">
      <c r="A55">
        <f>'PSA&amp;CPR'!A55</f>
        <v>53</v>
      </c>
      <c r="B55" s="19">
        <f t="shared" si="0"/>
        <v>84608.315143078507</v>
      </c>
      <c r="C55" s="19">
        <f t="shared" si="1"/>
        <v>352.53464642949376</v>
      </c>
      <c r="D55" s="19">
        <f>Monthly_payment($B$1,$D$1,$B$3)*'PSA&amp;CPR'!M54</f>
        <v>488.17498091675009</v>
      </c>
      <c r="E55" s="19">
        <f>Principle_portion_of_payment($B$1,$D$1,A55,$B$3)*'PSA&amp;CPR'!M54</f>
        <v>135.64033448725635</v>
      </c>
      <c r="F55" s="19">
        <f>Interest_portion_of_payment($B$1,$D$1,A55,$B$3)*'PSA&amp;CPR'!M54</f>
        <v>352.53464642949376</v>
      </c>
      <c r="G55" s="19">
        <f>(B55-E55)*'PSA&amp;CPR'!F55</f>
        <v>214.14233718059657</v>
      </c>
      <c r="H55" s="19">
        <f>Remaining_balance($B$1,$D$1,A55,$B$3)*'PSA&amp;CPR'!M55</f>
        <v>84258.532471410639</v>
      </c>
    </row>
    <row r="56" spans="1:8">
      <c r="A56">
        <f>'PSA&amp;CPR'!A56</f>
        <v>54</v>
      </c>
      <c r="B56" s="19">
        <f t="shared" si="0"/>
        <v>84258.532471410639</v>
      </c>
      <c r="C56" s="19">
        <f t="shared" si="1"/>
        <v>351.07721863087767</v>
      </c>
      <c r="D56" s="19">
        <f>Monthly_payment($B$1,$D$1,$B$3)*'PSA&amp;CPR'!M55</f>
        <v>486.93743360806729</v>
      </c>
      <c r="E56" s="19">
        <f>Principle_portion_of_payment($B$1,$D$1,A56,$B$3)*'PSA&amp;CPR'!M55</f>
        <v>135.86021497718966</v>
      </c>
      <c r="F56" s="19">
        <f>Interest_portion_of_payment($B$1,$D$1,A56,$B$3)*'PSA&amp;CPR'!M55</f>
        <v>351.07721863087772</v>
      </c>
      <c r="G56" s="19">
        <f>(B56-E56)*'PSA&amp;CPR'!F56</f>
        <v>213.25506369590963</v>
      </c>
      <c r="H56" s="19">
        <f>Remaining_balance($B$1,$D$1,A56,$B$3)*'PSA&amp;CPR'!M56</f>
        <v>83909.417192737557</v>
      </c>
    </row>
    <row r="57" spans="1:8">
      <c r="A57">
        <f>'PSA&amp;CPR'!A57</f>
        <v>55</v>
      </c>
      <c r="B57" s="19">
        <f t="shared" si="0"/>
        <v>83909.417192737557</v>
      </c>
      <c r="C57" s="19">
        <f t="shared" si="1"/>
        <v>349.62257163640646</v>
      </c>
      <c r="D57" s="19">
        <f>Monthly_payment($B$1,$D$1,$B$3)*'PSA&amp;CPR'!M56</f>
        <v>485.70302354197401</v>
      </c>
      <c r="E57" s="19">
        <f>Principle_portion_of_payment($B$1,$D$1,A57,$B$3)*'PSA&amp;CPR'!M56</f>
        <v>136.0804519055676</v>
      </c>
      <c r="F57" s="19">
        <f>Interest_portion_of_payment($B$1,$D$1,A57,$B$3)*'PSA&amp;CPR'!M56</f>
        <v>349.62257163640652</v>
      </c>
      <c r="G57" s="19">
        <f>(B57-E57)*'PSA&amp;CPR'!F57</f>
        <v>212.36948118132023</v>
      </c>
      <c r="H57" s="19">
        <f>Remaining_balance($B$1,$D$1,A57,$B$3)*'PSA&amp;CPR'!M57</f>
        <v>83560.967259650672</v>
      </c>
    </row>
    <row r="58" spans="1:8">
      <c r="A58">
        <f>'PSA&amp;CPR'!A58</f>
        <v>56</v>
      </c>
      <c r="B58" s="19">
        <f t="shared" si="0"/>
        <v>83560.967259650672</v>
      </c>
      <c r="C58" s="19">
        <f t="shared" si="1"/>
        <v>348.17069691521112</v>
      </c>
      <c r="D58" s="19">
        <f>Monthly_payment($B$1,$D$1,$B$3)*'PSA&amp;CPR'!M57</f>
        <v>484.47174276540761</v>
      </c>
      <c r="E58" s="19">
        <f>Principle_portion_of_payment($B$1,$D$1,A58,$B$3)*'PSA&amp;CPR'!M57</f>
        <v>136.30104585019657</v>
      </c>
      <c r="F58" s="19">
        <f>Interest_portion_of_payment($B$1,$D$1,A58,$B$3)*'PSA&amp;CPR'!M57</f>
        <v>348.17069691521112</v>
      </c>
      <c r="G58" s="19">
        <f>(B58-E58)*'PSA&amp;CPR'!F58</f>
        <v>211.48558444508328</v>
      </c>
      <c r="H58" s="19">
        <f>Remaining_balance($B$1,$D$1,A58,$B$3)*'PSA&amp;CPR'!M58</f>
        <v>83213.180629355382</v>
      </c>
    </row>
    <row r="59" spans="1:8">
      <c r="A59">
        <f>'PSA&amp;CPR'!A59</f>
        <v>57</v>
      </c>
      <c r="B59" s="19">
        <f t="shared" si="0"/>
        <v>83213.180629355382</v>
      </c>
      <c r="C59" s="19">
        <f t="shared" si="1"/>
        <v>346.72158595564741</v>
      </c>
      <c r="D59" s="19">
        <f>Monthly_payment($B$1,$D$1,$B$3)*'PSA&amp;CPR'!M58</f>
        <v>483.24358334546707</v>
      </c>
      <c r="E59" s="19">
        <f>Principle_portion_of_payment($B$1,$D$1,A59,$B$3)*'PSA&amp;CPR'!M58</f>
        <v>136.52199738981975</v>
      </c>
      <c r="F59" s="19">
        <f>Interest_portion_of_payment($B$1,$D$1,A59,$B$3)*'PSA&amp;CPR'!M58</f>
        <v>346.72158595564741</v>
      </c>
      <c r="G59" s="19">
        <f>(B59-E59)*'PSA&amp;CPR'!F59</f>
        <v>210.603368307148</v>
      </c>
      <c r="H59" s="19">
        <f>Remaining_balance($B$1,$D$1,A59,$B$3)*'PSA&amp;CPR'!M59</f>
        <v>82866.055263658418</v>
      </c>
    </row>
    <row r="60" spans="1:8">
      <c r="A60">
        <f>'PSA&amp;CPR'!A60</f>
        <v>58</v>
      </c>
      <c r="B60" s="19">
        <f t="shared" si="0"/>
        <v>82866.055263658418</v>
      </c>
      <c r="C60" s="19">
        <f t="shared" si="1"/>
        <v>345.27523026524341</v>
      </c>
      <c r="D60" s="19">
        <f>Monthly_payment($B$1,$D$1,$B$3)*'PSA&amp;CPR'!M59</f>
        <v>482.0185373693617</v>
      </c>
      <c r="E60" s="19">
        <f>Principle_portion_of_payment($B$1,$D$1,A60,$B$3)*'PSA&amp;CPR'!M59</f>
        <v>136.74330710411837</v>
      </c>
      <c r="F60" s="19">
        <f>Interest_portion_of_payment($B$1,$D$1,A60,$B$3)*'PSA&amp;CPR'!M59</f>
        <v>345.27523026524341</v>
      </c>
      <c r="G60" s="19">
        <f>(B60-E60)*'PSA&amp;CPR'!F60</f>
        <v>209.72282759912591</v>
      </c>
      <c r="H60" s="19">
        <f>Remaining_balance($B$1,$D$1,A60,$B$3)*'PSA&amp;CPR'!M60</f>
        <v>82519.58912895518</v>
      </c>
    </row>
    <row r="61" spans="1:8">
      <c r="A61">
        <f>'PSA&amp;CPR'!A61</f>
        <v>59</v>
      </c>
      <c r="B61" s="19">
        <f t="shared" si="0"/>
        <v>82519.58912895518</v>
      </c>
      <c r="C61" s="19">
        <f t="shared" si="1"/>
        <v>343.83162137064659</v>
      </c>
      <c r="D61" s="19">
        <f>Monthly_payment($B$1,$D$1,$B$3)*'PSA&amp;CPR'!M60</f>
        <v>480.79659694435992</v>
      </c>
      <c r="E61" s="19">
        <f>Principle_portion_of_payment($B$1,$D$1,A61,$B$3)*'PSA&amp;CPR'!M60</f>
        <v>136.96497557371342</v>
      </c>
      <c r="F61" s="19">
        <f>Interest_portion_of_payment($B$1,$D$1,A61,$B$3)*'PSA&amp;CPR'!M60</f>
        <v>343.83162137064659</v>
      </c>
      <c r="G61" s="19">
        <f>(B61-E61)*'PSA&amp;CPR'!F61</f>
        <v>208.84395716425851</v>
      </c>
      <c r="H61" s="19">
        <f>Remaining_balance($B$1,$D$1,A61,$B$3)*'PSA&amp;CPR'!M61</f>
        <v>82173.780196217223</v>
      </c>
    </row>
    <row r="62" spans="1:8">
      <c r="A62">
        <f>'PSA&amp;CPR'!A62</f>
        <v>60</v>
      </c>
      <c r="B62" s="19">
        <f t="shared" si="0"/>
        <v>82173.780196217223</v>
      </c>
      <c r="C62" s="19">
        <f t="shared" si="1"/>
        <v>342.39075081757176</v>
      </c>
      <c r="D62" s="19">
        <f>Monthly_payment($B$1,$D$1,$B$3)*'PSA&amp;CPR'!M61</f>
        <v>479.57775419773873</v>
      </c>
      <c r="E62" s="19">
        <f>Principle_portion_of_payment($B$1,$D$1,A62,$B$3)*'PSA&amp;CPR'!M61</f>
        <v>137.18700338016711</v>
      </c>
      <c r="F62" s="19">
        <f>Interest_portion_of_payment($B$1,$D$1,A62,$B$3)*'PSA&amp;CPR'!M61</f>
        <v>342.3907508175717</v>
      </c>
      <c r="G62" s="19">
        <f>(B62-E62)*'PSA&amp;CPR'!F62</f>
        <v>207.96675185738584</v>
      </c>
      <c r="H62" s="19">
        <f>Remaining_balance($B$1,$D$1,A62,$B$3)*'PSA&amp;CPR'!M62</f>
        <v>81828.626440979657</v>
      </c>
    </row>
    <row r="63" spans="1:8">
      <c r="A63">
        <f>'PSA&amp;CPR'!A63</f>
        <v>61</v>
      </c>
      <c r="B63" s="19">
        <f t="shared" si="0"/>
        <v>81828.626440979657</v>
      </c>
      <c r="C63" s="19">
        <f t="shared" si="1"/>
        <v>340.95261017074859</v>
      </c>
      <c r="D63" s="19">
        <f>Monthly_payment($B$1,$D$1,$B$3)*'PSA&amp;CPR'!M62</f>
        <v>478.36200127673283</v>
      </c>
      <c r="E63" s="19">
        <f>Principle_portion_of_payment($B$1,$D$1,A63,$B$3)*'PSA&amp;CPR'!M62</f>
        <v>137.40939110598435</v>
      </c>
      <c r="F63" s="19">
        <f>Interest_portion_of_payment($B$1,$D$1,A63,$B$3)*'PSA&amp;CPR'!M62</f>
        <v>340.95261017074853</v>
      </c>
      <c r="G63" s="19">
        <f>(B63-E63)*'PSA&amp;CPR'!F63</f>
        <v>207.09120654491423</v>
      </c>
      <c r="H63" s="19">
        <f>Remaining_balance($B$1,$D$1,A63,$B$3)*'PSA&amp;CPR'!M63</f>
        <v>81484.125843328758</v>
      </c>
    </row>
    <row r="64" spans="1:8">
      <c r="A64">
        <f>'PSA&amp;CPR'!A64</f>
        <v>62</v>
      </c>
      <c r="B64" s="19">
        <f t="shared" si="0"/>
        <v>81484.125843328758</v>
      </c>
      <c r="C64" s="19">
        <f t="shared" si="1"/>
        <v>339.51719101386982</v>
      </c>
      <c r="D64" s="19">
        <f>Monthly_payment($B$1,$D$1,$B$3)*'PSA&amp;CPR'!M63</f>
        <v>477.14933034848411</v>
      </c>
      <c r="E64" s="19">
        <f>Principle_portion_of_payment($B$1,$D$1,A64,$B$3)*'PSA&amp;CPR'!M63</f>
        <v>137.63213933461438</v>
      </c>
      <c r="F64" s="19">
        <f>Interest_portion_of_payment($B$1,$D$1,A64,$B$3)*'PSA&amp;CPR'!M63</f>
        <v>339.51719101386982</v>
      </c>
      <c r="G64" s="19">
        <f>(B64-E64)*'PSA&amp;CPR'!F64</f>
        <v>206.2173161047852</v>
      </c>
      <c r="H64" s="19">
        <f>Remaining_balance($B$1,$D$1,A64,$B$3)*'PSA&amp;CPR'!M64</f>
        <v>81140.27638788936</v>
      </c>
    </row>
    <row r="65" spans="1:8">
      <c r="A65">
        <f>'PSA&amp;CPR'!A65</f>
        <v>63</v>
      </c>
      <c r="B65" s="19">
        <f t="shared" si="0"/>
        <v>81140.27638788936</v>
      </c>
      <c r="C65" s="19">
        <f t="shared" si="1"/>
        <v>338.08448494953899</v>
      </c>
      <c r="D65" s="19">
        <f>Monthly_payment($B$1,$D$1,$B$3)*'PSA&amp;CPR'!M64</f>
        <v>475.93973359999109</v>
      </c>
      <c r="E65" s="19">
        <f>Principle_portion_of_payment($B$1,$D$1,A65,$B$3)*'PSA&amp;CPR'!M64</f>
        <v>137.85524865045218</v>
      </c>
      <c r="F65" s="19">
        <f>Interest_portion_of_payment($B$1,$D$1,A65,$B$3)*'PSA&amp;CPR'!M64</f>
        <v>338.08448494953899</v>
      </c>
      <c r="G65" s="19">
        <f>(B65-E65)*'PSA&amp;CPR'!F65</f>
        <v>205.34507542644323</v>
      </c>
      <c r="H65" s="19">
        <f>Remaining_balance($B$1,$D$1,A65,$B$3)*'PSA&amp;CPR'!M65</f>
        <v>80797.076063812463</v>
      </c>
    </row>
    <row r="66" spans="1:8">
      <c r="A66">
        <f>'PSA&amp;CPR'!A66</f>
        <v>64</v>
      </c>
      <c r="B66" s="19">
        <f t="shared" si="0"/>
        <v>80797.076063812463</v>
      </c>
      <c r="C66" s="19">
        <f t="shared" si="1"/>
        <v>336.65448359921857</v>
      </c>
      <c r="D66" s="19">
        <f>Monthly_payment($B$1,$D$1,$B$3)*'PSA&amp;CPR'!M65</f>
        <v>474.73320323805865</v>
      </c>
      <c r="E66" s="19">
        <f>Principle_portion_of_payment($B$1,$D$1,A66,$B$3)*'PSA&amp;CPR'!M65</f>
        <v>138.07871963884011</v>
      </c>
      <c r="F66" s="19">
        <f>Interest_portion_of_payment($B$1,$D$1,A66,$B$3)*'PSA&amp;CPR'!M65</f>
        <v>336.65448359921857</v>
      </c>
      <c r="G66" s="19">
        <f>(B66-E66)*'PSA&amp;CPR'!F66</f>
        <v>204.47447941080443</v>
      </c>
      <c r="H66" s="19">
        <f>Remaining_balance($B$1,$D$1,A66,$B$3)*'PSA&amp;CPR'!M66</f>
        <v>80454.522864762825</v>
      </c>
    </row>
    <row r="67" spans="1:8">
      <c r="A67">
        <f>'PSA&amp;CPR'!A67</f>
        <v>65</v>
      </c>
      <c r="B67" s="19">
        <f t="shared" si="0"/>
        <v>80454.522864762825</v>
      </c>
      <c r="C67" s="19">
        <f t="shared" si="1"/>
        <v>335.22717860317846</v>
      </c>
      <c r="D67" s="19">
        <f>Monthly_payment($B$1,$D$1,$B$3)*'PSA&amp;CPR'!M66</f>
        <v>473.52973148924769</v>
      </c>
      <c r="E67" s="19">
        <f>Principle_portion_of_payment($B$1,$D$1,A67,$B$3)*'PSA&amp;CPR'!M66</f>
        <v>138.30255288606941</v>
      </c>
      <c r="F67" s="19">
        <f>Interest_portion_of_payment($B$1,$D$1,A67,$B$3)*'PSA&amp;CPR'!M66</f>
        <v>335.2271786031784</v>
      </c>
      <c r="G67" s="19">
        <f>(B67-E67)*'PSA&amp;CPR'!F67</f>
        <v>203.60552297022519</v>
      </c>
      <c r="H67" s="19">
        <f>Remaining_balance($B$1,$D$1,A67,$B$3)*'PSA&amp;CPR'!M67</f>
        <v>80112.614788906518</v>
      </c>
    </row>
    <row r="68" spans="1:8">
      <c r="A68">
        <f>'PSA&amp;CPR'!A68</f>
        <v>66</v>
      </c>
      <c r="B68" s="19">
        <f t="shared" si="0"/>
        <v>80112.614788906518</v>
      </c>
      <c r="C68" s="19">
        <f t="shared" si="1"/>
        <v>333.80256162044384</v>
      </c>
      <c r="D68" s="19">
        <f>Monthly_payment($B$1,$D$1,$B$3)*'PSA&amp;CPR'!M67</f>
        <v>472.32931059982548</v>
      </c>
      <c r="E68" s="19">
        <f>Principle_portion_of_payment($B$1,$D$1,A68,$B$3)*'PSA&amp;CPR'!M67</f>
        <v>138.52674897938169</v>
      </c>
      <c r="F68" s="19">
        <f>Interest_portion_of_payment($B$1,$D$1,A68,$B$3)*'PSA&amp;CPR'!M67</f>
        <v>333.80256162044378</v>
      </c>
      <c r="G68" s="19">
        <f>(B68-E68)*'PSA&amp;CPR'!F68</f>
        <v>202.73820102847054</v>
      </c>
      <c r="H68" s="19">
        <f>Remaining_balance($B$1,$D$1,A68,$B$3)*'PSA&amp;CPR'!M68</f>
        <v>79771.349838898663</v>
      </c>
    </row>
    <row r="69" spans="1:8">
      <c r="A69">
        <f>'PSA&amp;CPR'!A69</f>
        <v>67</v>
      </c>
      <c r="B69" s="19">
        <f t="shared" ref="B69:B132" si="2">H68</f>
        <v>79771.349838898663</v>
      </c>
      <c r="C69" s="19">
        <f t="shared" ref="C69:C132" si="3">B69*($B$1/1200)</f>
        <v>332.38062432874443</v>
      </c>
      <c r="D69" s="19">
        <f>Monthly_payment($B$1,$D$1,$B$3)*'PSA&amp;CPR'!M68</f>
        <v>471.13193283571496</v>
      </c>
      <c r="E69" s="19">
        <f>Principle_portion_of_payment($B$1,$D$1,A69,$B$3)*'PSA&amp;CPR'!M68</f>
        <v>138.75130850697056</v>
      </c>
      <c r="F69" s="19">
        <f>Interest_portion_of_payment($B$1,$D$1,A69,$B$3)*'PSA&amp;CPR'!M68</f>
        <v>332.38062432874443</v>
      </c>
      <c r="G69" s="19">
        <f>(B69-E69)*'PSA&amp;CPR'!F69</f>
        <v>201.87250852068294</v>
      </c>
      <c r="H69" s="19">
        <f>Remaining_balance($B$1,$D$1,A69,$B$3)*'PSA&amp;CPR'!M69</f>
        <v>79430.726021871014</v>
      </c>
    </row>
    <row r="70" spans="1:8">
      <c r="A70">
        <f>'PSA&amp;CPR'!A70</f>
        <v>68</v>
      </c>
      <c r="B70" s="19">
        <f t="shared" si="2"/>
        <v>79430.726021871014</v>
      </c>
      <c r="C70" s="19">
        <f t="shared" si="3"/>
        <v>330.96135842446256</v>
      </c>
      <c r="D70" s="19">
        <f>Monthly_payment($B$1,$D$1,$B$3)*'PSA&amp;CPR'!M69</f>
        <v>469.93759048244556</v>
      </c>
      <c r="E70" s="19">
        <f>Principle_portion_of_payment($B$1,$D$1,A70,$B$3)*'PSA&amp;CPR'!M69</f>
        <v>138.97623205798308</v>
      </c>
      <c r="F70" s="19">
        <f>Interest_portion_of_payment($B$1,$D$1,A70,$B$3)*'PSA&amp;CPR'!M69</f>
        <v>330.96135842446256</v>
      </c>
      <c r="G70" s="19">
        <f>(B70-E70)*'PSA&amp;CPR'!F70</f>
        <v>201.00844039335101</v>
      </c>
      <c r="H70" s="19">
        <f>Remaining_balance($B$1,$D$1,A70,$B$3)*'PSA&amp;CPR'!M70</f>
        <v>79090.741349419666</v>
      </c>
    </row>
    <row r="71" spans="1:8">
      <c r="A71">
        <f>'PSA&amp;CPR'!A71</f>
        <v>69</v>
      </c>
      <c r="B71" s="19">
        <f t="shared" si="2"/>
        <v>79090.741349419666</v>
      </c>
      <c r="C71" s="19">
        <f t="shared" si="3"/>
        <v>329.54475562258193</v>
      </c>
      <c r="D71" s="19">
        <f>Monthly_payment($B$1,$D$1,$B$3)*'PSA&amp;CPR'!M70</f>
        <v>468.7462758451033</v>
      </c>
      <c r="E71" s="19">
        <f>Principle_portion_of_payment($B$1,$D$1,A71,$B$3)*'PSA&amp;CPR'!M70</f>
        <v>139.20152022252134</v>
      </c>
      <c r="F71" s="19">
        <f>Interest_portion_of_payment($B$1,$D$1,A71,$B$3)*'PSA&amp;CPR'!M70</f>
        <v>329.54475562258193</v>
      </c>
      <c r="G71" s="19">
        <f>(B71-E71)*'PSA&amp;CPR'!F71</f>
        <v>200.14599160427829</v>
      </c>
      <c r="H71" s="19">
        <f>Remaining_balance($B$1,$D$1,A71,$B$3)*'PSA&amp;CPR'!M71</f>
        <v>78751.393837592885</v>
      </c>
    </row>
    <row r="72" spans="1:8">
      <c r="A72">
        <f>'PSA&amp;CPR'!A72</f>
        <v>70</v>
      </c>
      <c r="B72" s="19">
        <f t="shared" si="2"/>
        <v>78751.393837592885</v>
      </c>
      <c r="C72" s="19">
        <f t="shared" si="3"/>
        <v>328.13080765663699</v>
      </c>
      <c r="D72" s="19">
        <f>Monthly_payment($B$1,$D$1,$B$3)*'PSA&amp;CPR'!M71</f>
        <v>467.55798124828101</v>
      </c>
      <c r="E72" s="19">
        <f>Principle_portion_of_payment($B$1,$D$1,A72,$B$3)*'PSA&amp;CPR'!M71</f>
        <v>139.42717359164411</v>
      </c>
      <c r="F72" s="19">
        <f>Interest_portion_of_payment($B$1,$D$1,A72,$B$3)*'PSA&amp;CPR'!M71</f>
        <v>328.13080765663693</v>
      </c>
      <c r="G72" s="19">
        <f>(B72-E72)*'PSA&amp;CPR'!F72</f>
        <v>199.28515712255228</v>
      </c>
      <c r="H72" s="19">
        <f>Remaining_balance($B$1,$D$1,A72,$B$3)*'PSA&amp;CPR'!M72</f>
        <v>78412.681506878682</v>
      </c>
    </row>
    <row r="73" spans="1:8">
      <c r="A73">
        <f>'PSA&amp;CPR'!A73</f>
        <v>71</v>
      </c>
      <c r="B73" s="19">
        <f t="shared" si="2"/>
        <v>78412.681506878682</v>
      </c>
      <c r="C73" s="19">
        <f t="shared" si="3"/>
        <v>326.71950627866119</v>
      </c>
      <c r="D73" s="19">
        <f>Monthly_payment($B$1,$D$1,$B$3)*'PSA&amp;CPR'!M72</f>
        <v>466.3726990360293</v>
      </c>
      <c r="E73" s="19">
        <f>Principle_portion_of_payment($B$1,$D$1,A73,$B$3)*'PSA&amp;CPR'!M72</f>
        <v>139.6531927573682</v>
      </c>
      <c r="F73" s="19">
        <f>Interest_portion_of_payment($B$1,$D$1,A73,$B$3)*'PSA&amp;CPR'!M72</f>
        <v>326.71950627866119</v>
      </c>
      <c r="G73" s="19">
        <f>(B73-E73)*'PSA&amp;CPR'!F73</f>
        <v>198.42593192851305</v>
      </c>
      <c r="H73" s="19">
        <f>Remaining_balance($B$1,$D$1,A73,$B$3)*'PSA&amp;CPR'!M73</f>
        <v>78074.602382192825</v>
      </c>
    </row>
    <row r="74" spans="1:8">
      <c r="A74">
        <f>'PSA&amp;CPR'!A74</f>
        <v>72</v>
      </c>
      <c r="B74" s="19">
        <f t="shared" si="2"/>
        <v>78074.602382192825</v>
      </c>
      <c r="C74" s="19">
        <f t="shared" si="3"/>
        <v>325.31084325913679</v>
      </c>
      <c r="D74" s="19">
        <f>Monthly_payment($B$1,$D$1,$B$3)*'PSA&amp;CPR'!M73</f>
        <v>465.19042157180678</v>
      </c>
      <c r="E74" s="19">
        <f>Principle_portion_of_payment($B$1,$D$1,A74,$B$3)*'PSA&amp;CPR'!M73</f>
        <v>139.87957831267011</v>
      </c>
      <c r="F74" s="19">
        <f>Interest_portion_of_payment($B$1,$D$1,A74,$B$3)*'PSA&amp;CPR'!M73</f>
        <v>325.31084325913673</v>
      </c>
      <c r="G74" s="19">
        <f>(B74-E74)*'PSA&amp;CPR'!F74</f>
        <v>197.56831101372291</v>
      </c>
      <c r="H74" s="19">
        <f>Remaining_balance($B$1,$D$1,A74,$B$3)*'PSA&amp;CPR'!M74</f>
        <v>77737.154492866437</v>
      </c>
    </row>
    <row r="75" spans="1:8">
      <c r="A75">
        <f>'PSA&amp;CPR'!A75</f>
        <v>73</v>
      </c>
      <c r="B75" s="19">
        <f t="shared" si="2"/>
        <v>77737.154492866437</v>
      </c>
      <c r="C75" s="19">
        <f t="shared" si="3"/>
        <v>323.9048103869435</v>
      </c>
      <c r="D75" s="19">
        <f>Monthly_payment($B$1,$D$1,$B$3)*'PSA&amp;CPR'!M74</f>
        <v>464.01114123843104</v>
      </c>
      <c r="E75" s="19">
        <f>Principle_portion_of_payment($B$1,$D$1,A75,$B$3)*'PSA&amp;CPR'!M74</f>
        <v>140.10633085148771</v>
      </c>
      <c r="F75" s="19">
        <f>Interest_portion_of_payment($B$1,$D$1,A75,$B$3)*'PSA&amp;CPR'!M74</f>
        <v>323.90481038694344</v>
      </c>
      <c r="G75" s="19">
        <f>(B75-E75)*'PSA&amp;CPR'!F75</f>
        <v>196.71228938093472</v>
      </c>
      <c r="H75" s="19">
        <f>Remaining_balance($B$1,$D$1,A75,$B$3)*'PSA&amp;CPR'!M75</f>
        <v>77400.335872633994</v>
      </c>
    </row>
    <row r="76" spans="1:8">
      <c r="A76">
        <f>'PSA&amp;CPR'!A76</f>
        <v>74</v>
      </c>
      <c r="B76" s="19">
        <f t="shared" si="2"/>
        <v>77400.335872633994</v>
      </c>
      <c r="C76" s="19">
        <f t="shared" si="3"/>
        <v>322.5013994693083</v>
      </c>
      <c r="D76" s="19">
        <f>Monthly_payment($B$1,$D$1,$B$3)*'PSA&amp;CPR'!M75</f>
        <v>462.83485043802978</v>
      </c>
      <c r="E76" s="19">
        <f>Principle_portion_of_payment($B$1,$D$1,A76,$B$3)*'PSA&amp;CPR'!M75</f>
        <v>140.33345096872154</v>
      </c>
      <c r="F76" s="19">
        <f>Interest_portion_of_payment($B$1,$D$1,A76,$B$3)*'PSA&amp;CPR'!M75</f>
        <v>322.50139946930835</v>
      </c>
      <c r="G76" s="19">
        <f>(B76-E76)*'PSA&amp;CPR'!F76</f>
        <v>195.85786204406168</v>
      </c>
      <c r="H76" s="19">
        <f>Remaining_balance($B$1,$D$1,A76,$B$3)*'PSA&amp;CPR'!M76</f>
        <v>77064.144559621214</v>
      </c>
    </row>
    <row r="77" spans="1:8">
      <c r="A77">
        <f>'PSA&amp;CPR'!A77</f>
        <v>75</v>
      </c>
      <c r="B77" s="19">
        <f t="shared" si="2"/>
        <v>77064.144559621214</v>
      </c>
      <c r="C77" s="19">
        <f t="shared" si="3"/>
        <v>321.10060233175506</v>
      </c>
      <c r="D77" s="19">
        <f>Monthly_payment($B$1,$D$1,$B$3)*'PSA&amp;CPR'!M76</f>
        <v>461.66154159199152</v>
      </c>
      <c r="E77" s="19">
        <f>Principle_portion_of_payment($B$1,$D$1,A77,$B$3)*'PSA&amp;CPR'!M76</f>
        <v>140.56093926023652</v>
      </c>
      <c r="F77" s="19">
        <f>Interest_portion_of_payment($B$1,$D$1,A77,$B$3)*'PSA&amp;CPR'!M76</f>
        <v>321.10060233175506</v>
      </c>
      <c r="G77" s="19">
        <f>(B77-E77)*'PSA&amp;CPR'!F77</f>
        <v>195.00502402814666</v>
      </c>
      <c r="H77" s="19">
        <f>Remaining_balance($B$1,$D$1,A77,$B$3)*'PSA&amp;CPR'!M77</f>
        <v>76728.578596332824</v>
      </c>
    </row>
    <row r="78" spans="1:8">
      <c r="A78">
        <f>'PSA&amp;CPR'!A78</f>
        <v>76</v>
      </c>
      <c r="B78" s="19">
        <f t="shared" si="2"/>
        <v>76728.578596332824</v>
      </c>
      <c r="C78" s="19">
        <f t="shared" si="3"/>
        <v>319.70241081805341</v>
      </c>
      <c r="D78" s="19">
        <f>Monthly_payment($B$1,$D$1,$B$3)*'PSA&amp;CPR'!M77</f>
        <v>460.49120714091708</v>
      </c>
      <c r="E78" s="19">
        <f>Principle_portion_of_payment($B$1,$D$1,A78,$B$3)*'PSA&amp;CPR'!M77</f>
        <v>140.78879632286367</v>
      </c>
      <c r="F78" s="19">
        <f>Interest_portion_of_payment($B$1,$D$1,A78,$B$3)*'PSA&amp;CPR'!M77</f>
        <v>319.70241081805347</v>
      </c>
      <c r="G78" s="19">
        <f>(B78-E78)*'PSA&amp;CPR'!F78</f>
        <v>194.15377036933089</v>
      </c>
      <c r="H78" s="19">
        <f>Remaining_balance($B$1,$D$1,A78,$B$3)*'PSA&amp;CPR'!M78</f>
        <v>76393.636029640649</v>
      </c>
    </row>
    <row r="79" spans="1:8">
      <c r="A79">
        <f>'PSA&amp;CPR'!A79</f>
        <v>77</v>
      </c>
      <c r="B79" s="19">
        <f t="shared" si="2"/>
        <v>76393.636029640649</v>
      </c>
      <c r="C79" s="19">
        <f t="shared" si="3"/>
        <v>318.30681679016936</v>
      </c>
      <c r="D79" s="19">
        <f>Monthly_payment($B$1,$D$1,$B$3)*'PSA&amp;CPR'!M78</f>
        <v>459.32383954457049</v>
      </c>
      <c r="E79" s="19">
        <f>Principle_portion_of_payment($B$1,$D$1,A79,$B$3)*'PSA&amp;CPR'!M78</f>
        <v>141.01702275440124</v>
      </c>
      <c r="F79" s="19">
        <f>Interest_portion_of_payment($B$1,$D$1,A79,$B$3)*'PSA&amp;CPR'!M78</f>
        <v>318.30681679016936</v>
      </c>
      <c r="G79" s="19">
        <f>(B79-E79)*'PSA&amp;CPR'!F79</f>
        <v>193.30409611482406</v>
      </c>
      <c r="H79" s="19">
        <f>Remaining_balance($B$1,$D$1,A79,$B$3)*'PSA&amp;CPR'!M79</f>
        <v>76059.314910771398</v>
      </c>
    </row>
    <row r="80" spans="1:8">
      <c r="A80">
        <f>'PSA&amp;CPR'!A80</f>
        <v>78</v>
      </c>
      <c r="B80" s="19">
        <f t="shared" si="2"/>
        <v>76059.314910771398</v>
      </c>
      <c r="C80" s="19">
        <f t="shared" si="3"/>
        <v>316.91381212821415</v>
      </c>
      <c r="D80" s="19">
        <f>Monthly_payment($B$1,$D$1,$B$3)*'PSA&amp;CPR'!M79</f>
        <v>458.1594312818309</v>
      </c>
      <c r="E80" s="19">
        <f>Principle_portion_of_payment($B$1,$D$1,A80,$B$3)*'PSA&amp;CPR'!M79</f>
        <v>141.24561915361673</v>
      </c>
      <c r="F80" s="19">
        <f>Interest_portion_of_payment($B$1,$D$1,A80,$B$3)*'PSA&amp;CPR'!M79</f>
        <v>316.9138121282142</v>
      </c>
      <c r="G80" s="19">
        <f>(B80-E80)*'PSA&amp;CPR'!F80</f>
        <v>192.45599632287326</v>
      </c>
      <c r="H80" s="19">
        <f>Remaining_balance($B$1,$D$1,A80,$B$3)*'PSA&amp;CPR'!M80</f>
        <v>75725.613295294927</v>
      </c>
    </row>
    <row r="81" spans="1:8">
      <c r="A81">
        <f>'PSA&amp;CPR'!A81</f>
        <v>79</v>
      </c>
      <c r="B81" s="19">
        <f t="shared" si="2"/>
        <v>75725.613295294927</v>
      </c>
      <c r="C81" s="19">
        <f t="shared" si="3"/>
        <v>315.52338873039554</v>
      </c>
      <c r="D81" s="19">
        <f>Monthly_payment($B$1,$D$1,$B$3)*'PSA&amp;CPR'!M80</f>
        <v>456.99797485064369</v>
      </c>
      <c r="E81" s="19">
        <f>Principle_portion_of_payment($B$1,$D$1,A81,$B$3)*'PSA&amp;CPR'!M80</f>
        <v>141.47458612024826</v>
      </c>
      <c r="F81" s="19">
        <f>Interest_portion_of_payment($B$1,$D$1,A81,$B$3)*'PSA&amp;CPR'!M80</f>
        <v>315.52338873039554</v>
      </c>
      <c r="G81" s="19">
        <f>(B81-E81)*'PSA&amp;CPR'!F81</f>
        <v>191.60946606273319</v>
      </c>
      <c r="H81" s="19">
        <f>Remaining_balance($B$1,$D$1,A81,$B$3)*'PSA&amp;CPR'!M81</f>
        <v>75392.529243111945</v>
      </c>
    </row>
    <row r="82" spans="1:8">
      <c r="A82">
        <f>'PSA&amp;CPR'!A82</f>
        <v>80</v>
      </c>
      <c r="B82" s="19">
        <f t="shared" si="2"/>
        <v>75392.529243111945</v>
      </c>
      <c r="C82" s="19">
        <f t="shared" si="3"/>
        <v>314.13553851296643</v>
      </c>
      <c r="D82" s="19">
        <f>Monthly_payment($B$1,$D$1,$B$3)*'PSA&amp;CPR'!M81</f>
        <v>455.83946276797235</v>
      </c>
      <c r="E82" s="19">
        <f>Principle_portion_of_payment($B$1,$D$1,A82,$B$3)*'PSA&amp;CPR'!M81</f>
        <v>141.703924255006</v>
      </c>
      <c r="F82" s="19">
        <f>Interest_portion_of_payment($B$1,$D$1,A82,$B$3)*'PSA&amp;CPR'!M81</f>
        <v>314.13553851296643</v>
      </c>
      <c r="G82" s="19">
        <f>(B82-E82)*'PSA&amp;CPR'!F82</f>
        <v>190.76450041463502</v>
      </c>
      <c r="H82" s="19">
        <f>Remaining_balance($B$1,$D$1,A82,$B$3)*'PSA&amp;CPR'!M82</f>
        <v>75060.060818442289</v>
      </c>
    </row>
    <row r="83" spans="1:8">
      <c r="A83">
        <f>'PSA&amp;CPR'!A83</f>
        <v>81</v>
      </c>
      <c r="B83" s="19">
        <f t="shared" si="2"/>
        <v>75060.060818442289</v>
      </c>
      <c r="C83" s="19">
        <f t="shared" si="3"/>
        <v>312.75025341017619</v>
      </c>
      <c r="D83" s="19">
        <f>Monthly_payment($B$1,$D$1,$B$3)*'PSA&amp;CPR'!M82</f>
        <v>454.68388756975031</v>
      </c>
      <c r="E83" s="19">
        <f>Principle_portion_of_payment($B$1,$D$1,A83,$B$3)*'PSA&amp;CPR'!M82</f>
        <v>141.93363415957418</v>
      </c>
      <c r="F83" s="19">
        <f>Interest_portion_of_payment($B$1,$D$1,A83,$B$3)*'PSA&amp;CPR'!M82</f>
        <v>312.75025341017624</v>
      </c>
      <c r="G83" s="19">
        <f>(B83-E83)*'PSA&amp;CPR'!F83</f>
        <v>189.92109446975658</v>
      </c>
      <c r="H83" s="19">
        <f>Remaining_balance($B$1,$D$1,A83,$B$3)*'PSA&amp;CPR'!M83</f>
        <v>74728.206089812957</v>
      </c>
    </row>
    <row r="84" spans="1:8">
      <c r="A84">
        <f>'PSA&amp;CPR'!A84</f>
        <v>82</v>
      </c>
      <c r="B84" s="19">
        <f t="shared" si="2"/>
        <v>74728.206089812957</v>
      </c>
      <c r="C84" s="19">
        <f t="shared" si="3"/>
        <v>311.36752537422063</v>
      </c>
      <c r="D84" s="19">
        <f>Monthly_payment($B$1,$D$1,$B$3)*'PSA&amp;CPR'!M83</f>
        <v>453.53124181083274</v>
      </c>
      <c r="E84" s="19">
        <f>Principle_portion_of_payment($B$1,$D$1,A84,$B$3)*'PSA&amp;CPR'!M83</f>
        <v>142.16371643661211</v>
      </c>
      <c r="F84" s="19">
        <f>Interest_portion_of_payment($B$1,$D$1,A84,$B$3)*'PSA&amp;CPR'!M83</f>
        <v>311.36752537422063</v>
      </c>
      <c r="G84" s="19">
        <f>(B84-E84)*'PSA&amp;CPR'!F84</f>
        <v>189.07924333019218</v>
      </c>
      <c r="H84" s="19">
        <f>Remaining_balance($B$1,$D$1,A84,$B$3)*'PSA&amp;CPR'!M84</f>
        <v>74396.963130046148</v>
      </c>
    </row>
    <row r="85" spans="1:8">
      <c r="A85">
        <f>'PSA&amp;CPR'!A85</f>
        <v>83</v>
      </c>
      <c r="B85" s="19">
        <f t="shared" si="2"/>
        <v>74396.963130046148</v>
      </c>
      <c r="C85" s="19">
        <f t="shared" si="3"/>
        <v>309.98734637519226</v>
      </c>
      <c r="D85" s="19">
        <f>Monthly_payment($B$1,$D$1,$B$3)*'PSA&amp;CPR'!M84</f>
        <v>452.38151806494852</v>
      </c>
      <c r="E85" s="19">
        <f>Principle_portion_of_payment($B$1,$D$1,A85,$B$3)*'PSA&amp;CPR'!M84</f>
        <v>142.39417168975629</v>
      </c>
      <c r="F85" s="19">
        <f>Interest_portion_of_payment($B$1,$D$1,A85,$B$3)*'PSA&amp;CPR'!M84</f>
        <v>309.98734637519226</v>
      </c>
      <c r="G85" s="19">
        <f>(B85-E85)*'PSA&amp;CPR'!F85</f>
        <v>188.23894210892212</v>
      </c>
      <c r="H85" s="19">
        <f>Remaining_balance($B$1,$D$1,A85,$B$3)*'PSA&amp;CPR'!M85</f>
        <v>74066.330016247462</v>
      </c>
    </row>
    <row r="86" spans="1:8">
      <c r="A86">
        <f>'PSA&amp;CPR'!A86</f>
        <v>84</v>
      </c>
      <c r="B86" s="19">
        <f t="shared" si="2"/>
        <v>74066.330016247462</v>
      </c>
      <c r="C86" s="19">
        <f t="shared" si="3"/>
        <v>308.60970840103107</v>
      </c>
      <c r="D86" s="19">
        <f>Monthly_payment($B$1,$D$1,$B$3)*'PSA&amp;CPR'!M85</f>
        <v>451.23470892465264</v>
      </c>
      <c r="E86" s="19">
        <f>Principle_portion_of_payment($B$1,$D$1,A86,$B$3)*'PSA&amp;CPR'!M85</f>
        <v>142.62500052362157</v>
      </c>
      <c r="F86" s="19">
        <f>Interest_portion_of_payment($B$1,$D$1,A86,$B$3)*'PSA&amp;CPR'!M85</f>
        <v>308.60970840103113</v>
      </c>
      <c r="G86" s="19">
        <f>(B86-E86)*'PSA&amp;CPR'!F86</f>
        <v>187.40018592978294</v>
      </c>
      <c r="H86" s="19">
        <f>Remaining_balance($B$1,$D$1,A86,$B$3)*'PSA&amp;CPR'!M86</f>
        <v>73736.30482979407</v>
      </c>
    </row>
    <row r="87" spans="1:8">
      <c r="A87">
        <f>'PSA&amp;CPR'!A87</f>
        <v>85</v>
      </c>
      <c r="B87" s="19">
        <f t="shared" si="2"/>
        <v>73736.30482979407</v>
      </c>
      <c r="C87" s="19">
        <f t="shared" si="3"/>
        <v>307.23460345747526</v>
      </c>
      <c r="D87" s="19">
        <f>Monthly_payment($B$1,$D$1,$B$3)*'PSA&amp;CPR'!M86</f>
        <v>450.09080700127816</v>
      </c>
      <c r="E87" s="19">
        <f>Principle_portion_of_payment($B$1,$D$1,A87,$B$3)*'PSA&amp;CPR'!M86</f>
        <v>142.85620354380296</v>
      </c>
      <c r="F87" s="19">
        <f>Interest_portion_of_payment($B$1,$D$1,A87,$B$3)*'PSA&amp;CPR'!M86</f>
        <v>307.23460345747532</v>
      </c>
      <c r="G87" s="19">
        <f>(B87-E87)*'PSA&amp;CPR'!F87</f>
        <v>186.56296992743722</v>
      </c>
      <c r="H87" s="19">
        <f>Remaining_balance($B$1,$D$1,A87,$B$3)*'PSA&amp;CPR'!M87</f>
        <v>73406.885656322818</v>
      </c>
    </row>
    <row r="88" spans="1:8">
      <c r="A88">
        <f>'PSA&amp;CPR'!A88</f>
        <v>86</v>
      </c>
      <c r="B88" s="19">
        <f t="shared" si="2"/>
        <v>73406.885656322818</v>
      </c>
      <c r="C88" s="19">
        <f t="shared" si="3"/>
        <v>305.86202356801175</v>
      </c>
      <c r="D88" s="19">
        <f>Monthly_payment($B$1,$D$1,$B$3)*'PSA&amp;CPR'!M87</f>
        <v>448.94980492488895</v>
      </c>
      <c r="E88" s="19">
        <f>Principle_portion_of_payment($B$1,$D$1,A88,$B$3)*'PSA&amp;CPR'!M87</f>
        <v>143.08778135687726</v>
      </c>
      <c r="F88" s="19">
        <f>Interest_portion_of_payment($B$1,$D$1,A88,$B$3)*'PSA&amp;CPR'!M87</f>
        <v>305.86202356801169</v>
      </c>
      <c r="G88" s="19">
        <f>(B88-E88)*'PSA&amp;CPR'!F88</f>
        <v>185.72728924734369</v>
      </c>
      <c r="H88" s="19">
        <f>Remaining_balance($B$1,$D$1,A88,$B$3)*'PSA&amp;CPR'!M88</f>
        <v>73078.070585718611</v>
      </c>
    </row>
    <row r="89" spans="1:8">
      <c r="A89">
        <f>'PSA&amp;CPR'!A89</f>
        <v>87</v>
      </c>
      <c r="B89" s="19">
        <f t="shared" si="2"/>
        <v>73078.070585718611</v>
      </c>
      <c r="C89" s="19">
        <f t="shared" si="3"/>
        <v>304.49196077382754</v>
      </c>
      <c r="D89" s="19">
        <f>Monthly_payment($B$1,$D$1,$B$3)*'PSA&amp;CPR'!M88</f>
        <v>447.81169534423185</v>
      </c>
      <c r="E89" s="19">
        <f>Principle_portion_of_payment($B$1,$D$1,A89,$B$3)*'PSA&amp;CPR'!M88</f>
        <v>143.31973457040436</v>
      </c>
      <c r="F89" s="19">
        <f>Interest_portion_of_payment($B$1,$D$1,A89,$B$3)*'PSA&amp;CPR'!M88</f>
        <v>304.49196077382754</v>
      </c>
      <c r="G89" s="19">
        <f>(B89-E89)*'PSA&amp;CPR'!F89</f>
        <v>184.89313904572745</v>
      </c>
      <c r="H89" s="19">
        <f>Remaining_balance($B$1,$D$1,A89,$B$3)*'PSA&amp;CPR'!M89</f>
        <v>72749.857712102472</v>
      </c>
    </row>
    <row r="90" spans="1:8">
      <c r="A90">
        <f>'PSA&amp;CPR'!A90</f>
        <v>88</v>
      </c>
      <c r="B90" s="19">
        <f t="shared" si="2"/>
        <v>72749.857712102472</v>
      </c>
      <c r="C90" s="19">
        <f t="shared" si="3"/>
        <v>303.12440713376031</v>
      </c>
      <c r="D90" s="19">
        <f>Monthly_payment($B$1,$D$1,$B$3)*'PSA&amp;CPR'!M89</f>
        <v>446.67647092668955</v>
      </c>
      <c r="E90" s="19">
        <f>Principle_portion_of_payment($B$1,$D$1,A90,$B$3)*'PSA&amp;CPR'!M89</f>
        <v>143.55206379292935</v>
      </c>
      <c r="F90" s="19">
        <f>Interest_portion_of_payment($B$1,$D$1,A90,$B$3)*'PSA&amp;CPR'!M89</f>
        <v>303.12440713376026</v>
      </c>
      <c r="G90" s="19">
        <f>(B90-E90)*'PSA&amp;CPR'!F90</f>
        <v>184.06051448955</v>
      </c>
      <c r="H90" s="19">
        <f>Remaining_balance($B$1,$D$1,A90,$B$3)*'PSA&amp;CPR'!M90</f>
        <v>72422.245133820004</v>
      </c>
    </row>
    <row r="91" spans="1:8">
      <c r="A91">
        <f>'PSA&amp;CPR'!A91</f>
        <v>89</v>
      </c>
      <c r="B91" s="19">
        <f t="shared" si="2"/>
        <v>72422.245133820004</v>
      </c>
      <c r="C91" s="19">
        <f t="shared" si="3"/>
        <v>301.75935472424999</v>
      </c>
      <c r="D91" s="19">
        <f>Monthly_payment($B$1,$D$1,$B$3)*'PSA&amp;CPR'!M90</f>
        <v>445.54412435823338</v>
      </c>
      <c r="E91" s="19">
        <f>Principle_portion_of_payment($B$1,$D$1,A91,$B$3)*'PSA&amp;CPR'!M90</f>
        <v>143.7847696339835</v>
      </c>
      <c r="F91" s="19">
        <f>Interest_portion_of_payment($B$1,$D$1,A91,$B$3)*'PSA&amp;CPR'!M90</f>
        <v>301.75935472424993</v>
      </c>
      <c r="G91" s="19">
        <f>(B91-E91)*'PSA&amp;CPR'!F91</f>
        <v>183.22941075647975</v>
      </c>
      <c r="H91" s="19">
        <f>Remaining_balance($B$1,$D$1,A91,$B$3)*'PSA&amp;CPR'!M91</f>
        <v>72095.230953429535</v>
      </c>
    </row>
    <row r="92" spans="1:8">
      <c r="A92">
        <f>'PSA&amp;CPR'!A92</f>
        <v>90</v>
      </c>
      <c r="B92" s="19">
        <f t="shared" si="2"/>
        <v>72095.230953429535</v>
      </c>
      <c r="C92" s="19">
        <f t="shared" si="3"/>
        <v>300.39679563928973</v>
      </c>
      <c r="D92" s="19">
        <f>Monthly_payment($B$1,$D$1,$B$3)*'PSA&amp;CPR'!M91</f>
        <v>444.41464834337603</v>
      </c>
      <c r="E92" s="19">
        <f>Principle_portion_of_payment($B$1,$D$1,A92,$B$3)*'PSA&amp;CPR'!M91</f>
        <v>144.01785270408635</v>
      </c>
      <c r="F92" s="19">
        <f>Interest_portion_of_payment($B$1,$D$1,A92,$B$3)*'PSA&amp;CPR'!M91</f>
        <v>300.39679563928973</v>
      </c>
      <c r="G92" s="19">
        <f>(B92-E92)*'PSA&amp;CPR'!F92</f>
        <v>182.39982303486218</v>
      </c>
      <c r="H92" s="19">
        <f>Remaining_balance($B$1,$D$1,A92,$B$3)*'PSA&amp;CPR'!M92</f>
        <v>71768.813277690584</v>
      </c>
    </row>
    <row r="93" spans="1:8">
      <c r="A93">
        <f>'PSA&amp;CPR'!A93</f>
        <v>91</v>
      </c>
      <c r="B93" s="19">
        <f t="shared" si="2"/>
        <v>71768.813277690584</v>
      </c>
      <c r="C93" s="19">
        <f t="shared" si="3"/>
        <v>299.03672199037743</v>
      </c>
      <c r="D93" s="19">
        <f>Monthly_payment($B$1,$D$1,$B$3)*'PSA&amp;CPR'!M92</f>
        <v>443.28803560512438</v>
      </c>
      <c r="E93" s="19">
        <f>Principle_portion_of_payment($B$1,$D$1,A93,$B$3)*'PSA&amp;CPR'!M92</f>
        <v>144.25131361474706</v>
      </c>
      <c r="F93" s="19">
        <f>Interest_portion_of_payment($B$1,$D$1,A93,$B$3)*'PSA&amp;CPR'!M92</f>
        <v>299.03672199037743</v>
      </c>
      <c r="G93" s="19">
        <f>(B93-E93)*'PSA&amp;CPR'!F93</f>
        <v>181.57174652369042</v>
      </c>
      <c r="H93" s="19">
        <f>Remaining_balance($B$1,$D$1,A93,$B$3)*'PSA&amp;CPR'!M93</f>
        <v>71442.990217552142</v>
      </c>
    </row>
    <row r="94" spans="1:8">
      <c r="A94">
        <f>'PSA&amp;CPR'!A94</f>
        <v>92</v>
      </c>
      <c r="B94" s="19">
        <f t="shared" si="2"/>
        <v>71442.990217552142</v>
      </c>
      <c r="C94" s="19">
        <f t="shared" si="3"/>
        <v>297.67912590646728</v>
      </c>
      <c r="D94" s="19">
        <f>Monthly_payment($B$1,$D$1,$B$3)*'PSA&amp;CPR'!M93</f>
        <v>442.16427888493325</v>
      </c>
      <c r="E94" s="19">
        <f>Principle_portion_of_payment($B$1,$D$1,A94,$B$3)*'PSA&amp;CPR'!M93</f>
        <v>144.48515297846603</v>
      </c>
      <c r="F94" s="19">
        <f>Interest_portion_of_payment($B$1,$D$1,A94,$B$3)*'PSA&amp;CPR'!M93</f>
        <v>297.67912590646722</v>
      </c>
      <c r="G94" s="19">
        <f>(B94-E94)*'PSA&amp;CPR'!F94</f>
        <v>180.74517643257556</v>
      </c>
      <c r="H94" s="19">
        <f>Remaining_balance($B$1,$D$1,A94,$B$3)*'PSA&amp;CPR'!M94</f>
        <v>71117.75988814111</v>
      </c>
    </row>
    <row r="95" spans="1:8">
      <c r="A95">
        <f>'PSA&amp;CPR'!A95</f>
        <v>93</v>
      </c>
      <c r="B95" s="19">
        <f t="shared" si="2"/>
        <v>71117.75988814111</v>
      </c>
      <c r="C95" s="19">
        <f t="shared" si="3"/>
        <v>296.32399953392127</v>
      </c>
      <c r="D95" s="19">
        <f>Monthly_payment($B$1,$D$1,$B$3)*'PSA&amp;CPR'!M94</f>
        <v>441.04337094265793</v>
      </c>
      <c r="E95" s="19">
        <f>Principle_portion_of_payment($B$1,$D$1,A95,$B$3)*'PSA&amp;CPR'!M94</f>
        <v>144.71937140873669</v>
      </c>
      <c r="F95" s="19">
        <f>Interest_portion_of_payment($B$1,$D$1,A95,$B$3)*'PSA&amp;CPR'!M94</f>
        <v>296.32399953392127</v>
      </c>
      <c r="G95" s="19">
        <f>(B95-E95)*'PSA&amp;CPR'!F95</f>
        <v>179.92010798171751</v>
      </c>
      <c r="H95" s="19">
        <f>Remaining_balance($B$1,$D$1,A95,$B$3)*'PSA&amp;CPR'!M95</f>
        <v>70793.120408750663</v>
      </c>
    </row>
    <row r="96" spans="1:8">
      <c r="A96">
        <f>'PSA&amp;CPR'!A96</f>
        <v>94</v>
      </c>
      <c r="B96" s="19">
        <f t="shared" si="2"/>
        <v>70793.120408750663</v>
      </c>
      <c r="C96" s="19">
        <f t="shared" si="3"/>
        <v>294.97133503646108</v>
      </c>
      <c r="D96" s="19">
        <f>Monthly_payment($B$1,$D$1,$B$3)*'PSA&amp;CPR'!M95</f>
        <v>439.92530455650785</v>
      </c>
      <c r="E96" s="19">
        <f>Principle_portion_of_payment($B$1,$D$1,A96,$B$3)*'PSA&amp;CPR'!M95</f>
        <v>144.95396952004688</v>
      </c>
      <c r="F96" s="19">
        <f>Interest_portion_of_payment($B$1,$D$1,A96,$B$3)*'PSA&amp;CPR'!M95</f>
        <v>294.97133503646108</v>
      </c>
      <c r="G96" s="19">
        <f>(B96-E96)*'PSA&amp;CPR'!F96</f>
        <v>179.09653640187517</v>
      </c>
      <c r="H96" s="19">
        <f>Remaining_balance($B$1,$D$1,A96,$B$3)*'PSA&amp;CPR'!M96</f>
        <v>70469.069902828734</v>
      </c>
    </row>
    <row r="97" spans="1:8">
      <c r="A97">
        <f>'PSA&amp;CPR'!A97</f>
        <v>95</v>
      </c>
      <c r="B97" s="19">
        <f t="shared" si="2"/>
        <v>70469.069902828734</v>
      </c>
      <c r="C97" s="19">
        <f t="shared" si="3"/>
        <v>293.62112459511974</v>
      </c>
      <c r="D97" s="19">
        <f>Monthly_payment($B$1,$D$1,$B$3)*'PSA&amp;CPR'!M96</f>
        <v>438.8100725230002</v>
      </c>
      <c r="E97" s="19">
        <f>Principle_portion_of_payment($B$1,$D$1,A97,$B$3)*'PSA&amp;CPR'!M96</f>
        <v>145.18894792788055</v>
      </c>
      <c r="F97" s="19">
        <f>Interest_portion_of_payment($B$1,$D$1,A97,$B$3)*'PSA&amp;CPR'!M96</f>
        <v>293.62112459511974</v>
      </c>
      <c r="G97" s="19">
        <f>(B97-E97)*'PSA&amp;CPR'!F97</f>
        <v>178.27445693433768</v>
      </c>
      <c r="H97" s="19">
        <f>Remaining_balance($B$1,$D$1,A97,$B$3)*'PSA&amp;CPR'!M97</f>
        <v>70145.60649796651</v>
      </c>
    </row>
    <row r="98" spans="1:8">
      <c r="A98">
        <f>'PSA&amp;CPR'!A98</f>
        <v>96</v>
      </c>
      <c r="B98" s="19">
        <f t="shared" si="2"/>
        <v>70145.60649796651</v>
      </c>
      <c r="C98" s="19">
        <f t="shared" si="3"/>
        <v>292.27336040819381</v>
      </c>
      <c r="D98" s="19">
        <f>Monthly_payment($B$1,$D$1,$B$3)*'PSA&amp;CPR'!M97</f>
        <v>437.69766765691315</v>
      </c>
      <c r="E98" s="19">
        <f>Principle_portion_of_payment($B$1,$D$1,A98,$B$3)*'PSA&amp;CPR'!M97</f>
        <v>145.42430724871946</v>
      </c>
      <c r="F98" s="19">
        <f>Interest_portion_of_payment($B$1,$D$1,A98,$B$3)*'PSA&amp;CPR'!M97</f>
        <v>292.27336040819375</v>
      </c>
      <c r="G98" s="19">
        <f>(B98-E98)*'PSA&amp;CPR'!F98</f>
        <v>177.45386483089476</v>
      </c>
      <c r="H98" s="19">
        <f>Remaining_balance($B$1,$D$1,A98,$B$3)*'PSA&amp;CPR'!M98</f>
        <v>69822.728325886899</v>
      </c>
    </row>
    <row r="99" spans="1:8">
      <c r="A99">
        <f>'PSA&amp;CPR'!A99</f>
        <v>97</v>
      </c>
      <c r="B99" s="19">
        <f t="shared" si="2"/>
        <v>69822.728325886899</v>
      </c>
      <c r="C99" s="19">
        <f t="shared" si="3"/>
        <v>290.92803469119542</v>
      </c>
      <c r="D99" s="19">
        <f>Monthly_payment($B$1,$D$1,$B$3)*'PSA&amp;CPR'!M98</f>
        <v>436.58808279123997</v>
      </c>
      <c r="E99" s="19">
        <f>Principle_portion_of_payment($B$1,$D$1,A99,$B$3)*'PSA&amp;CPR'!M98</f>
        <v>145.66004810004463</v>
      </c>
      <c r="F99" s="19">
        <f>Interest_portion_of_payment($B$1,$D$1,A99,$B$3)*'PSA&amp;CPR'!M98</f>
        <v>290.92803469119536</v>
      </c>
      <c r="G99" s="19">
        <f>(B99-E99)*'PSA&amp;CPR'!F99</f>
        <v>176.6347553538078</v>
      </c>
      <c r="H99" s="19">
        <f>Remaining_balance($B$1,$D$1,A99,$B$3)*'PSA&amp;CPR'!M99</f>
        <v>69500.433522433043</v>
      </c>
    </row>
    <row r="100" spans="1:8">
      <c r="A100">
        <f>'PSA&amp;CPR'!A100</f>
        <v>98</v>
      </c>
      <c r="B100" s="19">
        <f t="shared" si="2"/>
        <v>69500.433522433043</v>
      </c>
      <c r="C100" s="19">
        <f t="shared" si="3"/>
        <v>289.58513967680432</v>
      </c>
      <c r="D100" s="19">
        <f>Monthly_payment($B$1,$D$1,$B$3)*'PSA&amp;CPR'!M99</f>
        <v>435.48131077714243</v>
      </c>
      <c r="E100" s="19">
        <f>Principle_portion_of_payment($B$1,$D$1,A100,$B$3)*'PSA&amp;CPR'!M99</f>
        <v>145.89617110033811</v>
      </c>
      <c r="F100" s="19">
        <f>Interest_portion_of_payment($B$1,$D$1,A100,$B$3)*'PSA&amp;CPR'!M99</f>
        <v>289.58513967680437</v>
      </c>
      <c r="G100" s="19">
        <f>(B100-E100)*'PSA&amp;CPR'!F100</f>
        <v>175.81712377578077</v>
      </c>
      <c r="H100" s="19">
        <f>Remaining_balance($B$1,$D$1,A100,$B$3)*'PSA&amp;CPR'!M100</f>
        <v>69178.720227556914</v>
      </c>
    </row>
    <row r="101" spans="1:8">
      <c r="A101">
        <f>'PSA&amp;CPR'!A101</f>
        <v>99</v>
      </c>
      <c r="B101" s="19">
        <f t="shared" si="2"/>
        <v>69178.720227556914</v>
      </c>
      <c r="C101" s="19">
        <f t="shared" si="3"/>
        <v>288.24466761482046</v>
      </c>
      <c r="D101" s="19">
        <f>Monthly_payment($B$1,$D$1,$B$3)*'PSA&amp;CPR'!M100</f>
        <v>434.37734448390506</v>
      </c>
      <c r="E101" s="19">
        <f>Principle_portion_of_payment($B$1,$D$1,A101,$B$3)*'PSA&amp;CPR'!M100</f>
        <v>146.13267686908458</v>
      </c>
      <c r="F101" s="19">
        <f>Interest_portion_of_payment($B$1,$D$1,A101,$B$3)*'PSA&amp;CPR'!M100</f>
        <v>288.24466761482051</v>
      </c>
      <c r="G101" s="19">
        <f>(B101-E101)*'PSA&amp;CPR'!F101</f>
        <v>175.00096537993099</v>
      </c>
      <c r="H101" s="19">
        <f>Remaining_balance($B$1,$D$1,A101,$B$3)*'PSA&amp;CPR'!M101</f>
        <v>68857.586585307901</v>
      </c>
    </row>
    <row r="102" spans="1:8">
      <c r="A102">
        <f>'PSA&amp;CPR'!A102</f>
        <v>100</v>
      </c>
      <c r="B102" s="19">
        <f t="shared" si="2"/>
        <v>68857.586585307901</v>
      </c>
      <c r="C102" s="19">
        <f t="shared" si="3"/>
        <v>286.90661077211627</v>
      </c>
      <c r="D102" s="19">
        <f>Monthly_payment($B$1,$D$1,$B$3)*'PSA&amp;CPR'!M101</f>
        <v>433.27617679888908</v>
      </c>
      <c r="E102" s="19">
        <f>Principle_portion_of_payment($B$1,$D$1,A102,$B$3)*'PSA&amp;CPR'!M101</f>
        <v>146.36956602677284</v>
      </c>
      <c r="F102" s="19">
        <f>Interest_portion_of_payment($B$1,$D$1,A102,$B$3)*'PSA&amp;CPR'!M101</f>
        <v>286.90661077211627</v>
      </c>
      <c r="G102" s="19">
        <f>(B102-E102)*'PSA&amp;CPR'!F102</f>
        <v>174.18627545976048</v>
      </c>
      <c r="H102" s="19">
        <f>Remaining_balance($B$1,$D$1,A102,$B$3)*'PSA&amp;CPR'!M102</f>
        <v>68537.030743821379</v>
      </c>
    </row>
    <row r="103" spans="1:8">
      <c r="A103">
        <f>'PSA&amp;CPR'!A103</f>
        <v>101</v>
      </c>
      <c r="B103" s="19">
        <f t="shared" si="2"/>
        <v>68537.030743821379</v>
      </c>
      <c r="C103" s="19">
        <f t="shared" si="3"/>
        <v>285.57096143258906</v>
      </c>
      <c r="D103" s="19">
        <f>Monthly_payment($B$1,$D$1,$B$3)*'PSA&amp;CPR'!M102</f>
        <v>432.17780062748659</v>
      </c>
      <c r="E103" s="19">
        <f>Principle_portion_of_payment($B$1,$D$1,A103,$B$3)*'PSA&amp;CPR'!M102</f>
        <v>146.60683919489756</v>
      </c>
      <c r="F103" s="19">
        <f>Interest_portion_of_payment($B$1,$D$1,A103,$B$3)*'PSA&amp;CPR'!M102</f>
        <v>285.57096143258912</v>
      </c>
      <c r="G103" s="19">
        <f>(B103-E103)*'PSA&amp;CPR'!F103</f>
        <v>173.37304931912686</v>
      </c>
      <c r="H103" s="19">
        <f>Remaining_balance($B$1,$D$1,A103,$B$3)*'PSA&amp;CPR'!M103</f>
        <v>68217.05085530736</v>
      </c>
    </row>
    <row r="104" spans="1:8">
      <c r="A104">
        <f>'PSA&amp;CPR'!A104</f>
        <v>102</v>
      </c>
      <c r="B104" s="19">
        <f t="shared" si="2"/>
        <v>68217.05085530736</v>
      </c>
      <c r="C104" s="19">
        <f t="shared" si="3"/>
        <v>284.23771189711397</v>
      </c>
      <c r="D104" s="19">
        <f>Monthly_payment($B$1,$D$1,$B$3)*'PSA&amp;CPR'!M103</f>
        <v>431.08220889307489</v>
      </c>
      <c r="E104" s="19">
        <f>Principle_portion_of_payment($B$1,$D$1,A104,$B$3)*'PSA&amp;CPR'!M103</f>
        <v>146.84449699596095</v>
      </c>
      <c r="F104" s="19">
        <f>Interest_portion_of_payment($B$1,$D$1,A104,$B$3)*'PSA&amp;CPR'!M103</f>
        <v>284.23771189711402</v>
      </c>
      <c r="G104" s="19">
        <f>(B104-E104)*'PSA&amp;CPR'!F104</f>
        <v>172.56128227221458</v>
      </c>
      <c r="H104" s="19">
        <f>Remaining_balance($B$1,$D$1,A104,$B$3)*'PSA&amp;CPR'!M104</f>
        <v>67897.645076039174</v>
      </c>
    </row>
    <row r="105" spans="1:8">
      <c r="A105">
        <f>'PSA&amp;CPR'!A105</f>
        <v>103</v>
      </c>
      <c r="B105" s="19">
        <f t="shared" si="2"/>
        <v>67897.645076039174</v>
      </c>
      <c r="C105" s="19">
        <f t="shared" si="3"/>
        <v>282.90685448349655</v>
      </c>
      <c r="D105" s="19">
        <f>Monthly_payment($B$1,$D$1,$B$3)*'PSA&amp;CPR'!M104</f>
        <v>429.98939453697085</v>
      </c>
      <c r="E105" s="19">
        <f>Principle_portion_of_payment($B$1,$D$1,A105,$B$3)*'PSA&amp;CPR'!M104</f>
        <v>147.0825400534743</v>
      </c>
      <c r="F105" s="19">
        <f>Interest_portion_of_payment($B$1,$D$1,A105,$B$3)*'PSA&amp;CPR'!M104</f>
        <v>282.90685448349655</v>
      </c>
      <c r="G105" s="19">
        <f>(B105-E105)*'PSA&amp;CPR'!F105</f>
        <v>171.75096964350638</v>
      </c>
      <c r="H105" s="19">
        <f>Remaining_balance($B$1,$D$1,A105,$B$3)*'PSA&amp;CPR'!M105</f>
        <v>67578.811566342207</v>
      </c>
    </row>
    <row r="106" spans="1:8">
      <c r="A106">
        <f>'PSA&amp;CPR'!A106</f>
        <v>104</v>
      </c>
      <c r="B106" s="19">
        <f t="shared" si="2"/>
        <v>67578.811566342207</v>
      </c>
      <c r="C106" s="19">
        <f t="shared" si="3"/>
        <v>281.57838152642586</v>
      </c>
      <c r="D106" s="19">
        <f>Monthly_payment($B$1,$D$1,$B$3)*'PSA&amp;CPR'!M105</f>
        <v>428.8993505183854</v>
      </c>
      <c r="E106" s="19">
        <f>Principle_portion_of_payment($B$1,$D$1,A106,$B$3)*'PSA&amp;CPR'!M105</f>
        <v>147.32096899195966</v>
      </c>
      <c r="F106" s="19">
        <f>Interest_portion_of_payment($B$1,$D$1,A106,$B$3)*'PSA&amp;CPR'!M105</f>
        <v>281.57838152642586</v>
      </c>
      <c r="G106" s="19">
        <f>(B106-E106)*'PSA&amp;CPR'!F106</f>
        <v>170.94210676775438</v>
      </c>
      <c r="H106" s="19">
        <f>Remaining_balance($B$1,$D$1,A106,$B$3)*'PSA&amp;CPR'!M106</f>
        <v>67260.548490582485</v>
      </c>
    </row>
    <row r="107" spans="1:8">
      <c r="A107">
        <f>'PSA&amp;CPR'!A107</f>
        <v>105</v>
      </c>
      <c r="B107" s="19">
        <f t="shared" si="2"/>
        <v>67260.548490582485</v>
      </c>
      <c r="C107" s="19">
        <f t="shared" si="3"/>
        <v>280.25228537742703</v>
      </c>
      <c r="D107" s="19">
        <f>Monthly_payment($B$1,$D$1,$B$3)*'PSA&amp;CPR'!M106</f>
        <v>427.81206981437833</v>
      </c>
      <c r="E107" s="19">
        <f>Principle_portion_of_payment($B$1,$D$1,A107,$B$3)*'PSA&amp;CPR'!M106</f>
        <v>147.55978443695136</v>
      </c>
      <c r="F107" s="19">
        <f>Interest_portion_of_payment($B$1,$D$1,A107,$B$3)*'PSA&amp;CPR'!M106</f>
        <v>280.25228537742697</v>
      </c>
      <c r="G107" s="19">
        <f>(B107-E107)*'PSA&amp;CPR'!F107</f>
        <v>170.13468898995154</v>
      </c>
      <c r="H107" s="19">
        <f>Remaining_balance($B$1,$D$1,A107,$B$3)*'PSA&amp;CPR'!M107</f>
        <v>66942.85401715558</v>
      </c>
    </row>
    <row r="108" spans="1:8">
      <c r="A108">
        <f>'PSA&amp;CPR'!A108</f>
        <v>106</v>
      </c>
      <c r="B108" s="19">
        <f t="shared" si="2"/>
        <v>66942.85401715558</v>
      </c>
      <c r="C108" s="19">
        <f t="shared" si="3"/>
        <v>278.92855840481491</v>
      </c>
      <c r="D108" s="19">
        <f>Monthly_payment($B$1,$D$1,$B$3)*'PSA&amp;CPR'!M107</f>
        <v>426.72754541981277</v>
      </c>
      <c r="E108" s="19">
        <f>Principle_portion_of_payment($B$1,$D$1,A108,$B$3)*'PSA&amp;CPR'!M107</f>
        <v>147.79898701499789</v>
      </c>
      <c r="F108" s="19">
        <f>Interest_portion_of_payment($B$1,$D$1,A108,$B$3)*'PSA&amp;CPR'!M107</f>
        <v>278.92855840481491</v>
      </c>
      <c r="G108" s="19">
        <f>(B108-E108)*'PSA&amp;CPR'!F108</f>
        <v>169.32871166530316</v>
      </c>
      <c r="H108" s="19">
        <f>Remaining_balance($B$1,$D$1,A108,$B$3)*'PSA&amp;CPR'!M108</f>
        <v>66625.726318475281</v>
      </c>
    </row>
    <row r="109" spans="1:8">
      <c r="A109">
        <f>'PSA&amp;CPR'!A109</f>
        <v>107</v>
      </c>
      <c r="B109" s="19">
        <f t="shared" si="2"/>
        <v>66625.726318475281</v>
      </c>
      <c r="C109" s="19">
        <f t="shared" si="3"/>
        <v>277.607192993647</v>
      </c>
      <c r="D109" s="19">
        <f>Monthly_payment($B$1,$D$1,$B$3)*'PSA&amp;CPR'!M108</f>
        <v>425.64577034731036</v>
      </c>
      <c r="E109" s="19">
        <f>Principle_portion_of_payment($B$1,$D$1,A109,$B$3)*'PSA&amp;CPR'!M108</f>
        <v>148.03857735366336</v>
      </c>
      <c r="F109" s="19">
        <f>Interest_portion_of_payment($B$1,$D$1,A109,$B$3)*'PSA&amp;CPR'!M108</f>
        <v>277.60719299364706</v>
      </c>
      <c r="G109" s="19">
        <f>(B109-E109)*'PSA&amp;CPR'!F109</f>
        <v>168.52417015919852</v>
      </c>
      <c r="H109" s="19">
        <f>Remaining_balance($B$1,$D$1,A109,$B$3)*'PSA&amp;CPR'!M109</f>
        <v>66309.163570962424</v>
      </c>
    </row>
    <row r="110" spans="1:8">
      <c r="A110">
        <f>'PSA&amp;CPR'!A110</f>
        <v>108</v>
      </c>
      <c r="B110" s="19">
        <f t="shared" si="2"/>
        <v>66309.163570962424</v>
      </c>
      <c r="C110" s="19">
        <f t="shared" si="3"/>
        <v>276.28818154567676</v>
      </c>
      <c r="D110" s="19">
        <f>Monthly_payment($B$1,$D$1,$B$3)*'PSA&amp;CPR'!M109</f>
        <v>424.5667376272059</v>
      </c>
      <c r="E110" s="19">
        <f>Principle_portion_of_payment($B$1,$D$1,A110,$B$3)*'PSA&amp;CPR'!M109</f>
        <v>148.27855608152927</v>
      </c>
      <c r="F110" s="19">
        <f>Interest_portion_of_payment($B$1,$D$1,A110,$B$3)*'PSA&amp;CPR'!M109</f>
        <v>276.28818154567676</v>
      </c>
      <c r="G110" s="19">
        <f>(B110-E110)*'PSA&amp;CPR'!F110</f>
        <v>167.72105984718232</v>
      </c>
      <c r="H110" s="19">
        <f>Remaining_balance($B$1,$D$1,A110,$B$3)*'PSA&amp;CPR'!M110</f>
        <v>65993.163955033713</v>
      </c>
    </row>
    <row r="111" spans="1:8">
      <c r="A111">
        <f>'PSA&amp;CPR'!A111</f>
        <v>109</v>
      </c>
      <c r="B111" s="19">
        <f t="shared" si="2"/>
        <v>65993.163955033713</v>
      </c>
      <c r="C111" s="19">
        <f t="shared" si="3"/>
        <v>274.97151647930713</v>
      </c>
      <c r="D111" s="19">
        <f>Monthly_payment($B$1,$D$1,$B$3)*'PSA&amp;CPR'!M110</f>
        <v>423.49044030750292</v>
      </c>
      <c r="E111" s="19">
        <f>Principle_portion_of_payment($B$1,$D$1,A111,$B$3)*'PSA&amp;CPR'!M110</f>
        <v>148.51892382819588</v>
      </c>
      <c r="F111" s="19">
        <f>Interest_portion_of_payment($B$1,$D$1,A111,$B$3)*'PSA&amp;CPR'!M110</f>
        <v>274.97151647930713</v>
      </c>
      <c r="G111" s="19">
        <f>(B111-E111)*'PSA&amp;CPR'!F111</f>
        <v>166.91937611492634</v>
      </c>
      <c r="H111" s="19">
        <f>Remaining_balance($B$1,$D$1,A111,$B$3)*'PSA&amp;CPR'!M111</f>
        <v>65677.725655090588</v>
      </c>
    </row>
    <row r="112" spans="1:8">
      <c r="A112">
        <f>'PSA&amp;CPR'!A112</f>
        <v>110</v>
      </c>
      <c r="B112" s="19">
        <f t="shared" si="2"/>
        <v>65677.725655090588</v>
      </c>
      <c r="C112" s="19">
        <f t="shared" si="3"/>
        <v>273.65719022954409</v>
      </c>
      <c r="D112" s="19">
        <f>Monthly_payment($B$1,$D$1,$B$3)*'PSA&amp;CPR'!M111</f>
        <v>422.41687145382832</v>
      </c>
      <c r="E112" s="19">
        <f>Principle_portion_of_payment($B$1,$D$1,A112,$B$3)*'PSA&amp;CPR'!M111</f>
        <v>148.75968122428424</v>
      </c>
      <c r="F112" s="19">
        <f>Interest_portion_of_payment($B$1,$D$1,A112,$B$3)*'PSA&amp;CPR'!M111</f>
        <v>273.65719022954409</v>
      </c>
      <c r="G112" s="19">
        <f>(B112-E112)*'PSA&amp;CPR'!F112</f>
        <v>166.11911435820124</v>
      </c>
      <c r="H112" s="19">
        <f>Remaining_balance($B$1,$D$1,A112,$B$3)*'PSA&amp;CPR'!M112</f>
        <v>65362.846859508107</v>
      </c>
    </row>
    <row r="113" spans="1:8">
      <c r="A113">
        <f>'PSA&amp;CPR'!A113</f>
        <v>111</v>
      </c>
      <c r="B113" s="19">
        <f t="shared" si="2"/>
        <v>65362.846859508107</v>
      </c>
      <c r="C113" s="19">
        <f t="shared" si="3"/>
        <v>272.34519524795041</v>
      </c>
      <c r="D113" s="19">
        <f>Monthly_payment($B$1,$D$1,$B$3)*'PSA&amp;CPR'!M112</f>
        <v>421.34602414938803</v>
      </c>
      <c r="E113" s="19">
        <f>Principle_portion_of_payment($B$1,$D$1,A113,$B$3)*'PSA&amp;CPR'!M112</f>
        <v>149.00082890143767</v>
      </c>
      <c r="F113" s="19">
        <f>Interest_portion_of_payment($B$1,$D$1,A113,$B$3)*'PSA&amp;CPR'!M112</f>
        <v>272.34519524795047</v>
      </c>
      <c r="G113" s="19">
        <f>(B113-E113)*'PSA&amp;CPR'!F113</f>
        <v>165.32026998284863</v>
      </c>
      <c r="H113" s="19">
        <f>Remaining_balance($B$1,$D$1,A113,$B$3)*'PSA&amp;CPR'!M113</f>
        <v>65048.525760623816</v>
      </c>
    </row>
    <row r="114" spans="1:8">
      <c r="A114">
        <f>'PSA&amp;CPR'!A114</f>
        <v>112</v>
      </c>
      <c r="B114" s="19">
        <f t="shared" si="2"/>
        <v>65048.525760623816</v>
      </c>
      <c r="C114" s="19">
        <f t="shared" si="3"/>
        <v>271.03552400259923</v>
      </c>
      <c r="D114" s="19">
        <f>Monthly_payment($B$1,$D$1,$B$3)*'PSA&amp;CPR'!M113</f>
        <v>420.27789149492253</v>
      </c>
      <c r="E114" s="19">
        <f>Principle_portion_of_payment($B$1,$D$1,A114,$B$3)*'PSA&amp;CPR'!M113</f>
        <v>149.24236749232335</v>
      </c>
      <c r="F114" s="19">
        <f>Interest_portion_of_payment($B$1,$D$1,A114,$B$3)*'PSA&amp;CPR'!M113</f>
        <v>271.03552400259923</v>
      </c>
      <c r="G114" s="19">
        <f>(B114-E114)*'PSA&amp;CPR'!F114</f>
        <v>164.52283840475235</v>
      </c>
      <c r="H114" s="19">
        <f>Remaining_balance($B$1,$D$1,A114,$B$3)*'PSA&amp;CPR'!M114</f>
        <v>64734.760554726752</v>
      </c>
    </row>
    <row r="115" spans="1:8">
      <c r="A115">
        <f>'PSA&amp;CPR'!A115</f>
        <v>113</v>
      </c>
      <c r="B115" s="19">
        <f t="shared" si="2"/>
        <v>64734.760554726752</v>
      </c>
      <c r="C115" s="19">
        <f t="shared" si="3"/>
        <v>269.72816897802812</v>
      </c>
      <c r="D115" s="19">
        <f>Monthly_payment($B$1,$D$1,$B$3)*'PSA&amp;CPR'!M114</f>
        <v>419.21246660866211</v>
      </c>
      <c r="E115" s="19">
        <f>Principle_portion_of_payment($B$1,$D$1,A115,$B$3)*'PSA&amp;CPR'!M114</f>
        <v>149.48429763063407</v>
      </c>
      <c r="F115" s="19">
        <f>Interest_portion_of_payment($B$1,$D$1,A115,$B$3)*'PSA&amp;CPR'!M114</f>
        <v>269.72816897802812</v>
      </c>
      <c r="G115" s="19">
        <f>(B115-E115)*'PSA&amp;CPR'!F115</f>
        <v>163.72681504981108</v>
      </c>
      <c r="H115" s="19">
        <f>Remaining_balance($B$1,$D$1,A115,$B$3)*'PSA&amp;CPR'!M115</f>
        <v>64421.549442046293</v>
      </c>
    </row>
    <row r="116" spans="1:8">
      <c r="A116">
        <f>'PSA&amp;CPR'!A116</f>
        <v>114</v>
      </c>
      <c r="B116" s="19">
        <f t="shared" si="2"/>
        <v>64421.549442046293</v>
      </c>
      <c r="C116" s="19">
        <f t="shared" si="3"/>
        <v>268.42312267519287</v>
      </c>
      <c r="D116" s="19">
        <f>Monthly_payment($B$1,$D$1,$B$3)*'PSA&amp;CPR'!M115</f>
        <v>418.14974262628277</v>
      </c>
      <c r="E116" s="19">
        <f>Principle_portion_of_payment($B$1,$D$1,A116,$B$3)*'PSA&amp;CPR'!M115</f>
        <v>149.72661995108993</v>
      </c>
      <c r="F116" s="19">
        <f>Interest_portion_of_payment($B$1,$D$1,A116,$B$3)*'PSA&amp;CPR'!M115</f>
        <v>268.42312267519293</v>
      </c>
      <c r="G116" s="19">
        <f>(B116-E116)*'PSA&amp;CPR'!F116</f>
        <v>162.93219535390963</v>
      </c>
      <c r="H116" s="19">
        <f>Remaining_balance($B$1,$D$1,A116,$B$3)*'PSA&amp;CPR'!M116</f>
        <v>64108.890626741297</v>
      </c>
    </row>
    <row r="117" spans="1:8">
      <c r="A117">
        <f>'PSA&amp;CPR'!A117</f>
        <v>115</v>
      </c>
      <c r="B117" s="19">
        <f t="shared" si="2"/>
        <v>64108.890626741297</v>
      </c>
      <c r="C117" s="19">
        <f t="shared" si="3"/>
        <v>267.12037761142204</v>
      </c>
      <c r="D117" s="19">
        <f>Monthly_payment($B$1,$D$1,$B$3)*'PSA&amp;CPR'!M116</f>
        <v>417.08971270086181</v>
      </c>
      <c r="E117" s="19">
        <f>Principle_portion_of_payment($B$1,$D$1,A117,$B$3)*'PSA&amp;CPR'!M116</f>
        <v>149.96933508943985</v>
      </c>
      <c r="F117" s="19">
        <f>Interest_portion_of_payment($B$1,$D$1,A117,$B$3)*'PSA&amp;CPR'!M116</f>
        <v>267.12037761142204</v>
      </c>
      <c r="G117" s="19">
        <f>(B117-E117)*'PSA&amp;CPR'!F117</f>
        <v>162.13897476289188</v>
      </c>
      <c r="H117" s="19">
        <f>Remaining_balance($B$1,$D$1,A117,$B$3)*'PSA&amp;CPR'!M117</f>
        <v>63796.782316888966</v>
      </c>
    </row>
    <row r="118" spans="1:8">
      <c r="A118">
        <f>'PSA&amp;CPR'!A118</f>
        <v>116</v>
      </c>
      <c r="B118" s="19">
        <f t="shared" si="2"/>
        <v>63796.782316888966</v>
      </c>
      <c r="C118" s="19">
        <f t="shared" si="3"/>
        <v>265.81992632037071</v>
      </c>
      <c r="D118" s="19">
        <f>Monthly_payment($B$1,$D$1,$B$3)*'PSA&amp;CPR'!M117</f>
        <v>416.032370002834</v>
      </c>
      <c r="E118" s="19">
        <f>Principle_portion_of_payment($B$1,$D$1,A118,$B$3)*'PSA&amp;CPR'!M117</f>
        <v>150.21244368246337</v>
      </c>
      <c r="F118" s="19">
        <f>Interest_portion_of_payment($B$1,$D$1,A118,$B$3)*'PSA&amp;CPR'!M117</f>
        <v>265.81992632037066</v>
      </c>
      <c r="G118" s="19">
        <f>(B118-E118)*'PSA&amp;CPR'!F118</f>
        <v>161.34714873253205</v>
      </c>
      <c r="H118" s="19">
        <f>Remaining_balance($B$1,$D$1,A118,$B$3)*'PSA&amp;CPR'!M118</f>
        <v>63485.222724473977</v>
      </c>
    </row>
    <row r="119" spans="1:8">
      <c r="A119">
        <f>'PSA&amp;CPR'!A119</f>
        <v>117</v>
      </c>
      <c r="B119" s="19">
        <f t="shared" si="2"/>
        <v>63485.222724473977</v>
      </c>
      <c r="C119" s="19">
        <f t="shared" si="3"/>
        <v>264.52176135197487</v>
      </c>
      <c r="D119" s="19">
        <f>Monthly_payment($B$1,$D$1,$B$3)*'PSA&amp;CPR'!M118</f>
        <v>414.97770771994709</v>
      </c>
      <c r="E119" s="19">
        <f>Principle_portion_of_payment($B$1,$D$1,A119,$B$3)*'PSA&amp;CPR'!M118</f>
        <v>150.45594636797227</v>
      </c>
      <c r="F119" s="19">
        <f>Interest_portion_of_payment($B$1,$D$1,A119,$B$3)*'PSA&amp;CPR'!M118</f>
        <v>264.52176135197487</v>
      </c>
      <c r="G119" s="19">
        <f>(B119-E119)*'PSA&amp;CPR'!F119</f>
        <v>160.55671272850753</v>
      </c>
      <c r="H119" s="19">
        <f>Remaining_balance($B$1,$D$1,A119,$B$3)*'PSA&amp;CPR'!M119</f>
        <v>63174.210065377498</v>
      </c>
    </row>
    <row r="120" spans="1:8">
      <c r="A120">
        <f>'PSA&amp;CPR'!A120</f>
        <v>118</v>
      </c>
      <c r="B120" s="19">
        <f t="shared" si="2"/>
        <v>63174.210065377498</v>
      </c>
      <c r="C120" s="19">
        <f t="shared" si="3"/>
        <v>263.22587527240626</v>
      </c>
      <c r="D120" s="19">
        <f>Monthly_payment($B$1,$D$1,$B$3)*'PSA&amp;CPR'!M119</f>
        <v>413.92571905721854</v>
      </c>
      <c r="E120" s="19">
        <f>Principle_portion_of_payment($B$1,$D$1,A120,$B$3)*'PSA&amp;CPR'!M119</f>
        <v>150.69984378481237</v>
      </c>
      <c r="F120" s="19">
        <f>Interest_portion_of_payment($B$1,$D$1,A120,$B$3)*'PSA&amp;CPR'!M119</f>
        <v>263.22587527240626</v>
      </c>
      <c r="G120" s="19">
        <f>(B120-E120)*'PSA&amp;CPR'!F120</f>
        <v>159.76766222637087</v>
      </c>
      <c r="H120" s="19">
        <f>Remaining_balance($B$1,$D$1,A120,$B$3)*'PSA&amp;CPR'!M120</f>
        <v>62863.742559366314</v>
      </c>
    </row>
    <row r="121" spans="1:8">
      <c r="A121">
        <f>'PSA&amp;CPR'!A121</f>
        <v>119</v>
      </c>
      <c r="B121" s="19">
        <f t="shared" si="2"/>
        <v>62863.742559366314</v>
      </c>
      <c r="C121" s="19">
        <f t="shared" si="3"/>
        <v>261.93226066402633</v>
      </c>
      <c r="D121" s="19">
        <f>Monthly_payment($B$1,$D$1,$B$3)*'PSA&amp;CPR'!M120</f>
        <v>412.87639723689119</v>
      </c>
      <c r="E121" s="19">
        <f>Principle_portion_of_payment($B$1,$D$1,A121,$B$3)*'PSA&amp;CPR'!M120</f>
        <v>150.94413657286495</v>
      </c>
      <c r="F121" s="19">
        <f>Interest_portion_of_payment($B$1,$D$1,A121,$B$3)*'PSA&amp;CPR'!M120</f>
        <v>261.93226066402633</v>
      </c>
      <c r="G121" s="19">
        <f>(B121-E121)*'PSA&amp;CPR'!F121</f>
        <v>158.97999271152216</v>
      </c>
      <c r="H121" s="19">
        <f>Remaining_balance($B$1,$D$1,A121,$B$3)*'PSA&amp;CPR'!M121</f>
        <v>62553.818430081927</v>
      </c>
    </row>
    <row r="122" spans="1:8">
      <c r="A122">
        <f>'PSA&amp;CPR'!A122</f>
        <v>120</v>
      </c>
      <c r="B122" s="19">
        <f t="shared" si="2"/>
        <v>62553.818430081927</v>
      </c>
      <c r="C122" s="19">
        <f t="shared" si="3"/>
        <v>260.64091012534135</v>
      </c>
      <c r="D122" s="19">
        <f>Monthly_payment($B$1,$D$1,$B$3)*'PSA&amp;CPR'!M121</f>
        <v>411.82973549838994</v>
      </c>
      <c r="E122" s="19">
        <f>Principle_portion_of_payment($B$1,$D$1,A122,$B$3)*'PSA&amp;CPR'!M121</f>
        <v>151.18882537304864</v>
      </c>
      <c r="F122" s="19">
        <f>Interest_portion_of_payment($B$1,$D$1,A122,$B$3)*'PSA&amp;CPR'!M121</f>
        <v>260.64091012534135</v>
      </c>
      <c r="G122" s="19">
        <f>(B122-E122)*'PSA&amp;CPR'!F122</f>
        <v>158.19369967918149</v>
      </c>
      <c r="H122" s="19">
        <f>Remaining_balance($B$1,$D$1,A122,$B$3)*'PSA&amp;CPR'!M122</f>
        <v>62244.435905029706</v>
      </c>
    </row>
    <row r="123" spans="1:8">
      <c r="A123">
        <f>'PSA&amp;CPR'!A123</f>
        <v>121</v>
      </c>
      <c r="B123" s="19">
        <f t="shared" si="2"/>
        <v>62244.435905029706</v>
      </c>
      <c r="C123" s="19">
        <f t="shared" si="3"/>
        <v>259.3518162709571</v>
      </c>
      <c r="D123" s="19">
        <f>Monthly_payment($B$1,$D$1,$B$3)*'PSA&amp;CPR'!M122</f>
        <v>410.78572709827802</v>
      </c>
      <c r="E123" s="19">
        <f>Principle_portion_of_payment($B$1,$D$1,A123,$B$3)*'PSA&amp;CPR'!M122</f>
        <v>151.43391082732097</v>
      </c>
      <c r="F123" s="19">
        <f>Interest_portion_of_payment($B$1,$D$1,A123,$B$3)*'PSA&amp;CPR'!M122</f>
        <v>259.3518162709571</v>
      </c>
      <c r="G123" s="19">
        <f>(B123-E123)*'PSA&amp;CPR'!F123</f>
        <v>157.40877863436145</v>
      </c>
      <c r="H123" s="19">
        <f>Remaining_balance($B$1,$D$1,A123,$B$3)*'PSA&amp;CPR'!M123</f>
        <v>61935.59321556802</v>
      </c>
    </row>
    <row r="124" spans="1:8">
      <c r="A124">
        <f>'PSA&amp;CPR'!A124</f>
        <v>122</v>
      </c>
      <c r="B124" s="19">
        <f t="shared" si="2"/>
        <v>61935.59321556802</v>
      </c>
      <c r="C124" s="19">
        <f t="shared" si="3"/>
        <v>258.06497173153343</v>
      </c>
      <c r="D124" s="19">
        <f>Monthly_payment($B$1,$D$1,$B$3)*'PSA&amp;CPR'!M123</f>
        <v>409.74436531021365</v>
      </c>
      <c r="E124" s="19">
        <f>Principle_portion_of_payment($B$1,$D$1,A124,$B$3)*'PSA&amp;CPR'!M123</f>
        <v>151.6793935786803</v>
      </c>
      <c r="F124" s="19">
        <f>Interest_portion_of_payment($B$1,$D$1,A124,$B$3)*'PSA&amp;CPR'!M123</f>
        <v>258.06497173153343</v>
      </c>
      <c r="G124" s="19">
        <f>(B124-E124)*'PSA&amp;CPR'!F124</f>
        <v>156.62522509183947</v>
      </c>
      <c r="H124" s="19">
        <f>Remaining_balance($B$1,$D$1,A124,$B$3)*'PSA&amp;CPR'!M124</f>
        <v>61627.288596897495</v>
      </c>
    </row>
    <row r="125" spans="1:8">
      <c r="A125">
        <f>'PSA&amp;CPR'!A125</f>
        <v>123</v>
      </c>
      <c r="B125" s="19">
        <f t="shared" si="2"/>
        <v>61627.288596897495</v>
      </c>
      <c r="C125" s="19">
        <f t="shared" si="3"/>
        <v>256.78036915373957</v>
      </c>
      <c r="D125" s="19">
        <f>Monthly_payment($B$1,$D$1,$B$3)*'PSA&amp;CPR'!M124</f>
        <v>408.70564342490661</v>
      </c>
      <c r="E125" s="19">
        <f>Principle_portion_of_payment($B$1,$D$1,A125,$B$3)*'PSA&amp;CPR'!M124</f>
        <v>151.92527427116704</v>
      </c>
      <c r="F125" s="19">
        <f>Interest_portion_of_payment($B$1,$D$1,A125,$B$3)*'PSA&amp;CPR'!M124</f>
        <v>256.78036915373957</v>
      </c>
      <c r="G125" s="19">
        <f>(B125-E125)*'PSA&amp;CPR'!F125</f>
        <v>155.84303457613063</v>
      </c>
      <c r="H125" s="19">
        <f>Remaining_balance($B$1,$D$1,A125,$B$3)*'PSA&amp;CPR'!M125</f>
        <v>61319.520288050204</v>
      </c>
    </row>
    <row r="126" spans="1:8">
      <c r="A126">
        <f>'PSA&amp;CPR'!A126</f>
        <v>124</v>
      </c>
      <c r="B126" s="19">
        <f t="shared" si="2"/>
        <v>61319.520288050204</v>
      </c>
      <c r="C126" s="19">
        <f t="shared" si="3"/>
        <v>255.49800120020919</v>
      </c>
      <c r="D126" s="19">
        <f>Monthly_payment($B$1,$D$1,$B$3)*'PSA&amp;CPR'!M125</f>
        <v>407.66955475007506</v>
      </c>
      <c r="E126" s="19">
        <f>Principle_portion_of_payment($B$1,$D$1,A126,$B$3)*'PSA&amp;CPR'!M125</f>
        <v>152.17155354986596</v>
      </c>
      <c r="F126" s="19">
        <f>Interest_portion_of_payment($B$1,$D$1,A126,$B$3)*'PSA&amp;CPR'!M125</f>
        <v>255.49800120020916</v>
      </c>
      <c r="G126" s="19">
        <f>(B126-E126)*'PSA&amp;CPR'!F126</f>
        <v>155.06220262146036</v>
      </c>
      <c r="H126" s="19">
        <f>Remaining_balance($B$1,$D$1,A126,$B$3)*'PSA&amp;CPR'!M126</f>
        <v>61012.286531878875</v>
      </c>
    </row>
    <row r="127" spans="1:8">
      <c r="A127">
        <f>'PSA&amp;CPR'!A127</f>
        <v>125</v>
      </c>
      <c r="B127" s="19">
        <f t="shared" si="2"/>
        <v>61012.286531878875</v>
      </c>
      <c r="C127" s="19">
        <f t="shared" si="3"/>
        <v>254.2178605494953</v>
      </c>
      <c r="D127" s="19">
        <f>Monthly_payment($B$1,$D$1,$B$3)*'PSA&amp;CPR'!M126</f>
        <v>406.63609261040244</v>
      </c>
      <c r="E127" s="19">
        <f>Principle_portion_of_payment($B$1,$D$1,A127,$B$3)*'PSA&amp;CPR'!M126</f>
        <v>152.4182320609072</v>
      </c>
      <c r="F127" s="19">
        <f>Interest_portion_of_payment($B$1,$D$1,A127,$B$3)*'PSA&amp;CPR'!M126</f>
        <v>254.21786054949533</v>
      </c>
      <c r="G127" s="19">
        <f>(B127-E127)*'PSA&amp;CPR'!F127</f>
        <v>154.28272477173692</v>
      </c>
      <c r="H127" s="19">
        <f>Remaining_balance($B$1,$D$1,A127,$B$3)*'PSA&amp;CPR'!M127</f>
        <v>60705.585575046236</v>
      </c>
    </row>
    <row r="128" spans="1:8">
      <c r="A128">
        <f>'PSA&amp;CPR'!A128</f>
        <v>126</v>
      </c>
      <c r="B128" s="19">
        <f t="shared" si="2"/>
        <v>60705.585575046236</v>
      </c>
      <c r="C128" s="19">
        <f t="shared" si="3"/>
        <v>252.93993989602598</v>
      </c>
      <c r="D128" s="19">
        <f>Monthly_payment($B$1,$D$1,$B$3)*'PSA&amp;CPR'!M127</f>
        <v>405.60525034749446</v>
      </c>
      <c r="E128" s="19">
        <f>Principle_portion_of_payment($B$1,$D$1,A128,$B$3)*'PSA&amp;CPR'!M127</f>
        <v>152.66531045146854</v>
      </c>
      <c r="F128" s="19">
        <f>Interest_portion_of_payment($B$1,$D$1,A128,$B$3)*'PSA&amp;CPR'!M127</f>
        <v>252.939939896026</v>
      </c>
      <c r="G128" s="19">
        <f>(B128-E128)*'PSA&amp;CPR'!F128</f>
        <v>153.50459658052446</v>
      </c>
      <c r="H128" s="19">
        <f>Remaining_balance($B$1,$D$1,A128,$B$3)*'PSA&amp;CPR'!M128</f>
        <v>60399.415668014241</v>
      </c>
    </row>
    <row r="129" spans="1:8">
      <c r="A129">
        <f>'PSA&amp;CPR'!A129</f>
        <v>127</v>
      </c>
      <c r="B129" s="19">
        <f t="shared" si="2"/>
        <v>60399.415668014241</v>
      </c>
      <c r="C129" s="19">
        <f t="shared" si="3"/>
        <v>251.66423195005933</v>
      </c>
      <c r="D129" s="19">
        <f>Monthly_payment($B$1,$D$1,$B$3)*'PSA&amp;CPR'!M128</f>
        <v>404.57702131983621</v>
      </c>
      <c r="E129" s="19">
        <f>Principle_portion_of_payment($B$1,$D$1,A129,$B$3)*'PSA&amp;CPR'!M128</f>
        <v>152.9127893697769</v>
      </c>
      <c r="F129" s="19">
        <f>Interest_portion_of_payment($B$1,$D$1,A129,$B$3)*'PSA&amp;CPR'!M128</f>
        <v>251.66423195005936</v>
      </c>
      <c r="G129" s="19">
        <f>(B129-E129)*'PSA&amp;CPR'!F129</f>
        <v>152.72781361101568</v>
      </c>
      <c r="H129" s="19">
        <f>Remaining_balance($B$1,$D$1,A129,$B$3)*'PSA&amp;CPR'!M129</f>
        <v>60093.775065033449</v>
      </c>
    </row>
    <row r="130" spans="1:8">
      <c r="A130">
        <f>'PSA&amp;CPR'!A130</f>
        <v>128</v>
      </c>
      <c r="B130" s="19">
        <f t="shared" si="2"/>
        <v>60093.775065033449</v>
      </c>
      <c r="C130" s="19">
        <f t="shared" si="3"/>
        <v>250.39072943763938</v>
      </c>
      <c r="D130" s="19">
        <f>Monthly_payment($B$1,$D$1,$B$3)*'PSA&amp;CPR'!M129</f>
        <v>403.55139890274916</v>
      </c>
      <c r="E130" s="19">
        <f>Principle_portion_of_payment($B$1,$D$1,A130,$B$3)*'PSA&amp;CPR'!M129</f>
        <v>153.16066946510986</v>
      </c>
      <c r="F130" s="19">
        <f>Interest_portion_of_payment($B$1,$D$1,A130,$B$3)*'PSA&amp;CPR'!M129</f>
        <v>250.39072943763938</v>
      </c>
      <c r="G130" s="19">
        <f>(B130-E130)*'PSA&amp;CPR'!F130</f>
        <v>151.95237143600494</v>
      </c>
      <c r="H130" s="19">
        <f>Remaining_balance($B$1,$D$1,A130,$B$3)*'PSA&amp;CPR'!M130</f>
        <v>59788.66202413234</v>
      </c>
    </row>
    <row r="131" spans="1:8">
      <c r="A131">
        <f>'PSA&amp;CPR'!A131</f>
        <v>129</v>
      </c>
      <c r="B131" s="19">
        <f t="shared" si="2"/>
        <v>59788.66202413234</v>
      </c>
      <c r="C131" s="19">
        <f t="shared" si="3"/>
        <v>249.11942510055141</v>
      </c>
      <c r="D131" s="19">
        <f>Monthly_payment($B$1,$D$1,$B$3)*'PSA&amp;CPR'!M130</f>
        <v>402.5283764883489</v>
      </c>
      <c r="E131" s="19">
        <f>Principle_portion_of_payment($B$1,$D$1,A131,$B$3)*'PSA&amp;CPR'!M130</f>
        <v>153.40895138779754</v>
      </c>
      <c r="F131" s="19">
        <f>Interest_portion_of_payment($B$1,$D$1,A131,$B$3)*'PSA&amp;CPR'!M130</f>
        <v>249.11942510055141</v>
      </c>
      <c r="G131" s="19">
        <f>(B131-E131)*'PSA&amp;CPR'!F131</f>
        <v>151.17826563786113</v>
      </c>
      <c r="H131" s="19">
        <f>Remaining_balance($B$1,$D$1,A131,$B$3)*'PSA&amp;CPR'!M131</f>
        <v>59484.074807106677</v>
      </c>
    </row>
    <row r="132" spans="1:8">
      <c r="A132">
        <f>'PSA&amp;CPR'!A132</f>
        <v>130</v>
      </c>
      <c r="B132" s="19">
        <f t="shared" si="2"/>
        <v>59484.074807106677</v>
      </c>
      <c r="C132" s="19">
        <f t="shared" si="3"/>
        <v>247.85031169627783</v>
      </c>
      <c r="D132" s="19">
        <f>Monthly_payment($B$1,$D$1,$B$3)*'PSA&amp;CPR'!M131</f>
        <v>401.5079474855022</v>
      </c>
      <c r="E132" s="19">
        <f>Principle_portion_of_payment($B$1,$D$1,A132,$B$3)*'PSA&amp;CPR'!M131</f>
        <v>153.65763578922443</v>
      </c>
      <c r="F132" s="19">
        <f>Interest_portion_of_payment($B$1,$D$1,A132,$B$3)*'PSA&amp;CPR'!M131</f>
        <v>247.85031169627783</v>
      </c>
      <c r="G132" s="19">
        <f>(B132-E132)*'PSA&amp;CPR'!F132</f>
        <v>150.40549180850073</v>
      </c>
      <c r="H132" s="19">
        <f>Remaining_balance($B$1,$D$1,A132,$B$3)*'PSA&amp;CPR'!M132</f>
        <v>59180.011679508949</v>
      </c>
    </row>
    <row r="133" spans="1:8">
      <c r="A133">
        <f>'PSA&amp;CPR'!A133</f>
        <v>131</v>
      </c>
      <c r="B133" s="19">
        <f t="shared" ref="B133:B196" si="4">H132</f>
        <v>59180.011679508949</v>
      </c>
      <c r="C133" s="19">
        <f t="shared" ref="C133:C196" si="5">B133*($B$1/1200)</f>
        <v>246.58338199795395</v>
      </c>
      <c r="D133" s="19">
        <f>Monthly_payment($B$1,$D$1,$B$3)*'PSA&amp;CPR'!M132</f>
        <v>400.49010531978467</v>
      </c>
      <c r="E133" s="19">
        <f>Principle_portion_of_payment($B$1,$D$1,A133,$B$3)*'PSA&amp;CPR'!M132</f>
        <v>153.90672332183073</v>
      </c>
      <c r="F133" s="19">
        <f>Interest_portion_of_payment($B$1,$D$1,A133,$B$3)*'PSA&amp;CPR'!M132</f>
        <v>246.58338199795392</v>
      </c>
      <c r="G133" s="19">
        <f>(B133-E133)*'PSA&amp;CPR'!F133</f>
        <v>149.63404554936102</v>
      </c>
      <c r="H133" s="19">
        <f>Remaining_balance($B$1,$D$1,A133,$B$3)*'PSA&amp;CPR'!M133</f>
        <v>58876.470910637763</v>
      </c>
    </row>
    <row r="134" spans="1:8">
      <c r="A134">
        <f>'PSA&amp;CPR'!A134</f>
        <v>132</v>
      </c>
      <c r="B134" s="19">
        <f t="shared" si="4"/>
        <v>58876.470910637763</v>
      </c>
      <c r="C134" s="19">
        <f t="shared" si="5"/>
        <v>245.31862879432401</v>
      </c>
      <c r="D134" s="19">
        <f>Monthly_payment($B$1,$D$1,$B$3)*'PSA&amp;CPR'!M133</f>
        <v>399.47484343343842</v>
      </c>
      <c r="E134" s="19">
        <f>Principle_portion_of_payment($B$1,$D$1,A134,$B$3)*'PSA&amp;CPR'!M133</f>
        <v>154.15621463911447</v>
      </c>
      <c r="F134" s="19">
        <f>Interest_portion_of_payment($B$1,$D$1,A134,$B$3)*'PSA&amp;CPR'!M133</f>
        <v>245.31862879432401</v>
      </c>
      <c r="G134" s="19">
        <f>(B134-E134)*'PSA&amp;CPR'!F134</f>
        <v>148.86392247137314</v>
      </c>
      <c r="H134" s="19">
        <f>Remaining_balance($B$1,$D$1,A134,$B$3)*'PSA&amp;CPR'!M134</f>
        <v>58573.450773527271</v>
      </c>
    </row>
    <row r="135" spans="1:8">
      <c r="A135">
        <f>'PSA&amp;CPR'!A135</f>
        <v>133</v>
      </c>
      <c r="B135" s="19">
        <f t="shared" si="4"/>
        <v>58573.450773527271</v>
      </c>
      <c r="C135" s="19">
        <f t="shared" si="5"/>
        <v>244.05604488969695</v>
      </c>
      <c r="D135" s="19">
        <f>Monthly_payment($B$1,$D$1,$B$3)*'PSA&amp;CPR'!M134</f>
        <v>398.46215528532986</v>
      </c>
      <c r="E135" s="19">
        <f>Principle_portion_of_payment($B$1,$D$1,A135,$B$3)*'PSA&amp;CPR'!M134</f>
        <v>154.40611039563294</v>
      </c>
      <c r="F135" s="19">
        <f>Interest_portion_of_payment($B$1,$D$1,A135,$B$3)*'PSA&amp;CPR'!M134</f>
        <v>244.05604488969701</v>
      </c>
      <c r="G135" s="19">
        <f>(B135-E135)*'PSA&amp;CPR'!F135</f>
        <v>148.09511819493542</v>
      </c>
      <c r="H135" s="19">
        <f>Remaining_balance($B$1,$D$1,A135,$B$3)*'PSA&amp;CPR'!M135</f>
        <v>58270.94954493671</v>
      </c>
    </row>
    <row r="136" spans="1:8">
      <c r="A136">
        <f>'PSA&amp;CPR'!A136</f>
        <v>134</v>
      </c>
      <c r="B136" s="19">
        <f t="shared" si="4"/>
        <v>58270.94954493671</v>
      </c>
      <c r="C136" s="19">
        <f t="shared" si="5"/>
        <v>242.79562310390295</v>
      </c>
      <c r="D136" s="19">
        <f>Monthly_payment($B$1,$D$1,$B$3)*'PSA&amp;CPR'!M135</f>
        <v>397.45203435090741</v>
      </c>
      <c r="E136" s="19">
        <f>Principle_portion_of_payment($B$1,$D$1,A136,$B$3)*'PSA&amp;CPR'!M135</f>
        <v>154.65641124700454</v>
      </c>
      <c r="F136" s="19">
        <f>Interest_portion_of_payment($B$1,$D$1,A136,$B$3)*'PSA&amp;CPR'!M135</f>
        <v>242.79562310390295</v>
      </c>
      <c r="G136" s="19">
        <f>(B136-E136)*'PSA&amp;CPR'!F136</f>
        <v>147.32762834988671</v>
      </c>
      <c r="H136" s="19">
        <f>Remaining_balance($B$1,$D$1,A136,$B$3)*'PSA&amp;CPR'!M136</f>
        <v>57968.965505339809</v>
      </c>
    </row>
    <row r="137" spans="1:8">
      <c r="A137">
        <f>'PSA&amp;CPR'!A137</f>
        <v>135</v>
      </c>
      <c r="B137" s="19">
        <f t="shared" si="4"/>
        <v>57968.965505339809</v>
      </c>
      <c r="C137" s="19">
        <f t="shared" si="5"/>
        <v>241.53735627224921</v>
      </c>
      <c r="D137" s="19">
        <f>Monthly_payment($B$1,$D$1,$B$3)*'PSA&amp;CPR'!M136</f>
        <v>396.44447412215959</v>
      </c>
      <c r="E137" s="19">
        <f>Principle_portion_of_payment($B$1,$D$1,A137,$B$3)*'PSA&amp;CPR'!M136</f>
        <v>154.90711784991038</v>
      </c>
      <c r="F137" s="19">
        <f>Interest_portion_of_payment($B$1,$D$1,A137,$B$3)*'PSA&amp;CPR'!M136</f>
        <v>241.53735627224918</v>
      </c>
      <c r="G137" s="19">
        <f>(B137-E137)*'PSA&amp;CPR'!F137</f>
        <v>146.5614485754796</v>
      </c>
      <c r="H137" s="19">
        <f>Remaining_balance($B$1,$D$1,A137,$B$3)*'PSA&amp;CPR'!M137</f>
        <v>57667.496938914432</v>
      </c>
    </row>
    <row r="138" spans="1:8">
      <c r="A138">
        <f>'PSA&amp;CPR'!A138</f>
        <v>136</v>
      </c>
      <c r="B138" s="19">
        <f t="shared" si="4"/>
        <v>57667.496938914432</v>
      </c>
      <c r="C138" s="19">
        <f t="shared" si="5"/>
        <v>240.2812372454768</v>
      </c>
      <c r="D138" s="19">
        <f>Monthly_payment($B$1,$D$1,$B$3)*'PSA&amp;CPR'!M137</f>
        <v>395.43946810757302</v>
      </c>
      <c r="E138" s="19">
        <f>Principle_portion_of_payment($B$1,$D$1,A138,$B$3)*'PSA&amp;CPR'!M137</f>
        <v>155.15823086209625</v>
      </c>
      <c r="F138" s="19">
        <f>Interest_portion_of_payment($B$1,$D$1,A138,$B$3)*'PSA&amp;CPR'!M137</f>
        <v>240.2812372454768</v>
      </c>
      <c r="G138" s="19">
        <f>(B138-E138)*'PSA&amp;CPR'!F138</f>
        <v>145.79657452035417</v>
      </c>
      <c r="H138" s="19">
        <f>Remaining_balance($B$1,$D$1,A138,$B$3)*'PSA&amp;CPR'!M138</f>
        <v>57366.542133531984</v>
      </c>
    </row>
    <row r="139" spans="1:8">
      <c r="A139">
        <f>'PSA&amp;CPR'!A139</f>
        <v>137</v>
      </c>
      <c r="B139" s="19">
        <f t="shared" si="4"/>
        <v>57366.542133531984</v>
      </c>
      <c r="C139" s="19">
        <f t="shared" si="5"/>
        <v>239.02725888971659</v>
      </c>
      <c r="D139" s="19">
        <f>Monthly_payment($B$1,$D$1,$B$3)*'PSA&amp;CPR'!M138</f>
        <v>394.43700983209061</v>
      </c>
      <c r="E139" s="19">
        <f>Principle_portion_of_payment($B$1,$D$1,A139,$B$3)*'PSA&amp;CPR'!M138</f>
        <v>155.40975094237407</v>
      </c>
      <c r="F139" s="19">
        <f>Interest_portion_of_payment($B$1,$D$1,A139,$B$3)*'PSA&amp;CPR'!M138</f>
        <v>239.02725888971662</v>
      </c>
      <c r="G139" s="19">
        <f>(B139-E139)*'PSA&amp;CPR'!F139</f>
        <v>145.03300184251103</v>
      </c>
      <c r="H139" s="19">
        <f>Remaining_balance($B$1,$D$1,A139,$B$3)*'PSA&amp;CPR'!M139</f>
        <v>57066.099380747102</v>
      </c>
    </row>
    <row r="140" spans="1:8">
      <c r="A140">
        <f>'PSA&amp;CPR'!A140</f>
        <v>138</v>
      </c>
      <c r="B140" s="19">
        <f t="shared" si="4"/>
        <v>57066.099380747102</v>
      </c>
      <c r="C140" s="19">
        <f t="shared" si="5"/>
        <v>237.77541408644626</v>
      </c>
      <c r="D140" s="19">
        <f>Monthly_payment($B$1,$D$1,$B$3)*'PSA&amp;CPR'!M139</f>
        <v>393.43709283706983</v>
      </c>
      <c r="E140" s="19">
        <f>Principle_portion_of_payment($B$1,$D$1,A140,$B$3)*'PSA&amp;CPR'!M139</f>
        <v>155.66167875062365</v>
      </c>
      <c r="F140" s="19">
        <f>Interest_portion_of_payment($B$1,$D$1,A140,$B$3)*'PSA&amp;CPR'!M139</f>
        <v>237.77541408644626</v>
      </c>
      <c r="G140" s="19">
        <f>(B140-E140)*'PSA&amp;CPR'!F140</f>
        <v>144.27072620928536</v>
      </c>
      <c r="H140" s="19">
        <f>Remaining_balance($B$1,$D$1,A140,$B$3)*'PSA&amp;CPR'!M140</f>
        <v>56766.166975787179</v>
      </c>
    </row>
    <row r="141" spans="1:8">
      <c r="A141">
        <f>'PSA&amp;CPR'!A141</f>
        <v>139</v>
      </c>
      <c r="B141" s="19">
        <f t="shared" si="4"/>
        <v>56766.166975787179</v>
      </c>
      <c r="C141" s="19">
        <f t="shared" si="5"/>
        <v>236.52569573244656</v>
      </c>
      <c r="D141" s="19">
        <f>Monthly_payment($B$1,$D$1,$B$3)*'PSA&amp;CPR'!M140</f>
        <v>392.43971068024132</v>
      </c>
      <c r="E141" s="19">
        <f>Principle_portion_of_payment($B$1,$D$1,A141,$B$3)*'PSA&amp;CPR'!M140</f>
        <v>155.91401494779475</v>
      </c>
      <c r="F141" s="19">
        <f>Interest_portion_of_payment($B$1,$D$1,A141,$B$3)*'PSA&amp;CPR'!M140</f>
        <v>236.52569573244662</v>
      </c>
      <c r="G141" s="19">
        <f>(B141-E141)*'PSA&amp;CPR'!F141</f>
        <v>143.50974329732014</v>
      </c>
      <c r="H141" s="19">
        <f>Remaining_balance($B$1,$D$1,A141,$B$3)*'PSA&amp;CPR'!M141</f>
        <v>56466.743217542076</v>
      </c>
    </row>
    <row r="142" spans="1:8">
      <c r="A142">
        <f>'PSA&amp;CPR'!A142</f>
        <v>140</v>
      </c>
      <c r="B142" s="19">
        <f t="shared" si="4"/>
        <v>56466.743217542076</v>
      </c>
      <c r="C142" s="19">
        <f t="shared" si="5"/>
        <v>235.27809673975864</v>
      </c>
      <c r="D142" s="19">
        <f>Monthly_payment($B$1,$D$1,$B$3)*'PSA&amp;CPR'!M141</f>
        <v>391.44485693566685</v>
      </c>
      <c r="E142" s="19">
        <f>Principle_portion_of_payment($B$1,$D$1,A142,$B$3)*'PSA&amp;CPR'!M141</f>
        <v>156.1667601959083</v>
      </c>
      <c r="F142" s="19">
        <f>Interest_portion_of_payment($B$1,$D$1,A142,$B$3)*'PSA&amp;CPR'!M141</f>
        <v>235.27809673975867</v>
      </c>
      <c r="G142" s="19">
        <f>(B142-E142)*'PSA&amp;CPR'!F142</f>
        <v>142.75004879254024</v>
      </c>
      <c r="H142" s="19">
        <f>Remaining_balance($B$1,$D$1,A142,$B$3)*'PSA&amp;CPR'!M142</f>
        <v>56167.826408553628</v>
      </c>
    </row>
    <row r="143" spans="1:8">
      <c r="A143">
        <f>'PSA&amp;CPR'!A143</f>
        <v>141</v>
      </c>
      <c r="B143" s="19">
        <f t="shared" si="4"/>
        <v>56167.826408553628</v>
      </c>
      <c r="C143" s="19">
        <f t="shared" si="5"/>
        <v>234.03261003564012</v>
      </c>
      <c r="D143" s="19">
        <f>Monthly_payment($B$1,$D$1,$B$3)*'PSA&amp;CPR'!M142</f>
        <v>390.45252519369859</v>
      </c>
      <c r="E143" s="19">
        <f>Principle_portion_of_payment($B$1,$D$1,A143,$B$3)*'PSA&amp;CPR'!M142</f>
        <v>156.41991515805856</v>
      </c>
      <c r="F143" s="19">
        <f>Interest_portion_of_payment($B$1,$D$1,A143,$B$3)*'PSA&amp;CPR'!M142</f>
        <v>234.03261003564015</v>
      </c>
      <c r="G143" s="19">
        <f>(B143-E143)*'PSA&amp;CPR'!F143</f>
        <v>141.9916383901257</v>
      </c>
      <c r="H143" s="19">
        <f>Remaining_balance($B$1,$D$1,A143,$B$3)*'PSA&amp;CPR'!M143</f>
        <v>55869.414855005445</v>
      </c>
    </row>
    <row r="144" spans="1:8">
      <c r="A144">
        <f>'PSA&amp;CPR'!A144</f>
        <v>142</v>
      </c>
      <c r="B144" s="19">
        <f t="shared" si="4"/>
        <v>55869.414855005445</v>
      </c>
      <c r="C144" s="19">
        <f t="shared" si="5"/>
        <v>232.78922856252268</v>
      </c>
      <c r="D144" s="19">
        <f>Monthly_payment($B$1,$D$1,$B$3)*'PSA&amp;CPR'!M143</f>
        <v>389.46270906093724</v>
      </c>
      <c r="E144" s="19">
        <f>Principle_portion_of_payment($B$1,$D$1,A144,$B$3)*'PSA&amp;CPR'!M143</f>
        <v>156.67348049841465</v>
      </c>
      <c r="F144" s="19">
        <f>Interest_portion_of_payment($B$1,$D$1,A144,$B$3)*'PSA&amp;CPR'!M143</f>
        <v>232.78922856252262</v>
      </c>
      <c r="G144" s="19">
        <f>(B144-E144)*'PSA&amp;CPR'!F144</f>
        <v>141.23450779448595</v>
      </c>
      <c r="H144" s="19">
        <f>Remaining_balance($B$1,$D$1,A144,$B$3)*'PSA&amp;CPR'!M144</f>
        <v>55571.506866712545</v>
      </c>
    </row>
    <row r="145" spans="1:8">
      <c r="A145">
        <f>'PSA&amp;CPR'!A145</f>
        <v>143</v>
      </c>
      <c r="B145" s="19">
        <f t="shared" si="4"/>
        <v>55571.506866712545</v>
      </c>
      <c r="C145" s="19">
        <f t="shared" si="5"/>
        <v>231.54794527796892</v>
      </c>
      <c r="D145" s="19">
        <f>Monthly_payment($B$1,$D$1,$B$3)*'PSA&amp;CPR'!M144</f>
        <v>388.47540216019121</v>
      </c>
      <c r="E145" s="19">
        <f>Principle_portion_of_payment($B$1,$D$1,A145,$B$3)*'PSA&amp;CPR'!M144</f>
        <v>156.92745688222237</v>
      </c>
      <c r="F145" s="19">
        <f>Interest_portion_of_payment($B$1,$D$1,A145,$B$3)*'PSA&amp;CPR'!M144</f>
        <v>231.54794527796892</v>
      </c>
      <c r="G145" s="19">
        <f>(B145-E145)*'PSA&amp;CPR'!F145</f>
        <v>140.47865271923342</v>
      </c>
      <c r="H145" s="19">
        <f>Remaining_balance($B$1,$D$1,A145,$B$3)*'PSA&amp;CPR'!M145</f>
        <v>55274.100757111075</v>
      </c>
    </row>
    <row r="146" spans="1:8">
      <c r="A146">
        <f>'PSA&amp;CPR'!A146</f>
        <v>144</v>
      </c>
      <c r="B146" s="19">
        <f t="shared" si="4"/>
        <v>55274.100757111075</v>
      </c>
      <c r="C146" s="19">
        <f t="shared" si="5"/>
        <v>230.30875315462947</v>
      </c>
      <c r="D146" s="19">
        <f>Monthly_payment($B$1,$D$1,$B$3)*'PSA&amp;CPR'!M145</f>
        <v>387.49059813043539</v>
      </c>
      <c r="E146" s="19">
        <f>Principle_portion_of_payment($B$1,$D$1,A146,$B$3)*'PSA&amp;CPR'!M145</f>
        <v>157.18184497580597</v>
      </c>
      <c r="F146" s="19">
        <f>Interest_portion_of_payment($B$1,$D$1,A146,$B$3)*'PSA&amp;CPR'!M145</f>
        <v>230.3087531546295</v>
      </c>
      <c r="G146" s="19">
        <f>(B146-E146)*'PSA&amp;CPR'!F146</f>
        <v>139.72406888715764</v>
      </c>
      <c r="H146" s="19">
        <f>Remaining_balance($B$1,$D$1,A146,$B$3)*'PSA&amp;CPR'!M146</f>
        <v>54977.194843248129</v>
      </c>
    </row>
    <row r="147" spans="1:8">
      <c r="A147">
        <f>'PSA&amp;CPR'!A147</f>
        <v>145</v>
      </c>
      <c r="B147" s="19">
        <f t="shared" si="4"/>
        <v>54977.194843248129</v>
      </c>
      <c r="C147" s="19">
        <f t="shared" si="5"/>
        <v>229.07164518020053</v>
      </c>
      <c r="D147" s="19">
        <f>Monthly_payment($B$1,$D$1,$B$3)*'PSA&amp;CPR'!M146</f>
        <v>386.50829062677013</v>
      </c>
      <c r="E147" s="19">
        <f>Principle_portion_of_payment($B$1,$D$1,A147,$B$3)*'PSA&amp;CPR'!M146</f>
        <v>157.43664544656968</v>
      </c>
      <c r="F147" s="19">
        <f>Interest_portion_of_payment($B$1,$D$1,A147,$B$3)*'PSA&amp;CPR'!M146</f>
        <v>229.07164518020051</v>
      </c>
      <c r="G147" s="19">
        <f>(B147-E147)*'PSA&amp;CPR'!F147</f>
        <v>138.97075203019924</v>
      </c>
      <c r="H147" s="19">
        <f>Remaining_balance($B$1,$D$1,A147,$B$3)*'PSA&amp;CPR'!M147</f>
        <v>54680.787445771362</v>
      </c>
    </row>
    <row r="148" spans="1:8">
      <c r="A148">
        <f>'PSA&amp;CPR'!A148</f>
        <v>146</v>
      </c>
      <c r="B148" s="19">
        <f t="shared" si="4"/>
        <v>54680.787445771362</v>
      </c>
      <c r="C148" s="19">
        <f t="shared" si="5"/>
        <v>227.83661435738068</v>
      </c>
      <c r="D148" s="19">
        <f>Monthly_payment($B$1,$D$1,$B$3)*'PSA&amp;CPR'!M147</f>
        <v>385.52847332038033</v>
      </c>
      <c r="E148" s="19">
        <f>Principle_portion_of_payment($B$1,$D$1,A148,$B$3)*'PSA&amp;CPR'!M147</f>
        <v>157.69185896299973</v>
      </c>
      <c r="F148" s="19">
        <f>Interest_portion_of_payment($B$1,$D$1,A148,$B$3)*'PSA&amp;CPR'!M147</f>
        <v>227.83661435738065</v>
      </c>
      <c r="G148" s="19">
        <f>(B148-E148)*'PSA&amp;CPR'!F148</f>
        <v>138.21869788942377</v>
      </c>
      <c r="H148" s="19">
        <f>Remaining_balance($B$1,$D$1,A148,$B$3)*'PSA&amp;CPR'!M148</f>
        <v>54384.876888918938</v>
      </c>
    </row>
    <row r="149" spans="1:8">
      <c r="A149">
        <f>'PSA&amp;CPR'!A149</f>
        <v>147</v>
      </c>
      <c r="B149" s="19">
        <f t="shared" si="4"/>
        <v>54384.876888918938</v>
      </c>
      <c r="C149" s="19">
        <f t="shared" si="5"/>
        <v>226.60365370382891</v>
      </c>
      <c r="D149" s="19">
        <f>Monthly_payment($B$1,$D$1,$B$3)*'PSA&amp;CPR'!M148</f>
        <v>384.55113989849491</v>
      </c>
      <c r="E149" s="19">
        <f>Principle_portion_of_payment($B$1,$D$1,A149,$B$3)*'PSA&amp;CPR'!M148</f>
        <v>157.94748619466614</v>
      </c>
      <c r="F149" s="19">
        <f>Interest_portion_of_payment($B$1,$D$1,A149,$B$3)*'PSA&amp;CPR'!M148</f>
        <v>226.60365370382891</v>
      </c>
      <c r="G149" s="19">
        <f>(B149-E149)*'PSA&amp;CPR'!F149</f>
        <v>137.46790221499609</v>
      </c>
      <c r="H149" s="19">
        <f>Remaining_balance($B$1,$D$1,A149,$B$3)*'PSA&amp;CPR'!M149</f>
        <v>54089.461500509264</v>
      </c>
    </row>
    <row r="150" spans="1:8">
      <c r="A150">
        <f>'PSA&amp;CPR'!A150</f>
        <v>148</v>
      </c>
      <c r="B150" s="19">
        <f t="shared" si="4"/>
        <v>54089.461500509264</v>
      </c>
      <c r="C150" s="19">
        <f t="shared" si="5"/>
        <v>225.37275625212192</v>
      </c>
      <c r="D150" s="19">
        <f>Monthly_payment($B$1,$D$1,$B$3)*'PSA&amp;CPR'!M149</f>
        <v>383.57628406434594</v>
      </c>
      <c r="E150" s="19">
        <f>Principle_portion_of_payment($B$1,$D$1,A150,$B$3)*'PSA&amp;CPR'!M149</f>
        <v>158.20352781222402</v>
      </c>
      <c r="F150" s="19">
        <f>Interest_portion_of_payment($B$1,$D$1,A150,$B$3)*'PSA&amp;CPR'!M149</f>
        <v>225.37275625212195</v>
      </c>
      <c r="G150" s="19">
        <f>(B150-E150)*'PSA&amp;CPR'!F150</f>
        <v>136.71836076615443</v>
      </c>
      <c r="H150" s="19">
        <f>Remaining_balance($B$1,$D$1,A150,$B$3)*'PSA&amp;CPR'!M150</f>
        <v>53794.539611930893</v>
      </c>
    </row>
    <row r="151" spans="1:8">
      <c r="A151">
        <f>'PSA&amp;CPR'!A151</f>
        <v>149</v>
      </c>
      <c r="B151" s="19">
        <f t="shared" si="4"/>
        <v>53794.539611930893</v>
      </c>
      <c r="C151" s="19">
        <f t="shared" si="5"/>
        <v>224.14391504971206</v>
      </c>
      <c r="D151" s="19">
        <f>Monthly_payment($B$1,$D$1,$B$3)*'PSA&amp;CPR'!M150</f>
        <v>382.60389953712797</v>
      </c>
      <c r="E151" s="19">
        <f>Principle_portion_of_payment($B$1,$D$1,A151,$B$3)*'PSA&amp;CPR'!M150</f>
        <v>158.45998448741602</v>
      </c>
      <c r="F151" s="19">
        <f>Interest_portion_of_payment($B$1,$D$1,A151,$B$3)*'PSA&amp;CPR'!M150</f>
        <v>224.14391504971206</v>
      </c>
      <c r="G151" s="19">
        <f>(B151-E151)*'PSA&amp;CPR'!F151</f>
        <v>135.9700693111848</v>
      </c>
      <c r="H151" s="19">
        <f>Remaining_balance($B$1,$D$1,A151,$B$3)*'PSA&amp;CPR'!M151</f>
        <v>53500.109558132288</v>
      </c>
    </row>
    <row r="152" spans="1:8">
      <c r="A152">
        <f>'PSA&amp;CPR'!A152</f>
        <v>150</v>
      </c>
      <c r="B152" s="19">
        <f t="shared" si="4"/>
        <v>53500.109558132288</v>
      </c>
      <c r="C152" s="19">
        <f t="shared" si="5"/>
        <v>222.91712315888452</v>
      </c>
      <c r="D152" s="19">
        <f>Monthly_payment($B$1,$D$1,$B$3)*'PSA&amp;CPR'!M151</f>
        <v>381.63398005195785</v>
      </c>
      <c r="E152" s="19">
        <f>Principle_portion_of_payment($B$1,$D$1,A152,$B$3)*'PSA&amp;CPR'!M151</f>
        <v>158.71685689307338</v>
      </c>
      <c r="F152" s="19">
        <f>Interest_portion_of_payment($B$1,$D$1,A152,$B$3)*'PSA&amp;CPR'!M151</f>
        <v>222.91712315888452</v>
      </c>
      <c r="G152" s="19">
        <f>(B152-E152)*'PSA&amp;CPR'!F152</f>
        <v>135.22302362739489</v>
      </c>
      <c r="H152" s="19">
        <f>Remaining_balance($B$1,$D$1,A152,$B$3)*'PSA&amp;CPR'!M152</f>
        <v>53206.169677611819</v>
      </c>
    </row>
    <row r="153" spans="1:8">
      <c r="A153">
        <f>'PSA&amp;CPR'!A153</f>
        <v>151</v>
      </c>
      <c r="B153" s="19">
        <f t="shared" si="4"/>
        <v>53206.169677611819</v>
      </c>
      <c r="C153" s="19">
        <f t="shared" si="5"/>
        <v>221.69237365671592</v>
      </c>
      <c r="D153" s="19">
        <f>Monthly_payment($B$1,$D$1,$B$3)*'PSA&amp;CPR'!M152</f>
        <v>380.66651935983418</v>
      </c>
      <c r="E153" s="19">
        <f>Principle_portion_of_payment($B$1,$D$1,A153,$B$3)*'PSA&amp;CPR'!M152</f>
        <v>158.97414570311832</v>
      </c>
      <c r="F153" s="19">
        <f>Interest_portion_of_payment($B$1,$D$1,A153,$B$3)*'PSA&amp;CPR'!M152</f>
        <v>221.69237365671594</v>
      </c>
      <c r="G153" s="19">
        <f>(B153-E153)*'PSA&amp;CPR'!F153</f>
        <v>134.47721950108888</v>
      </c>
      <c r="H153" s="19">
        <f>Remaining_balance($B$1,$D$1,A153,$B$3)*'PSA&amp;CPR'!M153</f>
        <v>52912.718312407618</v>
      </c>
    </row>
    <row r="154" spans="1:8">
      <c r="A154">
        <f>'PSA&amp;CPR'!A154</f>
        <v>152</v>
      </c>
      <c r="B154" s="19">
        <f t="shared" si="4"/>
        <v>52912.718312407618</v>
      </c>
      <c r="C154" s="19">
        <f t="shared" si="5"/>
        <v>220.46965963503175</v>
      </c>
      <c r="D154" s="19">
        <f>Monthly_payment($B$1,$D$1,$B$3)*'PSA&amp;CPR'!M153</f>
        <v>379.701511227597</v>
      </c>
      <c r="E154" s="19">
        <f>Principle_portion_of_payment($B$1,$D$1,A154,$B$3)*'PSA&amp;CPR'!M153</f>
        <v>159.23185159256531</v>
      </c>
      <c r="F154" s="19">
        <f>Interest_portion_of_payment($B$1,$D$1,A154,$B$3)*'PSA&amp;CPR'!M153</f>
        <v>220.46965963503169</v>
      </c>
      <c r="G154" s="19">
        <f>(B154-E154)*'PSA&amp;CPR'!F154</f>
        <v>133.73265272754168</v>
      </c>
      <c r="H154" s="19">
        <f>Remaining_balance($B$1,$D$1,A154,$B$3)*'PSA&amp;CPR'!M154</f>
        <v>52619.753808087495</v>
      </c>
    </row>
    <row r="155" spans="1:8">
      <c r="A155">
        <f>'PSA&amp;CPR'!A155</f>
        <v>153</v>
      </c>
      <c r="B155" s="19">
        <f t="shared" si="4"/>
        <v>52619.753808087495</v>
      </c>
      <c r="C155" s="19">
        <f t="shared" si="5"/>
        <v>219.24897420036456</v>
      </c>
      <c r="D155" s="19">
        <f>Monthly_payment($B$1,$D$1,$B$3)*'PSA&amp;CPR'!M154</f>
        <v>378.73894943788775</v>
      </c>
      <c r="E155" s="19">
        <f>Principle_portion_of_payment($B$1,$D$1,A155,$B$3)*'PSA&amp;CPR'!M154</f>
        <v>159.4899752375232</v>
      </c>
      <c r="F155" s="19">
        <f>Interest_portion_of_payment($B$1,$D$1,A155,$B$3)*'PSA&amp;CPR'!M154</f>
        <v>219.24897420036459</v>
      </c>
      <c r="G155" s="19">
        <f>(B155-E155)*'PSA&amp;CPR'!F155</f>
        <v>132.98931911097327</v>
      </c>
      <c r="H155" s="19">
        <f>Remaining_balance($B$1,$D$1,A155,$B$3)*'PSA&amp;CPR'!M155</f>
        <v>52327.274513739008</v>
      </c>
    </row>
    <row r="156" spans="1:8">
      <c r="A156">
        <f>'PSA&amp;CPR'!A156</f>
        <v>154</v>
      </c>
      <c r="B156" s="19">
        <f t="shared" si="4"/>
        <v>52327.274513739008</v>
      </c>
      <c r="C156" s="19">
        <f t="shared" si="5"/>
        <v>218.03031047391252</v>
      </c>
      <c r="D156" s="19">
        <f>Monthly_payment($B$1,$D$1,$B$3)*'PSA&amp;CPR'!M155</f>
        <v>377.7788277891093</v>
      </c>
      <c r="E156" s="19">
        <f>Principle_portion_of_payment($B$1,$D$1,A156,$B$3)*'PSA&amp;CPR'!M155</f>
        <v>159.74851731519681</v>
      </c>
      <c r="F156" s="19">
        <f>Interest_portion_of_payment($B$1,$D$1,A156,$B$3)*'PSA&amp;CPR'!M155</f>
        <v>218.03031047391252</v>
      </c>
      <c r="G156" s="19">
        <f>(B156-E156)*'PSA&amp;CPR'!F156</f>
        <v>132.24721446452358</v>
      </c>
      <c r="H156" s="19">
        <f>Remaining_balance($B$1,$D$1,A156,$B$3)*'PSA&amp;CPR'!M156</f>
        <v>52035.278781959285</v>
      </c>
    </row>
    <row r="157" spans="1:8">
      <c r="A157">
        <f>'PSA&amp;CPR'!A157</f>
        <v>155</v>
      </c>
      <c r="B157" s="19">
        <f t="shared" si="4"/>
        <v>52035.278781959285</v>
      </c>
      <c r="C157" s="19">
        <f t="shared" si="5"/>
        <v>216.81366159149701</v>
      </c>
      <c r="D157" s="19">
        <f>Monthly_payment($B$1,$D$1,$B$3)*'PSA&amp;CPR'!M156</f>
        <v>376.82114009538566</v>
      </c>
      <c r="E157" s="19">
        <f>Principle_portion_of_payment($B$1,$D$1,A157,$B$3)*'PSA&amp;CPR'!M156</f>
        <v>160.00747850388865</v>
      </c>
      <c r="F157" s="19">
        <f>Interest_portion_of_payment($B$1,$D$1,A157,$B$3)*'PSA&amp;CPR'!M156</f>
        <v>216.81366159149701</v>
      </c>
      <c r="G157" s="19">
        <f>(B157-E157)*'PSA&amp;CPR'!F157</f>
        <v>131.5063346102267</v>
      </c>
      <c r="H157" s="19">
        <f>Remaining_balance($B$1,$D$1,A157,$B$3)*'PSA&amp;CPR'!M157</f>
        <v>51743.764968845171</v>
      </c>
    </row>
    <row r="158" spans="1:8">
      <c r="A158">
        <f>'PSA&amp;CPR'!A158</f>
        <v>156</v>
      </c>
      <c r="B158" s="19">
        <f t="shared" si="4"/>
        <v>51743.764968845171</v>
      </c>
      <c r="C158" s="19">
        <f t="shared" si="5"/>
        <v>215.59902070352155</v>
      </c>
      <c r="D158" s="19">
        <f>Monthly_payment($B$1,$D$1,$B$3)*'PSA&amp;CPR'!M157</f>
        <v>375.86588018652247</v>
      </c>
      <c r="E158" s="19">
        <f>Principle_portion_of_payment($B$1,$D$1,A158,$B$3)*'PSA&amp;CPR'!M157</f>
        <v>160.26685948300096</v>
      </c>
      <c r="F158" s="19">
        <f>Interest_portion_of_payment($B$1,$D$1,A158,$B$3)*'PSA&amp;CPR'!M157</f>
        <v>215.59902070352155</v>
      </c>
      <c r="G158" s="19">
        <f>(B158-E158)*'PSA&amp;CPR'!F158</f>
        <v>130.76667537898598</v>
      </c>
      <c r="H158" s="19">
        <f>Remaining_balance($B$1,$D$1,A158,$B$3)*'PSA&amp;CPR'!M158</f>
        <v>51452.731433983186</v>
      </c>
    </row>
    <row r="159" spans="1:8">
      <c r="A159">
        <f>'PSA&amp;CPR'!A159</f>
        <v>157</v>
      </c>
      <c r="B159" s="19">
        <f t="shared" si="4"/>
        <v>51452.731433983186</v>
      </c>
      <c r="C159" s="19">
        <f t="shared" si="5"/>
        <v>214.38638097492995</v>
      </c>
      <c r="D159" s="19">
        <f>Monthly_payment($B$1,$D$1,$B$3)*'PSA&amp;CPR'!M158</f>
        <v>374.91304190796711</v>
      </c>
      <c r="E159" s="19">
        <f>Principle_portion_of_payment($B$1,$D$1,A159,$B$3)*'PSA&amp;CPR'!M158</f>
        <v>160.52666093303725</v>
      </c>
      <c r="F159" s="19">
        <f>Interest_portion_of_payment($B$1,$D$1,A159,$B$3)*'PSA&amp;CPR'!M158</f>
        <v>214.38638097492998</v>
      </c>
      <c r="G159" s="19">
        <f>(B159-E159)*'PSA&amp;CPR'!F159</f>
        <v>130.02823261054834</v>
      </c>
      <c r="H159" s="19">
        <f>Remaining_balance($B$1,$D$1,A159,$B$3)*'PSA&amp;CPR'!M159</f>
        <v>51162.176540439614</v>
      </c>
    </row>
    <row r="160" spans="1:8">
      <c r="A160">
        <f>'PSA&amp;CPR'!A160</f>
        <v>158</v>
      </c>
      <c r="B160" s="19">
        <f t="shared" si="4"/>
        <v>51162.176540439614</v>
      </c>
      <c r="C160" s="19">
        <f t="shared" si="5"/>
        <v>213.17573558516506</v>
      </c>
      <c r="D160" s="19">
        <f>Monthly_payment($B$1,$D$1,$B$3)*'PSA&amp;CPR'!M159</f>
        <v>373.96261912076903</v>
      </c>
      <c r="E160" s="19">
        <f>Principle_portion_of_payment($B$1,$D$1,A160,$B$3)*'PSA&amp;CPR'!M159</f>
        <v>160.78688353560406</v>
      </c>
      <c r="F160" s="19">
        <f>Interest_portion_of_payment($B$1,$D$1,A160,$B$3)*'PSA&amp;CPR'!M159</f>
        <v>213.17573558516509</v>
      </c>
      <c r="G160" s="19">
        <f>(B160-E160)*'PSA&amp;CPR'!F160</f>
        <v>129.2910021534793</v>
      </c>
      <c r="H160" s="19">
        <f>Remaining_balance($B$1,$D$1,A160,$B$3)*'PSA&amp;CPR'!M160</f>
        <v>50872.098654750531</v>
      </c>
    </row>
    <row r="161" spans="1:8">
      <c r="A161">
        <f>'PSA&amp;CPR'!A161</f>
        <v>159</v>
      </c>
      <c r="B161" s="19">
        <f t="shared" si="4"/>
        <v>50872.098654750531</v>
      </c>
      <c r="C161" s="19">
        <f t="shared" si="5"/>
        <v>211.96707772812721</v>
      </c>
      <c r="D161" s="19">
        <f>Monthly_payment($B$1,$D$1,$B$3)*'PSA&amp;CPR'!M160</f>
        <v>373.01460570154023</v>
      </c>
      <c r="E161" s="19">
        <f>Principle_portion_of_payment($B$1,$D$1,A161,$B$3)*'PSA&amp;CPR'!M160</f>
        <v>161.04752797341311</v>
      </c>
      <c r="F161" s="19">
        <f>Interest_portion_of_payment($B$1,$D$1,A161,$B$3)*'PSA&amp;CPR'!M160</f>
        <v>211.96707772812721</v>
      </c>
      <c r="G161" s="19">
        <f>(B161-E161)*'PSA&amp;CPR'!F161</f>
        <v>128.55497986513774</v>
      </c>
      <c r="H161" s="19">
        <f>Remaining_balance($B$1,$D$1,A161,$B$3)*'PSA&amp;CPR'!M161</f>
        <v>50582.496146911981</v>
      </c>
    </row>
    <row r="162" spans="1:8">
      <c r="A162">
        <f>'PSA&amp;CPR'!A162</f>
        <v>160</v>
      </c>
      <c r="B162" s="19">
        <f t="shared" si="4"/>
        <v>50582.496146911981</v>
      </c>
      <c r="C162" s="19">
        <f t="shared" si="5"/>
        <v>210.76040061213325</v>
      </c>
      <c r="D162" s="19">
        <f>Monthly_payment($B$1,$D$1,$B$3)*'PSA&amp;CPR'!M161</f>
        <v>372.06899554241568</v>
      </c>
      <c r="E162" s="19">
        <f>Principle_portion_of_payment($B$1,$D$1,A162,$B$3)*'PSA&amp;CPR'!M161</f>
        <v>161.30859493028251</v>
      </c>
      <c r="F162" s="19">
        <f>Interest_portion_of_payment($B$1,$D$1,A162,$B$3)*'PSA&amp;CPR'!M161</f>
        <v>210.76040061213325</v>
      </c>
      <c r="G162" s="19">
        <f>(B162-E162)*'PSA&amp;CPR'!F162</f>
        <v>127.82016161165086</v>
      </c>
      <c r="H162" s="19">
        <f>Remaining_balance($B$1,$D$1,A162,$B$3)*'PSA&amp;CPR'!M162</f>
        <v>50293.367390370047</v>
      </c>
    </row>
    <row r="163" spans="1:8">
      <c r="A163">
        <f>'PSA&amp;CPR'!A163</f>
        <v>161</v>
      </c>
      <c r="B163" s="19">
        <f t="shared" si="4"/>
        <v>50293.367390370047</v>
      </c>
      <c r="C163" s="19">
        <f t="shared" si="5"/>
        <v>209.5556974598752</v>
      </c>
      <c r="D163" s="19">
        <f>Monthly_payment($B$1,$D$1,$B$3)*'PSA&amp;CPR'!M162</f>
        <v>371.12578255101431</v>
      </c>
      <c r="E163" s="19">
        <f>Principle_portion_of_payment($B$1,$D$1,A163,$B$3)*'PSA&amp;CPR'!M162</f>
        <v>161.57008509113916</v>
      </c>
      <c r="F163" s="19">
        <f>Interest_portion_of_payment($B$1,$D$1,A163,$B$3)*'PSA&amp;CPR'!M162</f>
        <v>209.55569745987518</v>
      </c>
      <c r="G163" s="19">
        <f>(B163-E163)*'PSA&amp;CPR'!F163</f>
        <v>127.0865432678891</v>
      </c>
      <c r="H163" s="19">
        <f>Remaining_balance($B$1,$D$1,A163,$B$3)*'PSA&amp;CPR'!M163</f>
        <v>50004.710762011018</v>
      </c>
    </row>
    <row r="164" spans="1:8">
      <c r="A164">
        <f>'PSA&amp;CPR'!A164</f>
        <v>162</v>
      </c>
      <c r="B164" s="19">
        <f t="shared" si="4"/>
        <v>50004.710762011018</v>
      </c>
      <c r="C164" s="19">
        <f t="shared" si="5"/>
        <v>208.35296150837925</v>
      </c>
      <c r="D164" s="19">
        <f>Monthly_payment($B$1,$D$1,$B$3)*'PSA&amp;CPR'!M163</f>
        <v>370.18496065039932</v>
      </c>
      <c r="E164" s="19">
        <f>Principle_portion_of_payment($B$1,$D$1,A164,$B$3)*'PSA&amp;CPR'!M163</f>
        <v>161.83199914202012</v>
      </c>
      <c r="F164" s="19">
        <f>Interest_portion_of_payment($B$1,$D$1,A164,$B$3)*'PSA&amp;CPR'!M163</f>
        <v>208.35296150837925</v>
      </c>
      <c r="G164" s="19">
        <f>(B164-E164)*'PSA&amp;CPR'!F164</f>
        <v>126.35412071744113</v>
      </c>
      <c r="H164" s="19">
        <f>Remaining_balance($B$1,$D$1,A164,$B$3)*'PSA&amp;CPR'!M164</f>
        <v>49716.524642151562</v>
      </c>
    </row>
    <row r="165" spans="1:8">
      <c r="A165">
        <f>'PSA&amp;CPR'!A165</f>
        <v>163</v>
      </c>
      <c r="B165" s="19">
        <f t="shared" si="4"/>
        <v>49716.524642151562</v>
      </c>
      <c r="C165" s="19">
        <f t="shared" si="5"/>
        <v>207.15218600896483</v>
      </c>
      <c r="D165" s="19">
        <f>Monthly_payment($B$1,$D$1,$B$3)*'PSA&amp;CPR'!M164</f>
        <v>369.24652377903936</v>
      </c>
      <c r="E165" s="19">
        <f>Principle_portion_of_payment($B$1,$D$1,A165,$B$3)*'PSA&amp;CPR'!M164</f>
        <v>162.09433777007459</v>
      </c>
      <c r="F165" s="19">
        <f>Interest_portion_of_payment($B$1,$D$1,A165,$B$3)*'PSA&amp;CPR'!M164</f>
        <v>207.15218600896483</v>
      </c>
      <c r="G165" s="19">
        <f>(B165-E165)*'PSA&amp;CPR'!F165</f>
        <v>125.62288985258905</v>
      </c>
      <c r="H165" s="19">
        <f>Remaining_balance($B$1,$D$1,A165,$B$3)*'PSA&amp;CPR'!M165</f>
        <v>49428.807414528907</v>
      </c>
    </row>
    <row r="166" spans="1:8">
      <c r="A166">
        <f>'PSA&amp;CPR'!A166</f>
        <v>164</v>
      </c>
      <c r="B166" s="19">
        <f t="shared" si="4"/>
        <v>49428.807414528907</v>
      </c>
      <c r="C166" s="19">
        <f t="shared" si="5"/>
        <v>205.95336422720376</v>
      </c>
      <c r="D166" s="19">
        <f>Monthly_payment($B$1,$D$1,$B$3)*'PSA&amp;CPR'!M165</f>
        <v>368.31046589076925</v>
      </c>
      <c r="E166" s="19">
        <f>Principle_portion_of_payment($B$1,$D$1,A166,$B$3)*'PSA&amp;CPR'!M165</f>
        <v>162.35710166356563</v>
      </c>
      <c r="F166" s="19">
        <f>Interest_portion_of_payment($B$1,$D$1,A166,$B$3)*'PSA&amp;CPR'!M165</f>
        <v>205.95336422720374</v>
      </c>
      <c r="G166" s="19">
        <f>(B166-E166)*'PSA&amp;CPR'!F166</f>
        <v>124.89284657428334</v>
      </c>
      <c r="H166" s="19">
        <f>Remaining_balance($B$1,$D$1,A166,$B$3)*'PSA&amp;CPR'!M166</f>
        <v>49141.557466291044</v>
      </c>
    </row>
    <row r="167" spans="1:8">
      <c r="A167">
        <f>'PSA&amp;CPR'!A167</f>
        <v>165</v>
      </c>
      <c r="B167" s="19">
        <f t="shared" si="4"/>
        <v>49141.557466291044</v>
      </c>
      <c r="C167" s="19">
        <f t="shared" si="5"/>
        <v>204.75648944287934</v>
      </c>
      <c r="D167" s="19">
        <f>Monthly_payment($B$1,$D$1,$B$3)*'PSA&amp;CPR'!M166</f>
        <v>367.37678095475133</v>
      </c>
      <c r="E167" s="19">
        <f>Principle_portion_of_payment($B$1,$D$1,A167,$B$3)*'PSA&amp;CPR'!M166</f>
        <v>162.62029151187201</v>
      </c>
      <c r="F167" s="19">
        <f>Interest_portion_of_payment($B$1,$D$1,A167,$B$3)*'PSA&amp;CPR'!M166</f>
        <v>204.75648944287937</v>
      </c>
      <c r="G167" s="19">
        <f>(B167-E167)*'PSA&amp;CPR'!F167</f>
        <v>124.16398679211817</v>
      </c>
      <c r="H167" s="19">
        <f>Remaining_balance($B$1,$D$1,A167,$B$3)*'PSA&amp;CPR'!M167</f>
        <v>48854.773187987063</v>
      </c>
    </row>
    <row r="168" spans="1:8">
      <c r="A168">
        <f>'PSA&amp;CPR'!A168</f>
        <v>166</v>
      </c>
      <c r="B168" s="19">
        <f t="shared" si="4"/>
        <v>48854.773187987063</v>
      </c>
      <c r="C168" s="19">
        <f t="shared" si="5"/>
        <v>203.5615549499461</v>
      </c>
      <c r="D168" s="19">
        <f>Monthly_payment($B$1,$D$1,$B$3)*'PSA&amp;CPR'!M167</f>
        <v>366.4454629554362</v>
      </c>
      <c r="E168" s="19">
        <f>Principle_portion_of_payment($B$1,$D$1,A168,$B$3)*'PSA&amp;CPR'!M167</f>
        <v>162.88390800549018</v>
      </c>
      <c r="F168" s="19">
        <f>Interest_portion_of_payment($B$1,$D$1,A168,$B$3)*'PSA&amp;CPR'!M167</f>
        <v>203.5615549499461</v>
      </c>
      <c r="G168" s="19">
        <f>(B168-E168)*'PSA&amp;CPR'!F168</f>
        <v>123.43630642430676</v>
      </c>
      <c r="H168" s="19">
        <f>Remaining_balance($B$1,$D$1,A168,$B$3)*'PSA&amp;CPR'!M168</f>
        <v>48568.452973557272</v>
      </c>
    </row>
    <row r="169" spans="1:8">
      <c r="A169">
        <f>'PSA&amp;CPR'!A169</f>
        <v>167</v>
      </c>
      <c r="B169" s="19">
        <f t="shared" si="4"/>
        <v>48568.452973557272</v>
      </c>
      <c r="C169" s="19">
        <f t="shared" si="5"/>
        <v>202.36855405648862</v>
      </c>
      <c r="D169" s="19">
        <f>Monthly_payment($B$1,$D$1,$B$3)*'PSA&amp;CPR'!M168</f>
        <v>365.51650589252432</v>
      </c>
      <c r="E169" s="19">
        <f>Principle_portion_of_payment($B$1,$D$1,A169,$B$3)*'PSA&amp;CPR'!M168</f>
        <v>163.14795183603576</v>
      </c>
      <c r="F169" s="19">
        <f>Interest_portion_of_payment($B$1,$D$1,A169,$B$3)*'PSA&amp;CPR'!M168</f>
        <v>202.36855405648859</v>
      </c>
      <c r="G169" s="19">
        <f>(B169-E169)*'PSA&amp;CPR'!F169</f>
        <v>122.70980139765649</v>
      </c>
      <c r="H169" s="19">
        <f>Remaining_balance($B$1,$D$1,A169,$B$3)*'PSA&amp;CPR'!M169</f>
        <v>48282.595220323565</v>
      </c>
    </row>
    <row r="170" spans="1:8">
      <c r="A170">
        <f>'PSA&amp;CPR'!A170</f>
        <v>168</v>
      </c>
      <c r="B170" s="19">
        <f t="shared" si="4"/>
        <v>48282.595220323565</v>
      </c>
      <c r="C170" s="19">
        <f t="shared" si="5"/>
        <v>201.17748008468152</v>
      </c>
      <c r="D170" s="19">
        <f>Monthly_payment($B$1,$D$1,$B$3)*'PSA&amp;CPR'!M169</f>
        <v>364.58990378092699</v>
      </c>
      <c r="E170" s="19">
        <f>Principle_portion_of_payment($B$1,$D$1,A170,$B$3)*'PSA&amp;CPR'!M169</f>
        <v>163.41242369624553</v>
      </c>
      <c r="F170" s="19">
        <f>Interest_portion_of_payment($B$1,$D$1,A170,$B$3)*'PSA&amp;CPR'!M169</f>
        <v>201.17748008468149</v>
      </c>
      <c r="G170" s="19">
        <f>(B170-E170)*'PSA&amp;CPR'!F170</f>
        <v>121.98446764754428</v>
      </c>
      <c r="H170" s="19">
        <f>Remaining_balance($B$1,$D$1,A170,$B$3)*'PSA&amp;CPR'!M170</f>
        <v>47997.198328979786</v>
      </c>
    </row>
    <row r="171" spans="1:8">
      <c r="A171">
        <f>'PSA&amp;CPR'!A171</f>
        <v>169</v>
      </c>
      <c r="B171" s="19">
        <f t="shared" si="4"/>
        <v>47997.198328979786</v>
      </c>
      <c r="C171" s="19">
        <f t="shared" si="5"/>
        <v>199.98832637074912</v>
      </c>
      <c r="D171" s="19">
        <f>Monthly_payment($B$1,$D$1,$B$3)*'PSA&amp;CPR'!M170</f>
        <v>363.66565065072831</v>
      </c>
      <c r="E171" s="19">
        <f>Principle_portion_of_payment($B$1,$D$1,A171,$B$3)*'PSA&amp;CPR'!M170</f>
        <v>163.67732427997925</v>
      </c>
      <c r="F171" s="19">
        <f>Interest_portion_of_payment($B$1,$D$1,A171,$B$3)*'PSA&amp;CPR'!M170</f>
        <v>199.98832637074912</v>
      </c>
      <c r="G171" s="19">
        <f>(B171-E171)*'PSA&amp;CPR'!F171</f>
        <v>121.26030111789233</v>
      </c>
      <c r="H171" s="19">
        <f>Remaining_balance($B$1,$D$1,A171,$B$3)*'PSA&amp;CPR'!M171</f>
        <v>47712.260703581909</v>
      </c>
    </row>
    <row r="172" spans="1:8">
      <c r="A172">
        <f>'PSA&amp;CPR'!A172</f>
        <v>170</v>
      </c>
      <c r="B172" s="19">
        <f t="shared" si="4"/>
        <v>47712.260703581909</v>
      </c>
      <c r="C172" s="19">
        <f t="shared" si="5"/>
        <v>198.80108626492461</v>
      </c>
      <c r="D172" s="19">
        <f>Monthly_payment($B$1,$D$1,$B$3)*'PSA&amp;CPR'!M171</f>
        <v>362.74374054714622</v>
      </c>
      <c r="E172" s="19">
        <f>Principle_portion_of_payment($B$1,$D$1,A172,$B$3)*'PSA&amp;CPR'!M171</f>
        <v>163.94265428222161</v>
      </c>
      <c r="F172" s="19">
        <f>Interest_portion_of_payment($B$1,$D$1,A172,$B$3)*'PSA&amp;CPR'!M171</f>
        <v>198.80108626492461</v>
      </c>
      <c r="G172" s="19">
        <f>(B172-E172)*'PSA&amp;CPR'!F172</f>
        <v>120.53729776114315</v>
      </c>
      <c r="H172" s="19">
        <f>Remaining_balance($B$1,$D$1,A172,$B$3)*'PSA&amp;CPR'!M172</f>
        <v>47427.78075153855</v>
      </c>
    </row>
    <row r="173" spans="1:8">
      <c r="A173">
        <f>'PSA&amp;CPR'!A173</f>
        <v>171</v>
      </c>
      <c r="B173" s="19">
        <f t="shared" si="4"/>
        <v>47427.78075153855</v>
      </c>
      <c r="C173" s="19">
        <f t="shared" si="5"/>
        <v>197.61575313141063</v>
      </c>
      <c r="D173" s="19">
        <f>Monthly_payment($B$1,$D$1,$B$3)*'PSA&amp;CPR'!M172</f>
        <v>361.82416753049421</v>
      </c>
      <c r="E173" s="19">
        <f>Principle_portion_of_payment($B$1,$D$1,A173,$B$3)*'PSA&amp;CPR'!M172</f>
        <v>164.20841439908367</v>
      </c>
      <c r="F173" s="19">
        <f>Interest_portion_of_payment($B$1,$D$1,A173,$B$3)*'PSA&amp;CPR'!M172</f>
        <v>197.61575313141066</v>
      </c>
      <c r="G173" s="19">
        <f>(B173-E173)*'PSA&amp;CPR'!F173</f>
        <v>119.81545353823542</v>
      </c>
      <c r="H173" s="19">
        <f>Remaining_balance($B$1,$D$1,A173,$B$3)*'PSA&amp;CPR'!M173</f>
        <v>47143.756883601236</v>
      </c>
    </row>
    <row r="174" spans="1:8">
      <c r="A174">
        <f>'PSA&amp;CPR'!A174</f>
        <v>172</v>
      </c>
      <c r="B174" s="19">
        <f t="shared" si="4"/>
        <v>47143.756883601236</v>
      </c>
      <c r="C174" s="19">
        <f t="shared" si="5"/>
        <v>196.43232034833849</v>
      </c>
      <c r="D174" s="19">
        <f>Monthly_payment($B$1,$D$1,$B$3)*'PSA&amp;CPR'!M173</f>
        <v>360.90692567614343</v>
      </c>
      <c r="E174" s="19">
        <f>Principle_portion_of_payment($B$1,$D$1,A174,$B$3)*'PSA&amp;CPR'!M173</f>
        <v>164.47460532780502</v>
      </c>
      <c r="F174" s="19">
        <f>Interest_portion_of_payment($B$1,$D$1,A174,$B$3)*'PSA&amp;CPR'!M173</f>
        <v>196.43232034833849</v>
      </c>
      <c r="G174" s="19">
        <f>(B174-E174)*'PSA&amp;CPR'!F174</f>
        <v>119.09476441857953</v>
      </c>
      <c r="H174" s="19">
        <f>Remaining_balance($B$1,$D$1,A174,$B$3)*'PSA&amp;CPR'!M174</f>
        <v>46860.187513854842</v>
      </c>
    </row>
    <row r="175" spans="1:8">
      <c r="A175">
        <f>'PSA&amp;CPR'!A175</f>
        <v>173</v>
      </c>
      <c r="B175" s="19">
        <f t="shared" si="4"/>
        <v>46860.187513854842</v>
      </c>
      <c r="C175" s="19">
        <f t="shared" si="5"/>
        <v>195.25078130772852</v>
      </c>
      <c r="D175" s="19">
        <f>Monthly_payment($B$1,$D$1,$B$3)*'PSA&amp;CPR'!M174</f>
        <v>359.99200907448409</v>
      </c>
      <c r="E175" s="19">
        <f>Principle_portion_of_payment($B$1,$D$1,A175,$B$3)*'PSA&amp;CPR'!M174</f>
        <v>164.7412277667556</v>
      </c>
      <c r="F175" s="19">
        <f>Interest_portion_of_payment($B$1,$D$1,A175,$B$3)*'PSA&amp;CPR'!M174</f>
        <v>195.25078130772854</v>
      </c>
      <c r="G175" s="19">
        <f>(B175-E175)*'PSA&amp;CPR'!F175</f>
        <v>118.37522638003313</v>
      </c>
      <c r="H175" s="19">
        <f>Remaining_balance($B$1,$D$1,A175,$B$3)*'PSA&amp;CPR'!M175</f>
        <v>46577.071059708076</v>
      </c>
    </row>
    <row r="176" spans="1:8">
      <c r="A176">
        <f>'PSA&amp;CPR'!A176</f>
        <v>174</v>
      </c>
      <c r="B176" s="19">
        <f t="shared" si="4"/>
        <v>46577.071059708076</v>
      </c>
      <c r="C176" s="19">
        <f t="shared" si="5"/>
        <v>194.07112941545032</v>
      </c>
      <c r="D176" s="19">
        <f>Monthly_payment($B$1,$D$1,$B$3)*'PSA&amp;CPR'!M175</f>
        <v>359.07941183088752</v>
      </c>
      <c r="E176" s="19">
        <f>Principle_portion_of_payment($B$1,$D$1,A176,$B$3)*'PSA&amp;CPR'!M175</f>
        <v>165.00828241543729</v>
      </c>
      <c r="F176" s="19">
        <f>Interest_portion_of_payment($B$1,$D$1,A176,$B$3)*'PSA&amp;CPR'!M175</f>
        <v>194.07112941545029</v>
      </c>
      <c r="G176" s="19">
        <f>(B176-E176)*'PSA&amp;CPR'!F176</f>
        <v>117.65683540887704</v>
      </c>
      <c r="H176" s="19">
        <f>Remaining_balance($B$1,$D$1,A176,$B$3)*'PSA&amp;CPR'!M176</f>
        <v>46294.40594188375</v>
      </c>
    </row>
    <row r="177" spans="1:8">
      <c r="A177">
        <f>'PSA&amp;CPR'!A177</f>
        <v>175</v>
      </c>
      <c r="B177" s="19">
        <f t="shared" si="4"/>
        <v>46294.40594188375</v>
      </c>
      <c r="C177" s="19">
        <f t="shared" si="5"/>
        <v>192.89335809118228</v>
      </c>
      <c r="D177" s="19">
        <f>Monthly_payment($B$1,$D$1,$B$3)*'PSA&amp;CPR'!M176</f>
        <v>358.16912806566836</v>
      </c>
      <c r="E177" s="19">
        <f>Principle_portion_of_payment($B$1,$D$1,A177,$B$3)*'PSA&amp;CPR'!M176</f>
        <v>165.27576997448614</v>
      </c>
      <c r="F177" s="19">
        <f>Interest_portion_of_payment($B$1,$D$1,A177,$B$3)*'PSA&amp;CPR'!M176</f>
        <v>192.89335809118228</v>
      </c>
      <c r="G177" s="19">
        <f>(B177-E177)*'PSA&amp;CPR'!F177</f>
        <v>116.93958749979072</v>
      </c>
      <c r="H177" s="19">
        <f>Remaining_balance($B$1,$D$1,A177,$B$3)*'PSA&amp;CPR'!M177</f>
        <v>46012.190584409487</v>
      </c>
    </row>
    <row r="178" spans="1:8">
      <c r="A178">
        <f>'PSA&amp;CPR'!A178</f>
        <v>176</v>
      </c>
      <c r="B178" s="19">
        <f t="shared" si="4"/>
        <v>46012.190584409487</v>
      </c>
      <c r="C178" s="19">
        <f t="shared" si="5"/>
        <v>191.71746076837286</v>
      </c>
      <c r="D178" s="19">
        <f>Monthly_payment($B$1,$D$1,$B$3)*'PSA&amp;CPR'!M177</f>
        <v>357.26115191404642</v>
      </c>
      <c r="E178" s="19">
        <f>Principle_portion_of_payment($B$1,$D$1,A178,$B$3)*'PSA&amp;CPR'!M177</f>
        <v>165.54369114567362</v>
      </c>
      <c r="F178" s="19">
        <f>Interest_portion_of_payment($B$1,$D$1,A178,$B$3)*'PSA&amp;CPR'!M177</f>
        <v>191.71746076837283</v>
      </c>
      <c r="G178" s="19">
        <f>(B178-E178)*'PSA&amp;CPR'!F178</f>
        <v>116.22347865582853</v>
      </c>
      <c r="H178" s="19">
        <f>Remaining_balance($B$1,$D$1,A178,$B$3)*'PSA&amp;CPR'!M178</f>
        <v>45730.423414607976</v>
      </c>
    </row>
    <row r="179" spans="1:8">
      <c r="A179">
        <f>'PSA&amp;CPR'!A179</f>
        <v>177</v>
      </c>
      <c r="B179" s="19">
        <f t="shared" si="4"/>
        <v>45730.423414607976</v>
      </c>
      <c r="C179" s="19">
        <f t="shared" si="5"/>
        <v>190.5434308941999</v>
      </c>
      <c r="D179" s="19">
        <f>Monthly_payment($B$1,$D$1,$B$3)*'PSA&amp;CPR'!M178</f>
        <v>356.35547752610904</v>
      </c>
      <c r="E179" s="19">
        <f>Principle_portion_of_payment($B$1,$D$1,A179,$B$3)*'PSA&amp;CPR'!M178</f>
        <v>165.8120466319092</v>
      </c>
      <c r="F179" s="19">
        <f>Interest_portion_of_payment($B$1,$D$1,A179,$B$3)*'PSA&amp;CPR'!M178</f>
        <v>190.5434308941999</v>
      </c>
      <c r="G179" s="19">
        <f>(B179-E179)*'PSA&amp;CPR'!F179</f>
        <v>115.50850488839512</v>
      </c>
      <c r="H179" s="19">
        <f>Remaining_balance($B$1,$D$1,A179,$B$3)*'PSA&amp;CPR'!M179</f>
        <v>45449.102863087675</v>
      </c>
    </row>
    <row r="180" spans="1:8">
      <c r="A180">
        <f>'PSA&amp;CPR'!A180</f>
        <v>178</v>
      </c>
      <c r="B180" s="19">
        <f t="shared" si="4"/>
        <v>45449.102863087675</v>
      </c>
      <c r="C180" s="19">
        <f t="shared" si="5"/>
        <v>189.37126192953198</v>
      </c>
      <c r="D180" s="19">
        <f>Monthly_payment($B$1,$D$1,$B$3)*'PSA&amp;CPR'!M179</f>
        <v>355.45209906677337</v>
      </c>
      <c r="E180" s="19">
        <f>Principle_portion_of_payment($B$1,$D$1,A180,$B$3)*'PSA&amp;CPR'!M179</f>
        <v>166.08083713724145</v>
      </c>
      <c r="F180" s="19">
        <f>Interest_portion_of_payment($B$1,$D$1,A180,$B$3)*'PSA&amp;CPR'!M179</f>
        <v>189.37126192953198</v>
      </c>
      <c r="G180" s="19">
        <f>(B180-E180)*'PSA&amp;CPR'!F180</f>
        <v>114.79466221722186</v>
      </c>
      <c r="H180" s="19">
        <f>Remaining_balance($B$1,$D$1,A180,$B$3)*'PSA&amp;CPR'!M180</f>
        <v>45168.227363733211</v>
      </c>
    </row>
    <row r="181" spans="1:8">
      <c r="A181">
        <f>'PSA&amp;CPR'!A181</f>
        <v>179</v>
      </c>
      <c r="B181" s="19">
        <f t="shared" si="4"/>
        <v>45168.227363733211</v>
      </c>
      <c r="C181" s="19">
        <f t="shared" si="5"/>
        <v>188.20094734888838</v>
      </c>
      <c r="D181" s="19">
        <f>Monthly_payment($B$1,$D$1,$B$3)*'PSA&amp;CPR'!M180</f>
        <v>354.55101071574882</v>
      </c>
      <c r="E181" s="19">
        <f>Principle_portion_of_payment($B$1,$D$1,A181,$B$3)*'PSA&amp;CPR'!M180</f>
        <v>166.3500633668605</v>
      </c>
      <c r="F181" s="19">
        <f>Interest_portion_of_payment($B$1,$D$1,A181,$B$3)*'PSA&amp;CPR'!M180</f>
        <v>188.20094734888841</v>
      </c>
      <c r="G181" s="19">
        <f>(B181-E181)*'PSA&amp;CPR'!F181</f>
        <v>114.08194667034243</v>
      </c>
      <c r="H181" s="19">
        <f>Remaining_balance($B$1,$D$1,A181,$B$3)*'PSA&amp;CPR'!M181</f>
        <v>44887.795353696012</v>
      </c>
    </row>
    <row r="182" spans="1:8">
      <c r="A182">
        <f>'PSA&amp;CPR'!A182</f>
        <v>180</v>
      </c>
      <c r="B182" s="19">
        <f t="shared" si="4"/>
        <v>44887.795353696012</v>
      </c>
      <c r="C182" s="19">
        <f t="shared" si="5"/>
        <v>187.03248064040005</v>
      </c>
      <c r="D182" s="19">
        <f>Monthly_payment($B$1,$D$1,$B$3)*'PSA&amp;CPR'!M181</f>
        <v>353.65220666749946</v>
      </c>
      <c r="E182" s="19">
        <f>Principle_portion_of_payment($B$1,$D$1,A182,$B$3)*'PSA&amp;CPR'!M181</f>
        <v>166.61972602709946</v>
      </c>
      <c r="F182" s="19">
        <f>Interest_portion_of_payment($B$1,$D$1,A182,$B$3)*'PSA&amp;CPR'!M181</f>
        <v>187.0324806404</v>
      </c>
      <c r="G182" s="19">
        <f>(B182-E182)*'PSA&amp;CPR'!F182</f>
        <v>113.37035428406915</v>
      </c>
      <c r="H182" s="19">
        <f>Remaining_balance($B$1,$D$1,A182,$B$3)*'PSA&amp;CPR'!M182</f>
        <v>44607.805273384845</v>
      </c>
    </row>
    <row r="183" spans="1:8">
      <c r="A183">
        <f>'PSA&amp;CPR'!A183</f>
        <v>181</v>
      </c>
      <c r="B183" s="19">
        <f t="shared" si="4"/>
        <v>44607.805273384845</v>
      </c>
      <c r="C183" s="19">
        <f t="shared" si="5"/>
        <v>185.8658553057702</v>
      </c>
      <c r="D183" s="19">
        <f>Monthly_payment($B$1,$D$1,$B$3)*'PSA&amp;CPR'!M182</f>
        <v>352.75568113120676</v>
      </c>
      <c r="E183" s="19">
        <f>Principle_portion_of_payment($B$1,$D$1,A183,$B$3)*'PSA&amp;CPR'!M182</f>
        <v>166.88982582543662</v>
      </c>
      <c r="F183" s="19">
        <f>Interest_portion_of_payment($B$1,$D$1,A183,$B$3)*'PSA&amp;CPR'!M182</f>
        <v>185.8658553057702</v>
      </c>
      <c r="G183" s="19">
        <f>(B183-E183)*'PSA&amp;CPR'!F183</f>
        <v>112.65988110296894</v>
      </c>
      <c r="H183" s="19">
        <f>Remaining_balance($B$1,$D$1,A183,$B$3)*'PSA&amp;CPR'!M183</f>
        <v>44328.255566456428</v>
      </c>
    </row>
    <row r="184" spans="1:8">
      <c r="A184">
        <f>'PSA&amp;CPR'!A184</f>
        <v>182</v>
      </c>
      <c r="B184" s="19">
        <f t="shared" si="4"/>
        <v>44328.255566456428</v>
      </c>
      <c r="C184" s="19">
        <f t="shared" si="5"/>
        <v>184.70106486023511</v>
      </c>
      <c r="D184" s="19">
        <f>Monthly_payment($B$1,$D$1,$B$3)*'PSA&amp;CPR'!M183</f>
        <v>351.861428330732</v>
      </c>
      <c r="E184" s="19">
        <f>Principle_portion_of_payment($B$1,$D$1,A184,$B$3)*'PSA&amp;CPR'!M183</f>
        <v>167.16036347049692</v>
      </c>
      <c r="F184" s="19">
        <f>Interest_portion_of_payment($B$1,$D$1,A184,$B$3)*'PSA&amp;CPR'!M183</f>
        <v>184.70106486023514</v>
      </c>
      <c r="G184" s="19">
        <f>(B184-E184)*'PSA&amp;CPR'!F184</f>
        <v>111.95052317983949</v>
      </c>
      <c r="H184" s="19">
        <f>Remaining_balance($B$1,$D$1,A184,$B$3)*'PSA&amp;CPR'!M184</f>
        <v>44049.144679806108</v>
      </c>
    </row>
    <row r="185" spans="1:8">
      <c r="A185">
        <f>'PSA&amp;CPR'!A185</f>
        <v>183</v>
      </c>
      <c r="B185" s="19">
        <f t="shared" si="4"/>
        <v>44049.144679806108</v>
      </c>
      <c r="C185" s="19">
        <f t="shared" si="5"/>
        <v>183.53810283252545</v>
      </c>
      <c r="D185" s="19">
        <f>Monthly_payment($B$1,$D$1,$B$3)*'PSA&amp;CPR'!M184</f>
        <v>350.9694425045796</v>
      </c>
      <c r="E185" s="19">
        <f>Principle_portion_of_payment($B$1,$D$1,A185,$B$3)*'PSA&amp;CPR'!M184</f>
        <v>167.43133967205424</v>
      </c>
      <c r="F185" s="19">
        <f>Interest_portion_of_payment($B$1,$D$1,A185,$B$3)*'PSA&amp;CPR'!M184</f>
        <v>183.5381028325254</v>
      </c>
      <c r="G185" s="19">
        <f>(B185-E185)*'PSA&amp;CPR'!F185</f>
        <v>111.24227657568574</v>
      </c>
      <c r="H185" s="19">
        <f>Remaining_balance($B$1,$D$1,A185,$B$3)*'PSA&amp;CPR'!M185</f>
        <v>43770.471063558354</v>
      </c>
    </row>
    <row r="186" spans="1:8">
      <c r="A186">
        <f>'PSA&amp;CPR'!A186</f>
        <v>184</v>
      </c>
      <c r="B186" s="19">
        <f t="shared" si="4"/>
        <v>43770.471063558354</v>
      </c>
      <c r="C186" s="19">
        <f t="shared" si="5"/>
        <v>182.37696276482649</v>
      </c>
      <c r="D186" s="19">
        <f>Monthly_payment($B$1,$D$1,$B$3)*'PSA&amp;CPR'!M185</f>
        <v>350.07971790585935</v>
      </c>
      <c r="E186" s="19">
        <f>Principle_portion_of_payment($B$1,$D$1,A186,$B$3)*'PSA&amp;CPR'!M185</f>
        <v>167.7027551410329</v>
      </c>
      <c r="F186" s="19">
        <f>Interest_portion_of_payment($B$1,$D$1,A186,$B$3)*'PSA&amp;CPR'!M185</f>
        <v>182.37696276482649</v>
      </c>
      <c r="G186" s="19">
        <f>(B186-E186)*'PSA&amp;CPR'!F186</f>
        <v>110.53513735969558</v>
      </c>
      <c r="H186" s="19">
        <f>Remaining_balance($B$1,$D$1,A186,$B$3)*'PSA&amp;CPR'!M186</f>
        <v>43492.233171057633</v>
      </c>
    </row>
    <row r="187" spans="1:8">
      <c r="A187">
        <f>'PSA&amp;CPR'!A187</f>
        <v>185</v>
      </c>
      <c r="B187" s="19">
        <f t="shared" si="4"/>
        <v>43492.233171057633</v>
      </c>
      <c r="C187" s="19">
        <f t="shared" si="5"/>
        <v>181.21763821274013</v>
      </c>
      <c r="D187" s="19">
        <f>Monthly_payment($B$1,$D$1,$B$3)*'PSA&amp;CPR'!M186</f>
        <v>349.19224880224976</v>
      </c>
      <c r="E187" s="19">
        <f>Principle_portion_of_payment($B$1,$D$1,A187,$B$3)*'PSA&amp;CPR'!M186</f>
        <v>167.97461058950969</v>
      </c>
      <c r="F187" s="19">
        <f>Interest_portion_of_payment($B$1,$D$1,A187,$B$3)*'PSA&amp;CPR'!M186</f>
        <v>181.21763821274013</v>
      </c>
      <c r="G187" s="19">
        <f>(B187-E187)*'PSA&amp;CPR'!F187</f>
        <v>109.82910160921698</v>
      </c>
      <c r="H187" s="19">
        <f>Remaining_balance($B$1,$D$1,A187,$B$3)*'PSA&amp;CPR'!M187</f>
        <v>43214.429458858911</v>
      </c>
    </row>
    <row r="188" spans="1:8">
      <c r="A188">
        <f>'PSA&amp;CPR'!A188</f>
        <v>186</v>
      </c>
      <c r="B188" s="19">
        <f t="shared" si="4"/>
        <v>43214.429458858911</v>
      </c>
      <c r="C188" s="19">
        <f t="shared" si="5"/>
        <v>180.06012274524545</v>
      </c>
      <c r="D188" s="19">
        <f>Monthly_payment($B$1,$D$1,$B$3)*'PSA&amp;CPR'!M187</f>
        <v>348.30702947596114</v>
      </c>
      <c r="E188" s="19">
        <f>Principle_portion_of_payment($B$1,$D$1,A188,$B$3)*'PSA&amp;CPR'!M187</f>
        <v>168.24690673071572</v>
      </c>
      <c r="F188" s="19">
        <f>Interest_portion_of_payment($B$1,$D$1,A188,$B$3)*'PSA&amp;CPR'!M187</f>
        <v>180.06012274524548</v>
      </c>
      <c r="G188" s="19">
        <f>(B188-E188)*'PSA&amp;CPR'!F188</f>
        <v>109.12416540973359</v>
      </c>
      <c r="H188" s="19">
        <f>Remaining_balance($B$1,$D$1,A188,$B$3)*'PSA&amp;CPR'!M188</f>
        <v>42937.058386718454</v>
      </c>
    </row>
    <row r="189" spans="1:8">
      <c r="A189">
        <f>'PSA&amp;CPR'!A189</f>
        <v>187</v>
      </c>
      <c r="B189" s="19">
        <f t="shared" si="4"/>
        <v>42937.058386718454</v>
      </c>
      <c r="C189" s="19">
        <f t="shared" si="5"/>
        <v>178.90440994466022</v>
      </c>
      <c r="D189" s="19">
        <f>Monthly_payment($B$1,$D$1,$B$3)*'PSA&amp;CPR'!M188</f>
        <v>347.42405422369848</v>
      </c>
      <c r="E189" s="19">
        <f>Principle_portion_of_payment($B$1,$D$1,A189,$B$3)*'PSA&amp;CPR'!M188</f>
        <v>168.51964427903829</v>
      </c>
      <c r="F189" s="19">
        <f>Interest_portion_of_payment($B$1,$D$1,A189,$B$3)*'PSA&amp;CPR'!M188</f>
        <v>178.90440994466022</v>
      </c>
      <c r="G189" s="19">
        <f>(B189-E189)*'PSA&amp;CPR'!F189</f>
        <v>108.42032485484172</v>
      </c>
      <c r="H189" s="19">
        <f>Remaining_balance($B$1,$D$1,A189,$B$3)*'PSA&amp;CPR'!M189</f>
        <v>42660.118417584577</v>
      </c>
    </row>
    <row r="190" spans="1:8">
      <c r="A190">
        <f>'PSA&amp;CPR'!A190</f>
        <v>188</v>
      </c>
      <c r="B190" s="19">
        <f t="shared" si="4"/>
        <v>42660.118417584577</v>
      </c>
      <c r="C190" s="19">
        <f t="shared" si="5"/>
        <v>177.7504934066024</v>
      </c>
      <c r="D190" s="19">
        <f>Monthly_payment($B$1,$D$1,$B$3)*'PSA&amp;CPR'!M189</f>
        <v>346.54331735662521</v>
      </c>
      <c r="E190" s="19">
        <f>Principle_portion_of_payment($B$1,$D$1,A190,$B$3)*'PSA&amp;CPR'!M189</f>
        <v>168.79282395002281</v>
      </c>
      <c r="F190" s="19">
        <f>Interest_portion_of_payment($B$1,$D$1,A190,$B$3)*'PSA&amp;CPR'!M189</f>
        <v>177.75049340660237</v>
      </c>
      <c r="G190" s="19">
        <f>(B190-E190)*'PSA&amp;CPR'!F190</f>
        <v>107.71757604622665</v>
      </c>
      <c r="H190" s="19">
        <f>Remaining_balance($B$1,$D$1,A190,$B$3)*'PSA&amp;CPR'!M190</f>
        <v>42383.60801758834</v>
      </c>
    </row>
    <row r="191" spans="1:8">
      <c r="A191">
        <f>'PSA&amp;CPR'!A191</f>
        <v>189</v>
      </c>
      <c r="B191" s="19">
        <f t="shared" si="4"/>
        <v>42383.60801758834</v>
      </c>
      <c r="C191" s="19">
        <f t="shared" si="5"/>
        <v>176.59836673995142</v>
      </c>
      <c r="D191" s="19">
        <f>Monthly_payment($B$1,$D$1,$B$3)*'PSA&amp;CPR'!M190</f>
        <v>345.66481320032591</v>
      </c>
      <c r="E191" s="19">
        <f>Principle_portion_of_payment($B$1,$D$1,A191,$B$3)*'PSA&amp;CPR'!M190</f>
        <v>169.06644646037458</v>
      </c>
      <c r="F191" s="19">
        <f>Interest_portion_of_payment($B$1,$D$1,A191,$B$3)*'PSA&amp;CPR'!M190</f>
        <v>176.59836673995139</v>
      </c>
      <c r="G191" s="19">
        <f>(B191-E191)*'PSA&amp;CPR'!F191</f>
        <v>107.01591509363918</v>
      </c>
      <c r="H191" s="19">
        <f>Remaining_balance($B$1,$D$1,A191,$B$3)*'PSA&amp;CPR'!M191</f>
        <v>42107.525656034319</v>
      </c>
    </row>
    <row r="192" spans="1:8">
      <c r="A192">
        <f>'PSA&amp;CPR'!A192</f>
        <v>190</v>
      </c>
      <c r="B192" s="19">
        <f t="shared" si="4"/>
        <v>42107.525656034319</v>
      </c>
      <c r="C192" s="19">
        <f t="shared" si="5"/>
        <v>175.44802356680967</v>
      </c>
      <c r="D192" s="19">
        <f>Monthly_payment($B$1,$D$1,$B$3)*'PSA&amp;CPR'!M191</f>
        <v>344.78853609477028</v>
      </c>
      <c r="E192" s="19">
        <f>Principle_portion_of_payment($B$1,$D$1,A192,$B$3)*'PSA&amp;CPR'!M191</f>
        <v>169.3405125279607</v>
      </c>
      <c r="F192" s="19">
        <f>Interest_portion_of_payment($B$1,$D$1,A192,$B$3)*'PSA&amp;CPR'!M191</f>
        <v>175.44802356680964</v>
      </c>
      <c r="G192" s="19">
        <f>(B192-E192)*'PSA&amp;CPR'!F192</f>
        <v>106.31533811487218</v>
      </c>
      <c r="H192" s="19">
        <f>Remaining_balance($B$1,$D$1,A192,$B$3)*'PSA&amp;CPR'!M192</f>
        <v>41831.869805391485</v>
      </c>
    </row>
    <row r="193" spans="1:8">
      <c r="A193">
        <f>'PSA&amp;CPR'!A193</f>
        <v>191</v>
      </c>
      <c r="B193" s="19">
        <f t="shared" si="4"/>
        <v>41831.869805391485</v>
      </c>
      <c r="C193" s="19">
        <f t="shared" si="5"/>
        <v>174.29945752246451</v>
      </c>
      <c r="D193" s="19">
        <f>Monthly_payment($B$1,$D$1,$B$3)*'PSA&amp;CPR'!M192</f>
        <v>343.9144803942765</v>
      </c>
      <c r="E193" s="19">
        <f>Principle_portion_of_payment($B$1,$D$1,A193,$B$3)*'PSA&amp;CPR'!M192</f>
        <v>169.61502287181199</v>
      </c>
      <c r="F193" s="19">
        <f>Interest_portion_of_payment($B$1,$D$1,A193,$B$3)*'PSA&amp;CPR'!M192</f>
        <v>174.29945752246451</v>
      </c>
      <c r="G193" s="19">
        <f>(B193-E193)*'PSA&amp;CPR'!F193</f>
        <v>105.61584123573742</v>
      </c>
      <c r="H193" s="19">
        <f>Remaining_balance($B$1,$D$1,A193,$B$3)*'PSA&amp;CPR'!M193</f>
        <v>41556.638941283942</v>
      </c>
    </row>
    <row r="194" spans="1:8">
      <c r="A194">
        <f>'PSA&amp;CPR'!A194</f>
        <v>192</v>
      </c>
      <c r="B194" s="19">
        <f t="shared" si="4"/>
        <v>41556.638941283942</v>
      </c>
      <c r="C194" s="19">
        <f t="shared" si="5"/>
        <v>173.15266225534975</v>
      </c>
      <c r="D194" s="19">
        <f>Monthly_payment($B$1,$D$1,$B$3)*'PSA&amp;CPR'!M193</f>
        <v>343.0426404674746</v>
      </c>
      <c r="E194" s="19">
        <f>Principle_portion_of_payment($B$1,$D$1,A194,$B$3)*'PSA&amp;CPR'!M193</f>
        <v>169.88997821212493</v>
      </c>
      <c r="F194" s="19">
        <f>Interest_portion_of_payment($B$1,$D$1,A194,$B$3)*'PSA&amp;CPR'!M193</f>
        <v>173.1526622553497</v>
      </c>
      <c r="G194" s="19">
        <f>(B194-E194)*'PSA&amp;CPR'!F194</f>
        <v>104.9174205900422</v>
      </c>
      <c r="H194" s="19">
        <f>Remaining_balance($B$1,$D$1,A194,$B$3)*'PSA&amp;CPR'!M194</f>
        <v>41281.831542481777</v>
      </c>
    </row>
    <row r="195" spans="1:8">
      <c r="A195">
        <f>'PSA&amp;CPR'!A195</f>
        <v>193</v>
      </c>
      <c r="B195" s="19">
        <f t="shared" si="4"/>
        <v>41281.831542481777</v>
      </c>
      <c r="C195" s="19">
        <f t="shared" si="5"/>
        <v>172.0076314270074</v>
      </c>
      <c r="D195" s="19">
        <f>Monthly_payment($B$1,$D$1,$B$3)*'PSA&amp;CPR'!M194</f>
        <v>342.17301069727068</v>
      </c>
      <c r="E195" s="19">
        <f>Principle_portion_of_payment($B$1,$D$1,A195,$B$3)*'PSA&amp;CPR'!M194</f>
        <v>170.16537927026332</v>
      </c>
      <c r="F195" s="19">
        <f>Interest_portion_of_payment($B$1,$D$1,A195,$B$3)*'PSA&amp;CPR'!M194</f>
        <v>172.00763142700737</v>
      </c>
      <c r="G195" s="19">
        <f>(B195-E195)*'PSA&amp;CPR'!F195</f>
        <v>104.22007231956601</v>
      </c>
      <c r="H195" s="19">
        <f>Remaining_balance($B$1,$D$1,A195,$B$3)*'PSA&amp;CPR'!M195</f>
        <v>41007.446090891943</v>
      </c>
    </row>
    <row r="196" spans="1:8">
      <c r="A196">
        <f>'PSA&amp;CPR'!A196</f>
        <v>194</v>
      </c>
      <c r="B196" s="19">
        <f t="shared" si="4"/>
        <v>41007.446090891943</v>
      </c>
      <c r="C196" s="19">
        <f t="shared" si="5"/>
        <v>170.86435871204975</v>
      </c>
      <c r="D196" s="19">
        <f>Monthly_payment($B$1,$D$1,$B$3)*'PSA&amp;CPR'!M195</f>
        <v>341.30558548081024</v>
      </c>
      <c r="E196" s="19">
        <f>Principle_portion_of_payment($B$1,$D$1,A196,$B$3)*'PSA&amp;CPR'!M195</f>
        <v>170.44122676876049</v>
      </c>
      <c r="F196" s="19">
        <f>Interest_portion_of_payment($B$1,$D$1,A196,$B$3)*'PSA&amp;CPR'!M195</f>
        <v>170.86435871204978</v>
      </c>
      <c r="G196" s="19">
        <f>(B196-E196)*'PSA&amp;CPR'!F196</f>
        <v>103.52379257403756</v>
      </c>
      <c r="H196" s="19">
        <f>Remaining_balance($B$1,$D$1,A196,$B$3)*'PSA&amp;CPR'!M196</f>
        <v>40733.481071549148</v>
      </c>
    </row>
    <row r="197" spans="1:8">
      <c r="A197">
        <f>'PSA&amp;CPR'!A197</f>
        <v>195</v>
      </c>
      <c r="B197" s="19">
        <f t="shared" ref="B197:B260" si="6">H196</f>
        <v>40733.481071549148</v>
      </c>
      <c r="C197" s="19">
        <f t="shared" ref="C197:C260" si="7">B197*($B$1/1200)</f>
        <v>169.72283779812145</v>
      </c>
      <c r="D197" s="19">
        <f>Monthly_payment($B$1,$D$1,$B$3)*'PSA&amp;CPR'!M196</f>
        <v>340.44035922944238</v>
      </c>
      <c r="E197" s="19">
        <f>Principle_portion_of_payment($B$1,$D$1,A197,$B$3)*'PSA&amp;CPR'!M196</f>
        <v>170.71752143132099</v>
      </c>
      <c r="F197" s="19">
        <f>Interest_portion_of_payment($B$1,$D$1,A197,$B$3)*'PSA&amp;CPR'!M196</f>
        <v>169.72283779812142</v>
      </c>
      <c r="G197" s="19">
        <f>(B197-E197)*'PSA&amp;CPR'!F197</f>
        <v>102.82857751111153</v>
      </c>
      <c r="H197" s="19">
        <f>Remaining_balance($B$1,$D$1,A197,$B$3)*'PSA&amp;CPR'!M197</f>
        <v>40459.934972606716</v>
      </c>
    </row>
    <row r="198" spans="1:8">
      <c r="A198">
        <f>'PSA&amp;CPR'!A198</f>
        <v>196</v>
      </c>
      <c r="B198" s="19">
        <f t="shared" si="6"/>
        <v>40459.934972606716</v>
      </c>
      <c r="C198" s="19">
        <f t="shared" si="7"/>
        <v>168.58306238586133</v>
      </c>
      <c r="D198" s="19">
        <f>Monthly_payment($B$1,$D$1,$B$3)*'PSA&amp;CPR'!M197</f>
        <v>339.57732636868371</v>
      </c>
      <c r="E198" s="19">
        <f>Principle_portion_of_payment($B$1,$D$1,A198,$B$3)*'PSA&amp;CPR'!M197</f>
        <v>170.99426398282247</v>
      </c>
      <c r="F198" s="19">
        <f>Interest_portion_of_payment($B$1,$D$1,A198,$B$3)*'PSA&amp;CPR'!M197</f>
        <v>168.58306238586133</v>
      </c>
      <c r="G198" s="19">
        <f>(B198-E198)*'PSA&amp;CPR'!F198</f>
        <v>102.1344232963455</v>
      </c>
      <c r="H198" s="19">
        <f>Remaining_balance($B$1,$D$1,A198,$B$3)*'PSA&amp;CPR'!M198</f>
        <v>40186.806285327555</v>
      </c>
    </row>
    <row r="199" spans="1:8">
      <c r="A199">
        <f>'PSA&amp;CPR'!A199</f>
        <v>197</v>
      </c>
      <c r="B199" s="19">
        <f t="shared" si="6"/>
        <v>40186.806285327555</v>
      </c>
      <c r="C199" s="19">
        <f t="shared" si="7"/>
        <v>167.4450261888648</v>
      </c>
      <c r="D199" s="19">
        <f>Monthly_payment($B$1,$D$1,$B$3)*'PSA&amp;CPR'!M198</f>
        <v>338.7164813381824</v>
      </c>
      <c r="E199" s="19">
        <f>Principle_portion_of_payment($B$1,$D$1,A199,$B$3)*'PSA&amp;CPR'!M198</f>
        <v>171.27145514931766</v>
      </c>
      <c r="F199" s="19">
        <f>Interest_portion_of_payment($B$1,$D$1,A199,$B$3)*'PSA&amp;CPR'!M198</f>
        <v>167.4450261888648</v>
      </c>
      <c r="G199" s="19">
        <f>(B199-E199)*'PSA&amp;CPR'!F199</f>
        <v>101.44132610317705</v>
      </c>
      <c r="H199" s="19">
        <f>Remaining_balance($B$1,$D$1,A199,$B$3)*'PSA&amp;CPR'!M199</f>
        <v>39914.093504075056</v>
      </c>
    </row>
    <row r="200" spans="1:8">
      <c r="A200">
        <f>'PSA&amp;CPR'!A200</f>
        <v>198</v>
      </c>
      <c r="B200" s="19">
        <f t="shared" si="6"/>
        <v>39914.093504075056</v>
      </c>
      <c r="C200" s="19">
        <f t="shared" si="7"/>
        <v>166.30872293364607</v>
      </c>
      <c r="D200" s="19">
        <f>Monthly_payment($B$1,$D$1,$B$3)*'PSA&amp;CPR'!M199</f>
        <v>337.85781859168242</v>
      </c>
      <c r="E200" s="19">
        <f>Principle_portion_of_payment($B$1,$D$1,A200,$B$3)*'PSA&amp;CPR'!M199</f>
        <v>171.54909565803641</v>
      </c>
      <c r="F200" s="19">
        <f>Interest_portion_of_payment($B$1,$D$1,A200,$B$3)*'PSA&amp;CPR'!M199</f>
        <v>166.3087229336461</v>
      </c>
      <c r="G200" s="19">
        <f>(B200-E200)*'PSA&amp;CPR'!F200</f>
        <v>100.74928211290057</v>
      </c>
      <c r="H200" s="19">
        <f>Remaining_balance($B$1,$D$1,A200,$B$3)*'PSA&amp;CPR'!M200</f>
        <v>39641.795126304118</v>
      </c>
    </row>
    <row r="201" spans="1:8">
      <c r="A201">
        <f>'PSA&amp;CPR'!A201</f>
        <v>199</v>
      </c>
      <c r="B201" s="19">
        <f t="shared" si="6"/>
        <v>39641.795126304118</v>
      </c>
      <c r="C201" s="19">
        <f t="shared" si="7"/>
        <v>165.17414635960048</v>
      </c>
      <c r="D201" s="19">
        <f>Monthly_payment($B$1,$D$1,$B$3)*'PSA&amp;CPR'!M200</f>
        <v>337.00133259698771</v>
      </c>
      <c r="E201" s="19">
        <f>Principle_portion_of_payment($B$1,$D$1,A201,$B$3)*'PSA&amp;CPR'!M200</f>
        <v>171.82718623738722</v>
      </c>
      <c r="F201" s="19">
        <f>Interest_portion_of_payment($B$1,$D$1,A201,$B$3)*'PSA&amp;CPR'!M200</f>
        <v>165.17414635960048</v>
      </c>
      <c r="G201" s="19">
        <f>(B201-E201)*'PSA&amp;CPR'!F201</f>
        <v>100.05828751464468</v>
      </c>
      <c r="H201" s="19">
        <f>Remaining_balance($B$1,$D$1,A201,$B$3)*'PSA&amp;CPR'!M201</f>
        <v>39369.909652552087</v>
      </c>
    </row>
    <row r="202" spans="1:8">
      <c r="A202">
        <f>'PSA&amp;CPR'!A202</f>
        <v>200</v>
      </c>
      <c r="B202" s="19">
        <f t="shared" si="6"/>
        <v>39369.909652552087</v>
      </c>
      <c r="C202" s="19">
        <f t="shared" si="7"/>
        <v>164.04129021896702</v>
      </c>
      <c r="D202" s="19">
        <f>Monthly_payment($B$1,$D$1,$B$3)*'PSA&amp;CPR'!M201</f>
        <v>336.14701783592659</v>
      </c>
      <c r="E202" s="19">
        <f>Principle_portion_of_payment($B$1,$D$1,A202,$B$3)*'PSA&amp;CPR'!M201</f>
        <v>172.10572761695963</v>
      </c>
      <c r="F202" s="19">
        <f>Interest_portion_of_payment($B$1,$D$1,A202,$B$3)*'PSA&amp;CPR'!M201</f>
        <v>164.04129021896705</v>
      </c>
      <c r="G202" s="19">
        <f>(B202-E202)*'PSA&amp;CPR'!F202</f>
        <v>99.368338505349087</v>
      </c>
      <c r="H202" s="19">
        <f>Remaining_balance($B$1,$D$1,A202,$B$3)*'PSA&amp;CPR'!M202</f>
        <v>39098.435586429769</v>
      </c>
    </row>
    <row r="203" spans="1:8">
      <c r="A203">
        <f>'PSA&amp;CPR'!A203</f>
        <v>201</v>
      </c>
      <c r="B203" s="19">
        <f t="shared" si="6"/>
        <v>39098.435586429769</v>
      </c>
      <c r="C203" s="19">
        <f t="shared" si="7"/>
        <v>162.91014827679069</v>
      </c>
      <c r="D203" s="19">
        <f>Monthly_payment($B$1,$D$1,$B$3)*'PSA&amp;CPR'!M202</f>
        <v>335.29486880431625</v>
      </c>
      <c r="E203" s="19">
        <f>Principle_portion_of_payment($B$1,$D$1,A203,$B$3)*'PSA&amp;CPR'!M202</f>
        <v>172.38472052752556</v>
      </c>
      <c r="F203" s="19">
        <f>Interest_portion_of_payment($B$1,$D$1,A203,$B$3)*'PSA&amp;CPR'!M202</f>
        <v>162.91014827679075</v>
      </c>
      <c r="G203" s="19">
        <f>(B203-E203)*'PSA&amp;CPR'!F203</f>
        <v>98.679431289741885</v>
      </c>
      <c r="H203" s="19">
        <f>Remaining_balance($B$1,$D$1,A203,$B$3)*'PSA&amp;CPR'!M203</f>
        <v>38827.371434612513</v>
      </c>
    </row>
    <row r="204" spans="1:8">
      <c r="A204">
        <f>'PSA&amp;CPR'!A204</f>
        <v>202</v>
      </c>
      <c r="B204" s="19">
        <f t="shared" si="6"/>
        <v>38827.371434612513</v>
      </c>
      <c r="C204" s="19">
        <f t="shared" si="7"/>
        <v>161.78071431088546</v>
      </c>
      <c r="D204" s="19">
        <f>Monthly_payment($B$1,$D$1,$B$3)*'PSA&amp;CPR'!M203</f>
        <v>334.44488001192735</v>
      </c>
      <c r="E204" s="19">
        <f>Principle_portion_of_payment($B$1,$D$1,A204,$B$3)*'PSA&amp;CPR'!M203</f>
        <v>172.66416570104192</v>
      </c>
      <c r="F204" s="19">
        <f>Interest_portion_of_payment($B$1,$D$1,A204,$B$3)*'PSA&amp;CPR'!M203</f>
        <v>161.78071431088546</v>
      </c>
      <c r="G204" s="19">
        <f>(B204-E204)*'PSA&amp;CPR'!F204</f>
        <v>97.991562080316967</v>
      </c>
      <c r="H204" s="19">
        <f>Remaining_balance($B$1,$D$1,A204,$B$3)*'PSA&amp;CPR'!M204</f>
        <v>38556.715706831157</v>
      </c>
    </row>
    <row r="205" spans="1:8">
      <c r="A205">
        <f>'PSA&amp;CPR'!A205</f>
        <v>203</v>
      </c>
      <c r="B205" s="19">
        <f t="shared" si="6"/>
        <v>38556.715706831157</v>
      </c>
      <c r="C205" s="19">
        <f t="shared" si="7"/>
        <v>160.65298211179649</v>
      </c>
      <c r="D205" s="19">
        <f>Monthly_payment($B$1,$D$1,$B$3)*'PSA&amp;CPR'!M204</f>
        <v>333.59704598244832</v>
      </c>
      <c r="E205" s="19">
        <f>Principle_portion_of_payment($B$1,$D$1,A205,$B$3)*'PSA&amp;CPR'!M204</f>
        <v>172.94406387065192</v>
      </c>
      <c r="F205" s="19">
        <f>Interest_portion_of_payment($B$1,$D$1,A205,$B$3)*'PSA&amp;CPR'!M204</f>
        <v>160.65298211179646</v>
      </c>
      <c r="G205" s="19">
        <f>(B205-E205)*'PSA&amp;CPR'!F205</f>
        <v>97.304727097311002</v>
      </c>
      <c r="H205" s="19">
        <f>Remaining_balance($B$1,$D$1,A205,$B$3)*'PSA&amp;CPR'!M205</f>
        <v>38286.466915863188</v>
      </c>
    </row>
    <row r="206" spans="1:8">
      <c r="A206">
        <f>'PSA&amp;CPR'!A206</f>
        <v>204</v>
      </c>
      <c r="B206" s="19">
        <f t="shared" si="6"/>
        <v>38286.466915863188</v>
      </c>
      <c r="C206" s="19">
        <f t="shared" si="7"/>
        <v>159.52694548276327</v>
      </c>
      <c r="D206" s="19">
        <f>Monthly_payment($B$1,$D$1,$B$3)*'PSA&amp;CPR'!M205</f>
        <v>332.75136125345051</v>
      </c>
      <c r="E206" s="19">
        <f>Principle_portion_of_payment($B$1,$D$1,A206,$B$3)*'PSA&amp;CPR'!M205</f>
        <v>173.22441577068727</v>
      </c>
      <c r="F206" s="19">
        <f>Interest_portion_of_payment($B$1,$D$1,A206,$B$3)*'PSA&amp;CPR'!M205</f>
        <v>159.5269454827633</v>
      </c>
      <c r="G206" s="19">
        <f>(B206-E206)*'PSA&amp;CPR'!F206</f>
        <v>96.618922568681029</v>
      </c>
      <c r="H206" s="19">
        <f>Remaining_balance($B$1,$D$1,A206,$B$3)*'PSA&amp;CPR'!M206</f>
        <v>38016.623577523831</v>
      </c>
    </row>
    <row r="207" spans="1:8">
      <c r="A207">
        <f>'PSA&amp;CPR'!A207</f>
        <v>205</v>
      </c>
      <c r="B207" s="19">
        <f t="shared" si="6"/>
        <v>38016.623577523831</v>
      </c>
      <c r="C207" s="19">
        <f t="shared" si="7"/>
        <v>158.40259823968262</v>
      </c>
      <c r="D207" s="19">
        <f>Monthly_payment($B$1,$D$1,$B$3)*'PSA&amp;CPR'!M206</f>
        <v>331.90782037635267</v>
      </c>
      <c r="E207" s="19">
        <f>Principle_portion_of_payment($B$1,$D$1,A207,$B$3)*'PSA&amp;CPR'!M206</f>
        <v>173.50522213667014</v>
      </c>
      <c r="F207" s="19">
        <f>Interest_portion_of_payment($B$1,$D$1,A207,$B$3)*'PSA&amp;CPR'!M206</f>
        <v>158.40259823968259</v>
      </c>
      <c r="G207" s="19">
        <f>(B207-E207)*'PSA&amp;CPR'!F207</f>
        <v>95.93414473008194</v>
      </c>
      <c r="H207" s="19">
        <f>Remaining_balance($B$1,$D$1,A207,$B$3)*'PSA&amp;CPR'!M207</f>
        <v>37747.184210657077</v>
      </c>
    </row>
    <row r="208" spans="1:8">
      <c r="A208">
        <f>'PSA&amp;CPR'!A208</f>
        <v>206</v>
      </c>
      <c r="B208" s="19">
        <f t="shared" si="6"/>
        <v>37747.184210657077</v>
      </c>
      <c r="C208" s="19">
        <f t="shared" si="7"/>
        <v>157.27993421107115</v>
      </c>
      <c r="D208" s="19">
        <f>Monthly_payment($B$1,$D$1,$B$3)*'PSA&amp;CPR'!M207</f>
        <v>331.06641791638606</v>
      </c>
      <c r="E208" s="19">
        <f>Principle_portion_of_payment($B$1,$D$1,A208,$B$3)*'PSA&amp;CPR'!M207</f>
        <v>173.78648370531499</v>
      </c>
      <c r="F208" s="19">
        <f>Interest_portion_of_payment($B$1,$D$1,A208,$B$3)*'PSA&amp;CPR'!M207</f>
        <v>157.27993421107112</v>
      </c>
      <c r="G208" s="19">
        <f>(B208-E208)*'PSA&amp;CPR'!F208</f>
        <v>95.250389824843623</v>
      </c>
      <c r="H208" s="19">
        <f>Remaining_balance($B$1,$D$1,A208,$B$3)*'PSA&amp;CPR'!M208</f>
        <v>37478.147337126917</v>
      </c>
    </row>
    <row r="209" spans="1:8">
      <c r="A209">
        <f>'PSA&amp;CPR'!A209</f>
        <v>207</v>
      </c>
      <c r="B209" s="19">
        <f t="shared" si="6"/>
        <v>37478.147337126917</v>
      </c>
      <c r="C209" s="19">
        <f t="shared" si="7"/>
        <v>156.15894723802882</v>
      </c>
      <c r="D209" s="19">
        <f>Monthly_payment($B$1,$D$1,$B$3)*'PSA&amp;CPR'!M208</f>
        <v>330.22714845255922</v>
      </c>
      <c r="E209" s="19">
        <f>Principle_portion_of_payment($B$1,$D$1,A209,$B$3)*'PSA&amp;CPR'!M208</f>
        <v>174.06820121453046</v>
      </c>
      <c r="F209" s="19">
        <f>Interest_portion_of_payment($B$1,$D$1,A209,$B$3)*'PSA&amp;CPR'!M208</f>
        <v>156.15894723802879</v>
      </c>
      <c r="G209" s="19">
        <f>(B209-E209)*'PSA&amp;CPR'!F209</f>
        <v>94.567654103948797</v>
      </c>
      <c r="H209" s="19">
        <f>Remaining_balance($B$1,$D$1,A209,$B$3)*'PSA&amp;CPR'!M209</f>
        <v>37209.51148180844</v>
      </c>
    </row>
    <row r="210" spans="1:8">
      <c r="A210">
        <f>'PSA&amp;CPR'!A210</f>
        <v>208</v>
      </c>
      <c r="B210" s="19">
        <f t="shared" si="6"/>
        <v>37209.51148180844</v>
      </c>
      <c r="C210" s="19">
        <f t="shared" si="7"/>
        <v>155.03963117420184</v>
      </c>
      <c r="D210" s="19">
        <f>Monthly_payment($B$1,$D$1,$B$3)*'PSA&amp;CPR'!M209</f>
        <v>329.3900065776233</v>
      </c>
      <c r="E210" s="19">
        <f>Principle_portion_of_payment($B$1,$D$1,A210,$B$3)*'PSA&amp;CPR'!M209</f>
        <v>174.35037540342157</v>
      </c>
      <c r="F210" s="19">
        <f>Interest_portion_of_payment($B$1,$D$1,A210,$B$3)*'PSA&amp;CPR'!M209</f>
        <v>155.03963117420182</v>
      </c>
      <c r="G210" s="19">
        <f>(B210-E210)*'PSA&amp;CPR'!F210</f>
        <v>93.885933826010458</v>
      </c>
      <c r="H210" s="19">
        <f>Remaining_balance($B$1,$D$1,A210,$B$3)*'PSA&amp;CPR'!M210</f>
        <v>36941.275172579008</v>
      </c>
    </row>
    <row r="211" spans="1:8">
      <c r="A211">
        <f>'PSA&amp;CPR'!A211</f>
        <v>209</v>
      </c>
      <c r="B211" s="19">
        <f t="shared" si="6"/>
        <v>36941.275172579008</v>
      </c>
      <c r="C211" s="19">
        <f t="shared" si="7"/>
        <v>153.92197988574586</v>
      </c>
      <c r="D211" s="19">
        <f>Monthly_payment($B$1,$D$1,$B$3)*'PSA&amp;CPR'!M210</f>
        <v>328.5549868980371</v>
      </c>
      <c r="E211" s="19">
        <f>Principle_portion_of_payment($B$1,$D$1,A211,$B$3)*'PSA&amp;CPR'!M210</f>
        <v>174.63300701229127</v>
      </c>
      <c r="F211" s="19">
        <f>Interest_portion_of_payment($B$1,$D$1,A211,$B$3)*'PSA&amp;CPR'!M210</f>
        <v>153.92197988574586</v>
      </c>
      <c r="G211" s="19">
        <f>(B211-E211)*'PSA&amp;CPR'!F211</f>
        <v>93.205225257249424</v>
      </c>
      <c r="H211" s="19">
        <f>Remaining_balance($B$1,$D$1,A211,$B$3)*'PSA&amp;CPR'!M211</f>
        <v>36673.436940309468</v>
      </c>
    </row>
    <row r="212" spans="1:8">
      <c r="A212">
        <f>'PSA&amp;CPR'!A212</f>
        <v>210</v>
      </c>
      <c r="B212" s="19">
        <f t="shared" si="6"/>
        <v>36673.436940309468</v>
      </c>
      <c r="C212" s="19">
        <f t="shared" si="7"/>
        <v>152.80598725128945</v>
      </c>
      <c r="D212" s="19">
        <f>Monthly_payment($B$1,$D$1,$B$3)*'PSA&amp;CPR'!M211</f>
        <v>327.72208403393211</v>
      </c>
      <c r="E212" s="19">
        <f>Principle_portion_of_payment($B$1,$D$1,A212,$B$3)*'PSA&amp;CPR'!M211</f>
        <v>174.91609678264271</v>
      </c>
      <c r="F212" s="19">
        <f>Interest_portion_of_payment($B$1,$D$1,A212,$B$3)*'PSA&amp;CPR'!M211</f>
        <v>152.80598725128945</v>
      </c>
      <c r="G212" s="19">
        <f>(B212-E212)*'PSA&amp;CPR'!F212</f>
        <v>92.525524671472141</v>
      </c>
      <c r="H212" s="19">
        <f>Remaining_balance($B$1,$D$1,A212,$B$3)*'PSA&amp;CPR'!M212</f>
        <v>36405.995318855355</v>
      </c>
    </row>
    <row r="213" spans="1:8">
      <c r="A213">
        <f>'PSA&amp;CPR'!A213</f>
        <v>211</v>
      </c>
      <c r="B213" s="19">
        <f t="shared" si="6"/>
        <v>36405.995318855355</v>
      </c>
      <c r="C213" s="19">
        <f t="shared" si="7"/>
        <v>151.69164716189732</v>
      </c>
      <c r="D213" s="19">
        <f>Monthly_payment($B$1,$D$1,$B$3)*'PSA&amp;CPR'!M212</f>
        <v>326.89129261907823</v>
      </c>
      <c r="E213" s="19">
        <f>Principle_portion_of_payment($B$1,$D$1,A213,$B$3)*'PSA&amp;CPR'!M212</f>
        <v>175.19964545718096</v>
      </c>
      <c r="F213" s="19">
        <f>Interest_portion_of_payment($B$1,$D$1,A213,$B$3)*'PSA&amp;CPR'!M212</f>
        <v>151.69164716189729</v>
      </c>
      <c r="G213" s="19">
        <f>(B213-E213)*'PSA&amp;CPR'!F213</f>
        <v>91.846828350048312</v>
      </c>
      <c r="H213" s="19">
        <f>Remaining_balance($B$1,$D$1,A213,$B$3)*'PSA&amp;CPR'!M213</f>
        <v>36138.948845048129</v>
      </c>
    </row>
    <row r="214" spans="1:8">
      <c r="A214">
        <f>'PSA&amp;CPR'!A214</f>
        <v>212</v>
      </c>
      <c r="B214" s="19">
        <f t="shared" si="6"/>
        <v>36138.948845048129</v>
      </c>
      <c r="C214" s="19">
        <f t="shared" si="7"/>
        <v>150.57895352103387</v>
      </c>
      <c r="D214" s="19">
        <f>Monthly_payment($B$1,$D$1,$B$3)*'PSA&amp;CPR'!M213</f>
        <v>326.06260730084892</v>
      </c>
      <c r="E214" s="19">
        <f>Principle_portion_of_payment($B$1,$D$1,A214,$B$3)*'PSA&amp;CPR'!M213</f>
        <v>175.48365377981514</v>
      </c>
      <c r="F214" s="19">
        <f>Interest_portion_of_payment($B$1,$D$1,A214,$B$3)*'PSA&amp;CPR'!M213</f>
        <v>150.57895352103387</v>
      </c>
      <c r="G214" s="19">
        <f>(B214-E214)*'PSA&amp;CPR'!F214</f>
        <v>91.169132581888704</v>
      </c>
      <c r="H214" s="19">
        <f>Remaining_balance($B$1,$D$1,A214,$B$3)*'PSA&amp;CPR'!M214</f>
        <v>35872.296058686428</v>
      </c>
    </row>
    <row r="215" spans="1:8">
      <c r="A215">
        <f>'PSA&amp;CPR'!A215</f>
        <v>213</v>
      </c>
      <c r="B215" s="19">
        <f t="shared" si="6"/>
        <v>35872.296058686428</v>
      </c>
      <c r="C215" s="19">
        <f t="shared" si="7"/>
        <v>149.46790024452679</v>
      </c>
      <c r="D215" s="19">
        <f>Monthly_payment($B$1,$D$1,$B$3)*'PSA&amp;CPR'!M214</f>
        <v>325.23602274018697</v>
      </c>
      <c r="E215" s="19">
        <f>Principle_portion_of_payment($B$1,$D$1,A215,$B$3)*'PSA&amp;CPR'!M214</f>
        <v>175.76812249566024</v>
      </c>
      <c r="F215" s="19">
        <f>Interest_portion_of_payment($B$1,$D$1,A215,$B$3)*'PSA&amp;CPR'!M214</f>
        <v>149.46790024452676</v>
      </c>
      <c r="G215" s="19">
        <f>(B215-E215)*'PSA&amp;CPR'!F215</f>
        <v>90.492433663423014</v>
      </c>
      <c r="H215" s="19">
        <f>Remaining_balance($B$1,$D$1,A215,$B$3)*'PSA&amp;CPR'!M215</f>
        <v>35606.035502527346</v>
      </c>
    </row>
    <row r="216" spans="1:8">
      <c r="A216">
        <f>'PSA&amp;CPR'!A216</f>
        <v>214</v>
      </c>
      <c r="B216" s="19">
        <f t="shared" si="6"/>
        <v>35606.035502527346</v>
      </c>
      <c r="C216" s="19">
        <f t="shared" si="7"/>
        <v>148.3584812605306</v>
      </c>
      <c r="D216" s="19">
        <f>Monthly_payment($B$1,$D$1,$B$3)*'PSA&amp;CPR'!M215</f>
        <v>324.41153361156972</v>
      </c>
      <c r="E216" s="19">
        <f>Principle_portion_of_payment($B$1,$D$1,A216,$B$3)*'PSA&amp;CPR'!M215</f>
        <v>176.05305235103916</v>
      </c>
      <c r="F216" s="19">
        <f>Interest_portion_of_payment($B$1,$D$1,A216,$B$3)*'PSA&amp;CPR'!M215</f>
        <v>148.35848126053057</v>
      </c>
      <c r="G216" s="19">
        <f>(B216-E216)*'PSA&amp;CPR'!F216</f>
        <v>89.816727898577625</v>
      </c>
      <c r="H216" s="19">
        <f>Remaining_balance($B$1,$D$1,A216,$B$3)*'PSA&amp;CPR'!M216</f>
        <v>35340.165722277728</v>
      </c>
    </row>
    <row r="217" spans="1:8">
      <c r="A217">
        <f>'PSA&amp;CPR'!A217</f>
        <v>215</v>
      </c>
      <c r="B217" s="19">
        <f t="shared" si="6"/>
        <v>35340.165722277728</v>
      </c>
      <c r="C217" s="19">
        <f t="shared" si="7"/>
        <v>147.25069050949054</v>
      </c>
      <c r="D217" s="19">
        <f>Monthly_payment($B$1,$D$1,$B$3)*'PSA&amp;CPR'!M216</f>
        <v>323.58913460297509</v>
      </c>
      <c r="E217" s="19">
        <f>Principle_portion_of_payment($B$1,$D$1,A217,$B$3)*'PSA&amp;CPR'!M216</f>
        <v>176.33844409348458</v>
      </c>
      <c r="F217" s="19">
        <f>Interest_portion_of_payment($B$1,$D$1,A217,$B$3)*'PSA&amp;CPR'!M216</f>
        <v>147.25069050949054</v>
      </c>
      <c r="G217" s="19">
        <f>(B217-E217)*'PSA&amp;CPR'!F217</f>
        <v>89.142011598753683</v>
      </c>
      <c r="H217" s="19">
        <f>Remaining_balance($B$1,$D$1,A217,$B$3)*'PSA&amp;CPR'!M217</f>
        <v>35074.685266585489</v>
      </c>
    </row>
    <row r="218" spans="1:8">
      <c r="A218">
        <f>'PSA&amp;CPR'!A218</f>
        <v>216</v>
      </c>
      <c r="B218" s="19">
        <f t="shared" si="6"/>
        <v>35074.685266585489</v>
      </c>
      <c r="C218" s="19">
        <f t="shared" si="7"/>
        <v>146.1445219441062</v>
      </c>
      <c r="D218" s="19">
        <f>Monthly_payment($B$1,$D$1,$B$3)*'PSA&amp;CPR'!M217</f>
        <v>322.76882041584713</v>
      </c>
      <c r="E218" s="19">
        <f>Principle_portion_of_payment($B$1,$D$1,A218,$B$3)*'PSA&amp;CPR'!M217</f>
        <v>176.62429847174101</v>
      </c>
      <c r="F218" s="19">
        <f>Interest_portion_of_payment($B$1,$D$1,A218,$B$3)*'PSA&amp;CPR'!M217</f>
        <v>146.1445219441062</v>
      </c>
      <c r="G218" s="19">
        <f>(B218-E218)*'PSA&amp;CPR'!F218</f>
        <v>88.468281082804978</v>
      </c>
      <c r="H218" s="19">
        <f>Remaining_balance($B$1,$D$1,A218,$B$3)*'PSA&amp;CPR'!M218</f>
        <v>34809.592687030941</v>
      </c>
    </row>
    <row r="219" spans="1:8">
      <c r="A219">
        <f>'PSA&amp;CPR'!A219</f>
        <v>217</v>
      </c>
      <c r="B219" s="19">
        <f t="shared" si="6"/>
        <v>34809.592687030941</v>
      </c>
      <c r="C219" s="19">
        <f t="shared" si="7"/>
        <v>145.03996952929558</v>
      </c>
      <c r="D219" s="19">
        <f>Monthly_payment($B$1,$D$1,$B$3)*'PSA&amp;CPR'!M218</f>
        <v>321.95058576506227</v>
      </c>
      <c r="E219" s="19">
        <f>Principle_portion_of_payment($B$1,$D$1,A219,$B$3)*'PSA&amp;CPR'!M218</f>
        <v>176.91061623576672</v>
      </c>
      <c r="F219" s="19">
        <f>Interest_portion_of_payment($B$1,$D$1,A219,$B$3)*'PSA&amp;CPR'!M218</f>
        <v>145.03996952929558</v>
      </c>
      <c r="G219" s="19">
        <f>(B219-E219)*'PSA&amp;CPR'!F219</f>
        <v>87.795532677016027</v>
      </c>
      <c r="H219" s="19">
        <f>Remaining_balance($B$1,$D$1,A219,$B$3)*'PSA&amp;CPR'!M219</f>
        <v>34544.88653811816</v>
      </c>
    </row>
    <row r="220" spans="1:8">
      <c r="A220">
        <f>'PSA&amp;CPR'!A220</f>
        <v>218</v>
      </c>
      <c r="B220" s="19">
        <f t="shared" si="6"/>
        <v>34544.88653811816</v>
      </c>
      <c r="C220" s="19">
        <f t="shared" si="7"/>
        <v>143.93702724215899</v>
      </c>
      <c r="D220" s="19">
        <f>Monthly_payment($B$1,$D$1,$B$3)*'PSA&amp;CPR'!M219</f>
        <v>321.1344253788946</v>
      </c>
      <c r="E220" s="19">
        <f>Principle_portion_of_payment($B$1,$D$1,A220,$B$3)*'PSA&amp;CPR'!M219</f>
        <v>177.19739813673567</v>
      </c>
      <c r="F220" s="19">
        <f>Interest_portion_of_payment($B$1,$D$1,A220,$B$3)*'PSA&amp;CPR'!M219</f>
        <v>143.93702724215902</v>
      </c>
      <c r="G220" s="19">
        <f>(B220-E220)*'PSA&amp;CPR'!F220</f>
        <v>87.123762715080105</v>
      </c>
      <c r="H220" s="19">
        <f>Remaining_balance($B$1,$D$1,A220,$B$3)*'PSA&amp;CPR'!M220</f>
        <v>34280.565377266343</v>
      </c>
    </row>
    <row r="221" spans="1:8">
      <c r="A221">
        <f>'PSA&amp;CPR'!A221</f>
        <v>219</v>
      </c>
      <c r="B221" s="19">
        <f t="shared" si="6"/>
        <v>34280.565377266343</v>
      </c>
      <c r="C221" s="19">
        <f t="shared" si="7"/>
        <v>142.83568907194308</v>
      </c>
      <c r="D221" s="19">
        <f>Monthly_payment($B$1,$D$1,$B$3)*'PSA&amp;CPR'!M220</f>
        <v>320.32033399898262</v>
      </c>
      <c r="E221" s="19">
        <f>Principle_portion_of_payment($B$1,$D$1,A221,$B$3)*'PSA&amp;CPR'!M220</f>
        <v>177.4846449270396</v>
      </c>
      <c r="F221" s="19">
        <f>Interest_portion_of_payment($B$1,$D$1,A221,$B$3)*'PSA&amp;CPR'!M220</f>
        <v>142.83568907194311</v>
      </c>
      <c r="G221" s="19">
        <f>(B221-E221)*'PSA&amp;CPR'!F221</f>
        <v>86.452967538077402</v>
      </c>
      <c r="H221" s="19">
        <f>Remaining_balance($B$1,$D$1,A221,$B$3)*'PSA&amp;CPR'!M221</f>
        <v>34016.627764801226</v>
      </c>
    </row>
    <row r="222" spans="1:8">
      <c r="A222">
        <f>'PSA&amp;CPR'!A222</f>
        <v>220</v>
      </c>
      <c r="B222" s="19">
        <f t="shared" si="6"/>
        <v>34016.627764801226</v>
      </c>
      <c r="C222" s="19">
        <f t="shared" si="7"/>
        <v>141.73594902000511</v>
      </c>
      <c r="D222" s="19">
        <f>Monthly_payment($B$1,$D$1,$B$3)*'PSA&amp;CPR'!M221</f>
        <v>319.50830638029481</v>
      </c>
      <c r="E222" s="19">
        <f>Principle_portion_of_payment($B$1,$D$1,A222,$B$3)*'PSA&amp;CPR'!M221</f>
        <v>177.77235736028976</v>
      </c>
      <c r="F222" s="19">
        <f>Interest_portion_of_payment($B$1,$D$1,A222,$B$3)*'PSA&amp;CPR'!M221</f>
        <v>141.73594902000511</v>
      </c>
      <c r="G222" s="19">
        <f>(B222-E222)*'PSA&amp;CPR'!F222</f>
        <v>85.783143494453242</v>
      </c>
      <c r="H222" s="19">
        <f>Remaining_balance($B$1,$D$1,A222,$B$3)*'PSA&amp;CPR'!M222</f>
        <v>33753.072263946488</v>
      </c>
    </row>
    <row r="223" spans="1:8">
      <c r="A223">
        <f>'PSA&amp;CPR'!A223</f>
        <v>221</v>
      </c>
      <c r="B223" s="19">
        <f t="shared" si="6"/>
        <v>33753.072263946488</v>
      </c>
      <c r="C223" s="19">
        <f t="shared" si="7"/>
        <v>140.63780109977702</v>
      </c>
      <c r="D223" s="19">
        <f>Monthly_payment($B$1,$D$1,$B$3)*'PSA&amp;CPR'!M222</f>
        <v>318.6983372910961</v>
      </c>
      <c r="E223" s="19">
        <f>Principle_portion_of_payment($B$1,$D$1,A223,$B$3)*'PSA&amp;CPR'!M222</f>
        <v>178.06053619131913</v>
      </c>
      <c r="F223" s="19">
        <f>Interest_portion_of_payment($B$1,$D$1,A223,$B$3)*'PSA&amp;CPR'!M222</f>
        <v>140.63780109977702</v>
      </c>
      <c r="G223" s="19">
        <f>(B223-E223)*'PSA&amp;CPR'!F223</f>
        <v>85.114286939996276</v>
      </c>
      <c r="H223" s="19">
        <f>Remaining_balance($B$1,$D$1,A223,$B$3)*'PSA&amp;CPR'!M223</f>
        <v>33489.89744081517</v>
      </c>
    </row>
    <row r="224" spans="1:8">
      <c r="A224">
        <f>'PSA&amp;CPR'!A224</f>
        <v>222</v>
      </c>
      <c r="B224" s="19">
        <f t="shared" si="6"/>
        <v>33489.89744081517</v>
      </c>
      <c r="C224" s="19">
        <f t="shared" si="7"/>
        <v>139.54123933672986</v>
      </c>
      <c r="D224" s="19">
        <f>Monthly_payment($B$1,$D$1,$B$3)*'PSA&amp;CPR'!M223</f>
        <v>317.89042151291426</v>
      </c>
      <c r="E224" s="19">
        <f>Principle_portion_of_payment($B$1,$D$1,A224,$B$3)*'PSA&amp;CPR'!M223</f>
        <v>178.34918217618446</v>
      </c>
      <c r="F224" s="19">
        <f>Interest_portion_of_payment($B$1,$D$1,A224,$B$3)*'PSA&amp;CPR'!M223</f>
        <v>139.54123933672986</v>
      </c>
      <c r="G224" s="19">
        <f>(B224-E224)*'PSA&amp;CPR'!F224</f>
        <v>84.446394237816691</v>
      </c>
      <c r="H224" s="19">
        <f>Remaining_balance($B$1,$D$1,A224,$B$3)*'PSA&amp;CPR'!M224</f>
        <v>33227.101864401178</v>
      </c>
    </row>
    <row r="225" spans="1:8">
      <c r="A225">
        <f>'PSA&amp;CPR'!A225</f>
        <v>223</v>
      </c>
      <c r="B225" s="19">
        <f t="shared" si="6"/>
        <v>33227.101864401178</v>
      </c>
      <c r="C225" s="19">
        <f t="shared" si="7"/>
        <v>138.44625776833823</v>
      </c>
      <c r="D225" s="19">
        <f>Monthly_payment($B$1,$D$1,$B$3)*'PSA&amp;CPR'!M224</f>
        <v>317.08455384050598</v>
      </c>
      <c r="E225" s="19">
        <f>Principle_portion_of_payment($B$1,$D$1,A225,$B$3)*'PSA&amp;CPR'!M224</f>
        <v>178.63829607216783</v>
      </c>
      <c r="F225" s="19">
        <f>Interest_portion_of_payment($B$1,$D$1,A225,$B$3)*'PSA&amp;CPR'!M224</f>
        <v>138.44625776833823</v>
      </c>
      <c r="G225" s="19">
        <f>(B225-E225)*'PSA&amp;CPR'!F225</f>
        <v>83.779461758324743</v>
      </c>
      <c r="H225" s="19">
        <f>Remaining_balance($B$1,$D$1,A225,$B$3)*'PSA&amp;CPR'!M225</f>
        <v>32964.684106570683</v>
      </c>
    </row>
    <row r="226" spans="1:8">
      <c r="A226">
        <f>'PSA&amp;CPR'!A226</f>
        <v>224</v>
      </c>
      <c r="B226" s="19">
        <f t="shared" si="6"/>
        <v>32964.684106570683</v>
      </c>
      <c r="C226" s="19">
        <f t="shared" si="7"/>
        <v>137.35285044404452</v>
      </c>
      <c r="D226" s="19">
        <f>Monthly_payment($B$1,$D$1,$B$3)*'PSA&amp;CPR'!M225</f>
        <v>316.28072908182361</v>
      </c>
      <c r="E226" s="19">
        <f>Principle_portion_of_payment($B$1,$D$1,A226,$B$3)*'PSA&amp;CPR'!M225</f>
        <v>178.92787863777917</v>
      </c>
      <c r="F226" s="19">
        <f>Interest_portion_of_payment($B$1,$D$1,A226,$B$3)*'PSA&amp;CPR'!M225</f>
        <v>137.35285044404449</v>
      </c>
      <c r="G226" s="19">
        <f>(B226-E226)*'PSA&amp;CPR'!F226</f>
        <v>83.113485879208866</v>
      </c>
      <c r="H226" s="19">
        <f>Remaining_balance($B$1,$D$1,A226,$B$3)*'PSA&amp;CPR'!M226</f>
        <v>32702.642742053682</v>
      </c>
    </row>
    <row r="227" spans="1:8">
      <c r="A227">
        <f>'PSA&amp;CPR'!A227</f>
        <v>225</v>
      </c>
      <c r="B227" s="19">
        <f t="shared" si="6"/>
        <v>32702.642742053682</v>
      </c>
      <c r="C227" s="19">
        <f t="shared" si="7"/>
        <v>136.26101142522367</v>
      </c>
      <c r="D227" s="19">
        <f>Monthly_payment($B$1,$D$1,$B$3)*'PSA&amp;CPR'!M226</f>
        <v>315.47894205798144</v>
      </c>
      <c r="E227" s="19">
        <f>Principle_portion_of_payment($B$1,$D$1,A227,$B$3)*'PSA&amp;CPR'!M226</f>
        <v>179.2179306327578</v>
      </c>
      <c r="F227" s="19">
        <f>Interest_portion_of_payment($B$1,$D$1,A227,$B$3)*'PSA&amp;CPR'!M226</f>
        <v>136.2610114252237</v>
      </c>
      <c r="G227" s="19">
        <f>(B227-E227)*'PSA&amp;CPR'!F227</f>
        <v>82.448462985414366</v>
      </c>
      <c r="H227" s="19">
        <f>Remaining_balance($B$1,$D$1,A227,$B$3)*'PSA&amp;CPR'!M227</f>
        <v>32440.976348435521</v>
      </c>
    </row>
    <row r="228" spans="1:8">
      <c r="A228">
        <f>'PSA&amp;CPR'!A228</f>
        <v>226</v>
      </c>
      <c r="B228" s="19">
        <f t="shared" si="6"/>
        <v>32440.976348435521</v>
      </c>
      <c r="C228" s="19">
        <f t="shared" si="7"/>
        <v>135.170734785148</v>
      </c>
      <c r="D228" s="19">
        <f>Monthly_payment($B$1,$D$1,$B$3)*'PSA&amp;CPR'!M227</f>
        <v>314.67918760322272</v>
      </c>
      <c r="E228" s="19">
        <f>Principle_portion_of_payment($B$1,$D$1,A228,$B$3)*'PSA&amp;CPR'!M227</f>
        <v>179.5084528180748</v>
      </c>
      <c r="F228" s="19">
        <f>Interest_portion_of_payment($B$1,$D$1,A228,$B$3)*'PSA&amp;CPR'!M227</f>
        <v>135.170734785148</v>
      </c>
      <c r="G228" s="19">
        <f>(B228-E228)*'PSA&amp;CPR'!F228</f>
        <v>81.78438946912182</v>
      </c>
      <c r="H228" s="19">
        <f>Remaining_balance($B$1,$D$1,A228,$B$3)*'PSA&amp;CPR'!M228</f>
        <v>32179.683506148325</v>
      </c>
    </row>
    <row r="229" spans="1:8">
      <c r="A229">
        <f>'PSA&amp;CPR'!A229</f>
        <v>227</v>
      </c>
      <c r="B229" s="19">
        <f t="shared" si="6"/>
        <v>32179.683506148325</v>
      </c>
      <c r="C229" s="19">
        <f t="shared" si="7"/>
        <v>134.08201460895134</v>
      </c>
      <c r="D229" s="19">
        <f>Monthly_payment($B$1,$D$1,$B$3)*'PSA&amp;CPR'!M228</f>
        <v>313.88146056488591</v>
      </c>
      <c r="E229" s="19">
        <f>Principle_portion_of_payment($B$1,$D$1,A229,$B$3)*'PSA&amp;CPR'!M228</f>
        <v>179.7994459559346</v>
      </c>
      <c r="F229" s="19">
        <f>Interest_portion_of_payment($B$1,$D$1,A229,$B$3)*'PSA&amp;CPR'!M228</f>
        <v>134.08201460895134</v>
      </c>
      <c r="G229" s="19">
        <f>(B229-E229)*'PSA&amp;CPR'!F229</f>
        <v>81.121261729725447</v>
      </c>
      <c r="H229" s="19">
        <f>Remaining_balance($B$1,$D$1,A229,$B$3)*'PSA&amp;CPR'!M229</f>
        <v>31918.762798462663</v>
      </c>
    </row>
    <row r="230" spans="1:8">
      <c r="A230">
        <f>'PSA&amp;CPR'!A230</f>
        <v>228</v>
      </c>
      <c r="B230" s="19">
        <f t="shared" si="6"/>
        <v>31918.762798462663</v>
      </c>
      <c r="C230" s="19">
        <f t="shared" si="7"/>
        <v>132.99484499359443</v>
      </c>
      <c r="D230" s="19">
        <f>Monthly_payment($B$1,$D$1,$B$3)*'PSA&amp;CPR'!M229</f>
        <v>313.08575580337185</v>
      </c>
      <c r="E230" s="19">
        <f>Principle_portion_of_payment($B$1,$D$1,A230,$B$3)*'PSA&amp;CPR'!M229</f>
        <v>180.09091080977748</v>
      </c>
      <c r="F230" s="19">
        <f>Interest_portion_of_payment($B$1,$D$1,A230,$B$3)*'PSA&amp;CPR'!M229</f>
        <v>132.99484499359446</v>
      </c>
      <c r="G230" s="19">
        <f>(B230-E230)*'PSA&amp;CPR'!F230</f>
        <v>80.459076173811908</v>
      </c>
      <c r="H230" s="19">
        <f>Remaining_balance($B$1,$D$1,A230,$B$3)*'PSA&amp;CPR'!M230</f>
        <v>31658.212811479079</v>
      </c>
    </row>
    <row r="231" spans="1:8">
      <c r="A231">
        <f>'PSA&amp;CPR'!A231</f>
        <v>229</v>
      </c>
      <c r="B231" s="19">
        <f t="shared" si="6"/>
        <v>31658.212811479079</v>
      </c>
      <c r="C231" s="19">
        <f t="shared" si="7"/>
        <v>131.90922004782951</v>
      </c>
      <c r="D231" s="19">
        <f>Monthly_payment($B$1,$D$1,$B$3)*'PSA&amp;CPR'!M230</f>
        <v>312.29206819211055</v>
      </c>
      <c r="E231" s="19">
        <f>Principle_portion_of_payment($B$1,$D$1,A231,$B$3)*'PSA&amp;CPR'!M230</f>
        <v>180.3828481442811</v>
      </c>
      <c r="F231" s="19">
        <f>Interest_portion_of_payment($B$1,$D$1,A231,$B$3)*'PSA&amp;CPR'!M230</f>
        <v>131.90922004782951</v>
      </c>
      <c r="G231" s="19">
        <f>(B231-E231)*'PSA&amp;CPR'!F231</f>
        <v>79.797829215138847</v>
      </c>
      <c r="H231" s="19">
        <f>Remaining_balance($B$1,$D$1,A231,$B$3)*'PSA&amp;CPR'!M231</f>
        <v>31398.032134119661</v>
      </c>
    </row>
    <row r="232" spans="1:8">
      <c r="A232">
        <f>'PSA&amp;CPR'!A232</f>
        <v>230</v>
      </c>
      <c r="B232" s="19">
        <f t="shared" si="6"/>
        <v>31398.032134119661</v>
      </c>
      <c r="C232" s="19">
        <f t="shared" si="7"/>
        <v>130.82513389216524</v>
      </c>
      <c r="D232" s="19">
        <f>Monthly_payment($B$1,$D$1,$B$3)*'PSA&amp;CPR'!M231</f>
        <v>311.50039261752795</v>
      </c>
      <c r="E232" s="19">
        <f>Principle_portion_of_payment($B$1,$D$1,A232,$B$3)*'PSA&amp;CPR'!M231</f>
        <v>180.67525872536274</v>
      </c>
      <c r="F232" s="19">
        <f>Interest_portion_of_payment($B$1,$D$1,A232,$B$3)*'PSA&amp;CPR'!M231</f>
        <v>130.82513389216527</v>
      </c>
      <c r="G232" s="19">
        <f>(B232-E232)*'PSA&amp;CPR'!F232</f>
        <v>79.137517274613515</v>
      </c>
      <c r="H232" s="19">
        <f>Remaining_balance($B$1,$D$1,A232,$B$3)*'PSA&amp;CPR'!M232</f>
        <v>31138.219358119684</v>
      </c>
    </row>
    <row r="233" spans="1:8">
      <c r="A233">
        <f>'PSA&amp;CPR'!A233</f>
        <v>231</v>
      </c>
      <c r="B233" s="19">
        <f t="shared" si="6"/>
        <v>31138.219358119684</v>
      </c>
      <c r="C233" s="19">
        <f t="shared" si="7"/>
        <v>129.74258065883203</v>
      </c>
      <c r="D233" s="19">
        <f>Monthly_payment($B$1,$D$1,$B$3)*'PSA&amp;CPR'!M232</f>
        <v>310.71072397901332</v>
      </c>
      <c r="E233" s="19">
        <f>Principle_portion_of_payment($B$1,$D$1,A233,$B$3)*'PSA&amp;CPR'!M232</f>
        <v>180.9681433201813</v>
      </c>
      <c r="F233" s="19">
        <f>Interest_portion_of_payment($B$1,$D$1,A233,$B$3)*'PSA&amp;CPR'!M232</f>
        <v>129.74258065883203</v>
      </c>
      <c r="G233" s="19">
        <f>(B233-E233)*'PSA&amp;CPR'!F233</f>
        <v>78.478136780271612</v>
      </c>
      <c r="H233" s="19">
        <f>Remaining_balance($B$1,$D$1,A233,$B$3)*'PSA&amp;CPR'!M233</f>
        <v>30878.773078019232</v>
      </c>
    </row>
    <row r="234" spans="1:8">
      <c r="A234">
        <f>'PSA&amp;CPR'!A234</f>
        <v>232</v>
      </c>
      <c r="B234" s="19">
        <f t="shared" si="6"/>
        <v>30878.773078019232</v>
      </c>
      <c r="C234" s="19">
        <f t="shared" si="7"/>
        <v>128.66155449174681</v>
      </c>
      <c r="D234" s="19">
        <f>Monthly_payment($B$1,$D$1,$B$3)*'PSA&amp;CPR'!M233</f>
        <v>309.9230571888861</v>
      </c>
      <c r="E234" s="19">
        <f>Principle_portion_of_payment($B$1,$D$1,A234,$B$3)*'PSA&amp;CPR'!M233</f>
        <v>181.26150269713938</v>
      </c>
      <c r="F234" s="19">
        <f>Interest_portion_of_payment($B$1,$D$1,A234,$B$3)*'PSA&amp;CPR'!M233</f>
        <v>128.66155449174678</v>
      </c>
      <c r="G234" s="19">
        <f>(B234-E234)*'PSA&amp;CPR'!F234</f>
        <v>77.819684167255957</v>
      </c>
      <c r="H234" s="19">
        <f>Remaining_balance($B$1,$D$1,A234,$B$3)*'PSA&amp;CPR'!M234</f>
        <v>30619.691891154838</v>
      </c>
    </row>
    <row r="235" spans="1:8">
      <c r="A235">
        <f>'PSA&amp;CPR'!A235</f>
        <v>233</v>
      </c>
      <c r="B235" s="19">
        <f t="shared" si="6"/>
        <v>30619.691891154838</v>
      </c>
      <c r="C235" s="19">
        <f t="shared" si="7"/>
        <v>127.58204954647849</v>
      </c>
      <c r="D235" s="19">
        <f>Monthly_payment($B$1,$D$1,$B$3)*'PSA&amp;CPR'!M234</f>
        <v>309.13738717236339</v>
      </c>
      <c r="E235" s="19">
        <f>Principle_portion_of_payment($B$1,$D$1,A235,$B$3)*'PSA&amp;CPR'!M234</f>
        <v>181.55533762588499</v>
      </c>
      <c r="F235" s="19">
        <f>Interest_portion_of_payment($B$1,$D$1,A235,$B$3)*'PSA&amp;CPR'!M234</f>
        <v>127.5820495464785</v>
      </c>
      <c r="G235" s="19">
        <f>(B235-E235)*'PSA&amp;CPR'!F235</f>
        <v>77.162155877795385</v>
      </c>
      <c r="H235" s="19">
        <f>Remaining_balance($B$1,$D$1,A235,$B$3)*'PSA&amp;CPR'!M235</f>
        <v>30360.97439765116</v>
      </c>
    </row>
    <row r="236" spans="1:8">
      <c r="A236">
        <f>'PSA&amp;CPR'!A236</f>
        <v>234</v>
      </c>
      <c r="B236" s="19">
        <f t="shared" si="6"/>
        <v>30360.97439765116</v>
      </c>
      <c r="C236" s="19">
        <f t="shared" si="7"/>
        <v>126.50405999021316</v>
      </c>
      <c r="D236" s="19">
        <f>Monthly_payment($B$1,$D$1,$B$3)*'PSA&amp;CPR'!M235</f>
        <v>308.35370886752696</v>
      </c>
      <c r="E236" s="19">
        <f>Principle_portion_of_payment($B$1,$D$1,A236,$B$3)*'PSA&amp;CPR'!M235</f>
        <v>181.84964887731385</v>
      </c>
      <c r="F236" s="19">
        <f>Interest_portion_of_payment($B$1,$D$1,A236,$B$3)*'PSA&amp;CPR'!M235</f>
        <v>126.50405999021316</v>
      </c>
      <c r="G236" s="19">
        <f>(B236-E236)*'PSA&amp;CPR'!F236</f>
        <v>76.505548361183628</v>
      </c>
      <c r="H236" s="19">
        <f>Remaining_balance($B$1,$D$1,A236,$B$3)*'PSA&amp;CPR'!M236</f>
        <v>30102.619200412664</v>
      </c>
    </row>
    <row r="237" spans="1:8">
      <c r="A237">
        <f>'PSA&amp;CPR'!A237</f>
        <v>235</v>
      </c>
      <c r="B237" s="19">
        <f t="shared" si="6"/>
        <v>30102.619200412664</v>
      </c>
      <c r="C237" s="19">
        <f t="shared" si="7"/>
        <v>125.42758000171943</v>
      </c>
      <c r="D237" s="19">
        <f>Monthly_payment($B$1,$D$1,$B$3)*'PSA&amp;CPR'!M236</f>
        <v>307.57201722529095</v>
      </c>
      <c r="E237" s="19">
        <f>Principle_portion_of_payment($B$1,$D$1,A237,$B$3)*'PSA&amp;CPR'!M236</f>
        <v>182.14443722357157</v>
      </c>
      <c r="F237" s="19">
        <f>Interest_portion_of_payment($B$1,$D$1,A237,$B$3)*'PSA&amp;CPR'!M236</f>
        <v>125.42758000171943</v>
      </c>
      <c r="G237" s="19">
        <f>(B237-E237)*'PSA&amp;CPR'!F237</f>
        <v>75.849858073758114</v>
      </c>
      <c r="H237" s="19">
        <f>Remaining_balance($B$1,$D$1,A237,$B$3)*'PSA&amp;CPR'!M237</f>
        <v>29844.624905115328</v>
      </c>
    </row>
    <row r="238" spans="1:8">
      <c r="A238">
        <f>'PSA&amp;CPR'!A238</f>
        <v>236</v>
      </c>
      <c r="B238" s="19">
        <f t="shared" si="6"/>
        <v>29844.624905115328</v>
      </c>
      <c r="C238" s="19">
        <f t="shared" si="7"/>
        <v>124.35260377131387</v>
      </c>
      <c r="D238" s="19">
        <f>Monthly_payment($B$1,$D$1,$B$3)*'PSA&amp;CPR'!M237</f>
        <v>306.79230720936903</v>
      </c>
      <c r="E238" s="19">
        <f>Principle_portion_of_payment($B$1,$D$1,A238,$B$3)*'PSA&amp;CPR'!M237</f>
        <v>182.4397034380552</v>
      </c>
      <c r="F238" s="19">
        <f>Interest_portion_of_payment($B$1,$D$1,A238,$B$3)*'PSA&amp;CPR'!M237</f>
        <v>124.35260377131387</v>
      </c>
      <c r="G238" s="19">
        <f>(B238-E238)*'PSA&amp;CPR'!F238</f>
        <v>75.195081478879089</v>
      </c>
      <c r="H238" s="19">
        <f>Remaining_balance($B$1,$D$1,A238,$B$3)*'PSA&amp;CPR'!M238</f>
        <v>29586.990120198396</v>
      </c>
    </row>
    <row r="239" spans="1:8">
      <c r="A239">
        <f>'PSA&amp;CPR'!A239</f>
        <v>237</v>
      </c>
      <c r="B239" s="19">
        <f t="shared" si="6"/>
        <v>29586.990120198396</v>
      </c>
      <c r="C239" s="19">
        <f t="shared" si="7"/>
        <v>123.27912550082665</v>
      </c>
      <c r="D239" s="19">
        <f>Monthly_payment($B$1,$D$1,$B$3)*'PSA&amp;CPR'!M238</f>
        <v>306.01457379624213</v>
      </c>
      <c r="E239" s="19">
        <f>Principle_portion_of_payment($B$1,$D$1,A239,$B$3)*'PSA&amp;CPR'!M238</f>
        <v>182.73544829541555</v>
      </c>
      <c r="F239" s="19">
        <f>Interest_portion_of_payment($B$1,$D$1,A239,$B$3)*'PSA&amp;CPR'!M238</f>
        <v>123.27912550082662</v>
      </c>
      <c r="G239" s="19">
        <f>(B239-E239)*'PSA&amp;CPR'!F239</f>
        <v>74.541215046908604</v>
      </c>
      <c r="H239" s="19">
        <f>Remaining_balance($B$1,$D$1,A239,$B$3)*'PSA&amp;CPR'!M239</f>
        <v>29329.713456856069</v>
      </c>
    </row>
    <row r="240" spans="1:8">
      <c r="A240">
        <f>'PSA&amp;CPR'!A240</f>
        <v>238</v>
      </c>
      <c r="B240" s="19">
        <f t="shared" si="6"/>
        <v>29329.713456856069</v>
      </c>
      <c r="C240" s="19">
        <f t="shared" si="7"/>
        <v>122.20713940356696</v>
      </c>
      <c r="D240" s="19">
        <f>Monthly_payment($B$1,$D$1,$B$3)*'PSA&amp;CPR'!M239</f>
        <v>305.23881197512611</v>
      </c>
      <c r="E240" s="19">
        <f>Principle_portion_of_payment($B$1,$D$1,A240,$B$3)*'PSA&amp;CPR'!M239</f>
        <v>183.03167257155923</v>
      </c>
      <c r="F240" s="19">
        <f>Interest_portion_of_payment($B$1,$D$1,A240,$B$3)*'PSA&amp;CPR'!M239</f>
        <v>122.20713940356696</v>
      </c>
      <c r="G240" s="19">
        <f>(B240-E240)*'PSA&amp;CPR'!F240</f>
        <v>73.888255255189478</v>
      </c>
      <c r="H240" s="19">
        <f>Remaining_balance($B$1,$D$1,A240,$B$3)*'PSA&amp;CPR'!M240</f>
        <v>29072.793529029324</v>
      </c>
    </row>
    <row r="241" spans="1:8">
      <c r="A241">
        <f>'PSA&amp;CPR'!A241</f>
        <v>239</v>
      </c>
      <c r="B241" s="19">
        <f t="shared" si="6"/>
        <v>29072.793529029324</v>
      </c>
      <c r="C241" s="19">
        <f t="shared" si="7"/>
        <v>121.13663970428885</v>
      </c>
      <c r="D241" s="19">
        <f>Monthly_payment($B$1,$D$1,$B$3)*'PSA&amp;CPR'!M240</f>
        <v>304.46501674793944</v>
      </c>
      <c r="E241" s="19">
        <f>Principle_portion_of_payment($B$1,$D$1,A241,$B$3)*'PSA&amp;CPR'!M240</f>
        <v>183.32837704365062</v>
      </c>
      <c r="F241" s="19">
        <f>Interest_portion_of_payment($B$1,$D$1,A241,$B$3)*'PSA&amp;CPR'!M240</f>
        <v>121.13663970428884</v>
      </c>
      <c r="G241" s="19">
        <f>(B241-E241)*'PSA&amp;CPR'!F241</f>
        <v>73.236198588024578</v>
      </c>
      <c r="H241" s="19">
        <f>Remaining_balance($B$1,$D$1,A241,$B$3)*'PSA&amp;CPR'!M241</f>
        <v>28816.228953397651</v>
      </c>
    </row>
    <row r="242" spans="1:8">
      <c r="A242">
        <f>'PSA&amp;CPR'!A242</f>
        <v>240</v>
      </c>
      <c r="B242" s="19">
        <f t="shared" si="6"/>
        <v>28816.228953397651</v>
      </c>
      <c r="C242" s="19">
        <f t="shared" si="7"/>
        <v>120.06762063915687</v>
      </c>
      <c r="D242" s="19">
        <f>Monthly_payment($B$1,$D$1,$B$3)*'PSA&amp;CPR'!M241</f>
        <v>303.69318312927084</v>
      </c>
      <c r="E242" s="19">
        <f>Principle_portion_of_payment($B$1,$D$1,A242,$B$3)*'PSA&amp;CPR'!M241</f>
        <v>183.62556249011402</v>
      </c>
      <c r="F242" s="19">
        <f>Interest_portion_of_payment($B$1,$D$1,A242,$B$3)*'PSA&amp;CPR'!M241</f>
        <v>120.06762063915687</v>
      </c>
      <c r="G242" s="19">
        <f>(B242-E242)*'PSA&amp;CPR'!F242</f>
        <v>72.585041536655808</v>
      </c>
      <c r="H242" s="19">
        <f>Remaining_balance($B$1,$D$1,A242,$B$3)*'PSA&amp;CPR'!M242</f>
        <v>28560.018349370879</v>
      </c>
    </row>
    <row r="243" spans="1:8">
      <c r="A243">
        <f>'PSA&amp;CPR'!A243</f>
        <v>241</v>
      </c>
      <c r="B243" s="19">
        <f t="shared" si="6"/>
        <v>28560.018349370879</v>
      </c>
      <c r="C243" s="19">
        <f t="shared" si="7"/>
        <v>119.00007645571199</v>
      </c>
      <c r="D243" s="19">
        <f>Monthly_payment($B$1,$D$1,$B$3)*'PSA&amp;CPR'!M242</f>
        <v>302.92330614634733</v>
      </c>
      <c r="E243" s="19">
        <f>Principle_portion_of_payment($B$1,$D$1,A243,$B$3)*'PSA&amp;CPR'!M242</f>
        <v>183.92322969063537</v>
      </c>
      <c r="F243" s="19">
        <f>Interest_portion_of_payment($B$1,$D$1,A243,$B$3)*'PSA&amp;CPR'!M242</f>
        <v>119.00007645571198</v>
      </c>
      <c r="G243" s="19">
        <f>(B243-E243)*'PSA&amp;CPR'!F243</f>
        <v>71.93478059924341</v>
      </c>
      <c r="H243" s="19">
        <f>Remaining_balance($B$1,$D$1,A243,$B$3)*'PSA&amp;CPR'!M243</f>
        <v>28304.160339081005</v>
      </c>
    </row>
    <row r="244" spans="1:8">
      <c r="A244">
        <f>'PSA&amp;CPR'!A244</f>
        <v>242</v>
      </c>
      <c r="B244" s="19">
        <f t="shared" si="6"/>
        <v>28304.160339081005</v>
      </c>
      <c r="C244" s="19">
        <f t="shared" si="7"/>
        <v>117.93400141283752</v>
      </c>
      <c r="D244" s="19">
        <f>Monthly_payment($B$1,$D$1,$B$3)*'PSA&amp;CPR'!M243</f>
        <v>302.15538083900219</v>
      </c>
      <c r="E244" s="19">
        <f>Principle_portion_of_payment($B$1,$D$1,A244,$B$3)*'PSA&amp;CPR'!M243</f>
        <v>184.22137942616467</v>
      </c>
      <c r="F244" s="19">
        <f>Interest_portion_of_payment($B$1,$D$1,A244,$B$3)*'PSA&amp;CPR'!M243</f>
        <v>117.9340014128375</v>
      </c>
      <c r="G244" s="19">
        <f>(B244-E244)*'PSA&amp;CPR'!F244</f>
        <v>71.285412280845279</v>
      </c>
      <c r="H244" s="19">
        <f>Remaining_balance($B$1,$D$1,A244,$B$3)*'PSA&amp;CPR'!M244</f>
        <v>28048.65354737399</v>
      </c>
    </row>
    <row r="245" spans="1:8">
      <c r="A245">
        <f>'PSA&amp;CPR'!A245</f>
        <v>243</v>
      </c>
      <c r="B245" s="19">
        <f t="shared" si="6"/>
        <v>28048.65354737399</v>
      </c>
      <c r="C245" s="19">
        <f t="shared" si="7"/>
        <v>116.86938978072496</v>
      </c>
      <c r="D245" s="19">
        <f>Monthly_payment($B$1,$D$1,$B$3)*'PSA&amp;CPR'!M244</f>
        <v>301.38940225964296</v>
      </c>
      <c r="E245" s="19">
        <f>Principle_portion_of_payment($B$1,$D$1,A245,$B$3)*'PSA&amp;CPR'!M244</f>
        <v>184.52001247891803</v>
      </c>
      <c r="F245" s="19">
        <f>Interest_portion_of_payment($B$1,$D$1,A245,$B$3)*'PSA&amp;CPR'!M244</f>
        <v>116.86938978072496</v>
      </c>
      <c r="G245" s="19">
        <f>(B245-E245)*'PSA&amp;CPR'!F245</f>
        <v>70.636933093396124</v>
      </c>
      <c r="H245" s="19">
        <f>Remaining_balance($B$1,$D$1,A245,$B$3)*'PSA&amp;CPR'!M245</f>
        <v>27793.496601801675</v>
      </c>
    </row>
    <row r="246" spans="1:8">
      <c r="A246">
        <f>'PSA&amp;CPR'!A246</f>
        <v>244</v>
      </c>
      <c r="B246" s="19">
        <f t="shared" si="6"/>
        <v>27793.496601801675</v>
      </c>
      <c r="C246" s="19">
        <f t="shared" si="7"/>
        <v>115.80623584084032</v>
      </c>
      <c r="D246" s="19">
        <f>Monthly_payment($B$1,$D$1,$B$3)*'PSA&amp;CPR'!M245</f>
        <v>300.62536547321957</v>
      </c>
      <c r="E246" s="19">
        <f>Principle_portion_of_payment($B$1,$D$1,A246,$B$3)*'PSA&amp;CPR'!M245</f>
        <v>184.81912963237932</v>
      </c>
      <c r="F246" s="19">
        <f>Interest_portion_of_payment($B$1,$D$1,A246,$B$3)*'PSA&amp;CPR'!M245</f>
        <v>115.8062358408403</v>
      </c>
      <c r="G246" s="19">
        <f>(B246-E246)*'PSA&amp;CPR'!F246</f>
        <v>69.989339555686968</v>
      </c>
      <c r="H246" s="19">
        <f>Remaining_balance($B$1,$D$1,A246,$B$3)*'PSA&amp;CPR'!M246</f>
        <v>27538.688132613606</v>
      </c>
    </row>
    <row r="247" spans="1:8">
      <c r="A247">
        <f>'PSA&amp;CPR'!A247</f>
        <v>245</v>
      </c>
      <c r="B247" s="19">
        <f t="shared" si="6"/>
        <v>27538.688132613606</v>
      </c>
      <c r="C247" s="19">
        <f t="shared" si="7"/>
        <v>114.74453388589002</v>
      </c>
      <c r="D247" s="19">
        <f>Monthly_payment($B$1,$D$1,$B$3)*'PSA&amp;CPR'!M246</f>
        <v>299.86326555719251</v>
      </c>
      <c r="E247" s="19">
        <f>Principle_portion_of_payment($B$1,$D$1,A247,$B$3)*'PSA&amp;CPR'!M246</f>
        <v>185.11873167130253</v>
      </c>
      <c r="F247" s="19">
        <f>Interest_portion_of_payment($B$1,$D$1,A247,$B$3)*'PSA&amp;CPR'!M246</f>
        <v>114.74453388589002</v>
      </c>
      <c r="G247" s="19">
        <f>(B247-E247)*'PSA&amp;CPR'!F247</f>
        <v>69.342628193344424</v>
      </c>
      <c r="H247" s="19">
        <f>Remaining_balance($B$1,$D$1,A247,$B$3)*'PSA&amp;CPR'!M247</f>
        <v>27284.226772748963</v>
      </c>
    </row>
    <row r="248" spans="1:8">
      <c r="A248">
        <f>'PSA&amp;CPR'!A248</f>
        <v>246</v>
      </c>
      <c r="B248" s="19">
        <f t="shared" si="6"/>
        <v>27284.226772748963</v>
      </c>
      <c r="C248" s="19">
        <f t="shared" si="7"/>
        <v>113.68427821978734</v>
      </c>
      <c r="D248" s="19">
        <f>Monthly_payment($B$1,$D$1,$B$3)*'PSA&amp;CPR'!M247</f>
        <v>299.10309760150125</v>
      </c>
      <c r="E248" s="19">
        <f>Principle_portion_of_payment($B$1,$D$1,A248,$B$3)*'PSA&amp;CPR'!M247</f>
        <v>185.41881938171392</v>
      </c>
      <c r="F248" s="19">
        <f>Interest_portion_of_payment($B$1,$D$1,A248,$B$3)*'PSA&amp;CPR'!M247</f>
        <v>113.68427821978734</v>
      </c>
      <c r="G248" s="19">
        <f>(B248-E248)*'PSA&amp;CPR'!F248</f>
        <v>68.696795538810264</v>
      </c>
      <c r="H248" s="19">
        <f>Remaining_balance($B$1,$D$1,A248,$B$3)*'PSA&amp;CPR'!M248</f>
        <v>27030.11115782844</v>
      </c>
    </row>
    <row r="249" spans="1:8">
      <c r="A249">
        <f>'PSA&amp;CPR'!A249</f>
        <v>247</v>
      </c>
      <c r="B249" s="19">
        <f t="shared" si="6"/>
        <v>27030.11115782844</v>
      </c>
      <c r="C249" s="19">
        <f t="shared" si="7"/>
        <v>112.6254631576185</v>
      </c>
      <c r="D249" s="19">
        <f>Monthly_payment($B$1,$D$1,$B$3)*'PSA&amp;CPR'!M248</f>
        <v>298.34485670853229</v>
      </c>
      <c r="E249" s="19">
        <f>Principle_portion_of_payment($B$1,$D$1,A249,$B$3)*'PSA&amp;CPR'!M248</f>
        <v>185.71939355091382</v>
      </c>
      <c r="F249" s="19">
        <f>Interest_portion_of_payment($B$1,$D$1,A249,$B$3)*'PSA&amp;CPR'!M248</f>
        <v>112.6254631576185</v>
      </c>
      <c r="G249" s="19">
        <f>(B249-E249)*'PSA&amp;CPR'!F249</f>
        <v>68.05183813132075</v>
      </c>
      <c r="H249" s="19">
        <f>Remaining_balance($B$1,$D$1,A249,$B$3)*'PSA&amp;CPR'!M249</f>
        <v>26776.339926146204</v>
      </c>
    </row>
    <row r="250" spans="1:8">
      <c r="A250">
        <f>'PSA&amp;CPR'!A250</f>
        <v>248</v>
      </c>
      <c r="B250" s="19">
        <f t="shared" si="6"/>
        <v>26776.339926146204</v>
      </c>
      <c r="C250" s="19">
        <f t="shared" si="7"/>
        <v>111.56808302560918</v>
      </c>
      <c r="D250" s="19">
        <f>Monthly_payment($B$1,$D$1,$B$3)*'PSA&amp;CPR'!M249</f>
        <v>297.58853799308804</v>
      </c>
      <c r="E250" s="19">
        <f>Principle_portion_of_payment($B$1,$D$1,A250,$B$3)*'PSA&amp;CPR'!M249</f>
        <v>186.02045496747888</v>
      </c>
      <c r="F250" s="19">
        <f>Interest_portion_of_payment($B$1,$D$1,A250,$B$3)*'PSA&amp;CPR'!M249</f>
        <v>111.56808302560918</v>
      </c>
      <c r="G250" s="19">
        <f>(B250-E250)*'PSA&amp;CPR'!F250</f>
        <v>67.407752516886319</v>
      </c>
      <c r="H250" s="19">
        <f>Remaining_balance($B$1,$D$1,A250,$B$3)*'PSA&amp;CPR'!M250</f>
        <v>26522.911718661846</v>
      </c>
    </row>
    <row r="251" spans="1:8">
      <c r="A251">
        <f>'PSA&amp;CPR'!A251</f>
        <v>249</v>
      </c>
      <c r="B251" s="19">
        <f t="shared" si="6"/>
        <v>26522.911718661846</v>
      </c>
      <c r="C251" s="19">
        <f t="shared" si="7"/>
        <v>110.51213216109102</v>
      </c>
      <c r="D251" s="19">
        <f>Monthly_payment($B$1,$D$1,$B$3)*'PSA&amp;CPR'!M250</f>
        <v>296.83413658235497</v>
      </c>
      <c r="E251" s="19">
        <f>Principle_portion_of_payment($B$1,$D$1,A251,$B$3)*'PSA&amp;CPR'!M250</f>
        <v>186.32200442126396</v>
      </c>
      <c r="F251" s="19">
        <f>Interest_portion_of_payment($B$1,$D$1,A251,$B$3)*'PSA&amp;CPR'!M250</f>
        <v>110.51213216109102</v>
      </c>
      <c r="G251" s="19">
        <f>(B251-E251)*'PSA&amp;CPR'!F251</f>
        <v>66.764535248271159</v>
      </c>
      <c r="H251" s="19">
        <f>Remaining_balance($B$1,$D$1,A251,$B$3)*'PSA&amp;CPR'!M251</f>
        <v>26269.825178992309</v>
      </c>
    </row>
    <row r="252" spans="1:8">
      <c r="A252">
        <f>'PSA&amp;CPR'!A252</f>
        <v>250</v>
      </c>
      <c r="B252" s="19">
        <f t="shared" si="6"/>
        <v>26269.825178992309</v>
      </c>
      <c r="C252" s="19">
        <f t="shared" si="7"/>
        <v>109.45760491246796</v>
      </c>
      <c r="D252" s="19">
        <f>Monthly_payment($B$1,$D$1,$B$3)*'PSA&amp;CPR'!M251</f>
        <v>296.0816476158725</v>
      </c>
      <c r="E252" s="19">
        <f>Principle_portion_of_payment($B$1,$D$1,A252,$B$3)*'PSA&amp;CPR'!M251</f>
        <v>186.6240427034046</v>
      </c>
      <c r="F252" s="19">
        <f>Interest_portion_of_payment($B$1,$D$1,A252,$B$3)*'PSA&amp;CPR'!M251</f>
        <v>109.45760491246797</v>
      </c>
      <c r="G252" s="19">
        <f>(B252-E252)*'PSA&amp;CPR'!F252</f>
        <v>66.122182884972702</v>
      </c>
      <c r="H252" s="19">
        <f>Remaining_balance($B$1,$D$1,A252,$B$3)*'PSA&amp;CPR'!M252</f>
        <v>26017.078953403936</v>
      </c>
    </row>
    <row r="253" spans="1:8">
      <c r="A253">
        <f>'PSA&amp;CPR'!A253</f>
        <v>251</v>
      </c>
      <c r="B253" s="19">
        <f t="shared" si="6"/>
        <v>26017.078953403936</v>
      </c>
      <c r="C253" s="19">
        <f t="shared" si="7"/>
        <v>108.40449563918307</v>
      </c>
      <c r="D253" s="19">
        <f>Monthly_payment($B$1,$D$1,$B$3)*'PSA&amp;CPR'!M252</f>
        <v>295.3310662455014</v>
      </c>
      <c r="E253" s="19">
        <f>Principle_portion_of_payment($B$1,$D$1,A253,$B$3)*'PSA&amp;CPR'!M252</f>
        <v>186.92657060631836</v>
      </c>
      <c r="F253" s="19">
        <f>Interest_portion_of_payment($B$1,$D$1,A253,$B$3)*'PSA&amp;CPR'!M252</f>
        <v>108.40449563918305</v>
      </c>
      <c r="G253" s="19">
        <f>(B253-E253)*'PSA&amp;CPR'!F253</f>
        <v>65.480691993201518</v>
      </c>
      <c r="H253" s="19">
        <f>Remaining_balance($B$1,$D$1,A253,$B$3)*'PSA&amp;CPR'!M253</f>
        <v>25764.671690804418</v>
      </c>
    </row>
    <row r="254" spans="1:8">
      <c r="A254">
        <f>'PSA&amp;CPR'!A254</f>
        <v>252</v>
      </c>
      <c r="B254" s="19">
        <f t="shared" si="6"/>
        <v>25764.671690804418</v>
      </c>
      <c r="C254" s="19">
        <f t="shared" si="7"/>
        <v>107.35279871168507</v>
      </c>
      <c r="D254" s="19">
        <f>Monthly_payment($B$1,$D$1,$B$3)*'PSA&amp;CPR'!M253</f>
        <v>294.58238763539282</v>
      </c>
      <c r="E254" s="19">
        <f>Principle_portion_of_payment($B$1,$D$1,A254,$B$3)*'PSA&amp;CPR'!M253</f>
        <v>187.22958892370778</v>
      </c>
      <c r="F254" s="19">
        <f>Interest_portion_of_payment($B$1,$D$1,A254,$B$3)*'PSA&amp;CPR'!M253</f>
        <v>107.35279871168507</v>
      </c>
      <c r="G254" s="19">
        <f>(B254-E254)*'PSA&amp;CPR'!F254</f>
        <v>64.840059145860835</v>
      </c>
      <c r="H254" s="19">
        <f>Remaining_balance($B$1,$D$1,A254,$B$3)*'PSA&amp;CPR'!M254</f>
        <v>25512.602042734849</v>
      </c>
    </row>
    <row r="255" spans="1:8">
      <c r="A255">
        <f>'PSA&amp;CPR'!A255</f>
        <v>253</v>
      </c>
      <c r="B255" s="19">
        <f t="shared" si="6"/>
        <v>25512.602042734849</v>
      </c>
      <c r="C255" s="19">
        <f t="shared" si="7"/>
        <v>106.3025085113952</v>
      </c>
      <c r="D255" s="19">
        <f>Monthly_payment($B$1,$D$1,$B$3)*'PSA&amp;CPR'!M254</f>
        <v>293.83560696195701</v>
      </c>
      <c r="E255" s="19">
        <f>Principle_portion_of_payment($B$1,$D$1,A255,$B$3)*'PSA&amp;CPR'!M254</f>
        <v>187.53309845056182</v>
      </c>
      <c r="F255" s="19">
        <f>Interest_portion_of_payment($B$1,$D$1,A255,$B$3)*'PSA&amp;CPR'!M254</f>
        <v>106.30250851139519</v>
      </c>
      <c r="G255" s="19">
        <f>(B255-E255)*'PSA&amp;CPR'!F255</f>
        <v>64.200280922526431</v>
      </c>
      <c r="H255" s="19">
        <f>Remaining_balance($B$1,$D$1,A255,$B$3)*'PSA&amp;CPR'!M255</f>
        <v>25260.868663361762</v>
      </c>
    </row>
    <row r="256" spans="1:8">
      <c r="A256">
        <f>'PSA&amp;CPR'!A256</f>
        <v>254</v>
      </c>
      <c r="B256" s="19">
        <f t="shared" si="6"/>
        <v>25260.868663361762</v>
      </c>
      <c r="C256" s="19">
        <f t="shared" si="7"/>
        <v>105.25361943067401</v>
      </c>
      <c r="D256" s="19">
        <f>Monthly_payment($B$1,$D$1,$B$3)*'PSA&amp;CPR'!M255</f>
        <v>293.09071941383223</v>
      </c>
      <c r="E256" s="19">
        <f>Principle_portion_of_payment($B$1,$D$1,A256,$B$3)*'PSA&amp;CPR'!M255</f>
        <v>187.83709998315825</v>
      </c>
      <c r="F256" s="19">
        <f>Interest_portion_of_payment($B$1,$D$1,A256,$B$3)*'PSA&amp;CPR'!M255</f>
        <v>105.25361943067399</v>
      </c>
      <c r="G256" s="19">
        <f>(B256-E256)*'PSA&amp;CPR'!F256</f>
        <v>63.561353909426458</v>
      </c>
      <c r="H256" s="19">
        <f>Remaining_balance($B$1,$D$1,A256,$B$3)*'PSA&amp;CPR'!M256</f>
        <v>25009.470209469167</v>
      </c>
    </row>
    <row r="257" spans="1:8">
      <c r="A257">
        <f>'PSA&amp;CPR'!A257</f>
        <v>255</v>
      </c>
      <c r="B257" s="19">
        <f t="shared" si="6"/>
        <v>25009.470209469167</v>
      </c>
      <c r="C257" s="19">
        <f t="shared" si="7"/>
        <v>104.20612587278819</v>
      </c>
      <c r="D257" s="19">
        <f>Monthly_payment($B$1,$D$1,$B$3)*'PSA&amp;CPR'!M256</f>
        <v>292.3477201918538</v>
      </c>
      <c r="E257" s="19">
        <f>Principle_portion_of_payment($B$1,$D$1,A257,$B$3)*'PSA&amp;CPR'!M256</f>
        <v>188.14159431906558</v>
      </c>
      <c r="F257" s="19">
        <f>Interest_portion_of_payment($B$1,$D$1,A257,$B$3)*'PSA&amp;CPR'!M256</f>
        <v>104.20612587278821</v>
      </c>
      <c r="G257" s="19">
        <f>(B257-E257)*'PSA&amp;CPR'!F257</f>
        <v>62.923274699421178</v>
      </c>
      <c r="H257" s="19">
        <f>Remaining_balance($B$1,$D$1,A257,$B$3)*'PSA&amp;CPR'!M257</f>
        <v>24758.405340450689</v>
      </c>
    </row>
    <row r="258" spans="1:8">
      <c r="A258">
        <f>'PSA&amp;CPR'!A258</f>
        <v>256</v>
      </c>
      <c r="B258" s="19">
        <f t="shared" si="6"/>
        <v>24758.405340450689</v>
      </c>
      <c r="C258" s="19">
        <f t="shared" si="7"/>
        <v>103.16002225187786</v>
      </c>
      <c r="D258" s="19">
        <f>Monthly_payment($B$1,$D$1,$B$3)*'PSA&amp;CPR'!M257</f>
        <v>291.6066045090231</v>
      </c>
      <c r="E258" s="19">
        <f>Principle_portion_of_payment($B$1,$D$1,A258,$B$3)*'PSA&amp;CPR'!M257</f>
        <v>188.44658225714525</v>
      </c>
      <c r="F258" s="19">
        <f>Interest_portion_of_payment($B$1,$D$1,A258,$B$3)*'PSA&amp;CPR'!M257</f>
        <v>103.16002225187786</v>
      </c>
      <c r="G258" s="19">
        <f>(B258-E258)*'PSA&amp;CPR'!F258</f>
        <v>62.286039891983137</v>
      </c>
      <c r="H258" s="19">
        <f>Remaining_balance($B$1,$D$1,A258,$B$3)*'PSA&amp;CPR'!M258</f>
        <v>24507.672718301554</v>
      </c>
    </row>
    <row r="259" spans="1:8">
      <c r="A259">
        <f>'PSA&amp;CPR'!A259</f>
        <v>257</v>
      </c>
      <c r="B259" s="19">
        <f t="shared" si="6"/>
        <v>24507.672718301554</v>
      </c>
      <c r="C259" s="19">
        <f t="shared" si="7"/>
        <v>102.11530299292313</v>
      </c>
      <c r="D259" s="19">
        <f>Monthly_payment($B$1,$D$1,$B$3)*'PSA&amp;CPR'!M258</f>
        <v>290.86736759047687</v>
      </c>
      <c r="E259" s="19">
        <f>Principle_portion_of_payment($B$1,$D$1,A259,$B$3)*'PSA&amp;CPR'!M258</f>
        <v>188.75206459755375</v>
      </c>
      <c r="F259" s="19">
        <f>Interest_portion_of_payment($B$1,$D$1,A259,$B$3)*'PSA&amp;CPR'!M258</f>
        <v>102.11530299292313</v>
      </c>
      <c r="G259" s="19">
        <f>(B259-E259)*'PSA&amp;CPR'!F259</f>
        <v>61.649646093176727</v>
      </c>
      <c r="H259" s="19">
        <f>Remaining_balance($B$1,$D$1,A259,$B$3)*'PSA&amp;CPR'!M259</f>
        <v>24257.271007610827</v>
      </c>
    </row>
    <row r="260" spans="1:8">
      <c r="A260">
        <f>'PSA&amp;CPR'!A260</f>
        <v>258</v>
      </c>
      <c r="B260" s="19">
        <f t="shared" si="6"/>
        <v>24257.271007610827</v>
      </c>
      <c r="C260" s="19">
        <f t="shared" si="7"/>
        <v>101.07196253171178</v>
      </c>
      <c r="D260" s="19">
        <f>Monthly_payment($B$1,$D$1,$B$3)*'PSA&amp;CPR'!M259</f>
        <v>290.13000467345626</v>
      </c>
      <c r="E260" s="19">
        <f>Principle_portion_of_payment($B$1,$D$1,A260,$B$3)*'PSA&amp;CPR'!M259</f>
        <v>189.05804214174452</v>
      </c>
      <c r="F260" s="19">
        <f>Interest_portion_of_payment($B$1,$D$1,A260,$B$3)*'PSA&amp;CPR'!M259</f>
        <v>101.07196253171179</v>
      </c>
      <c r="G260" s="19">
        <f>(B260-E260)*'PSA&amp;CPR'!F260</f>
        <v>61.0140899156386</v>
      </c>
      <c r="H260" s="19">
        <f>Remaining_balance($B$1,$D$1,A260,$B$3)*'PSA&amp;CPR'!M260</f>
        <v>24007.198875553444</v>
      </c>
    </row>
    <row r="261" spans="1:8">
      <c r="A261">
        <f>'PSA&amp;CPR'!A261</f>
        <v>259</v>
      </c>
      <c r="B261" s="19">
        <f t="shared" ref="B261:B324" si="8">H260</f>
        <v>24007.198875553444</v>
      </c>
      <c r="C261" s="19">
        <f t="shared" ref="C261:C324" si="9">B261*($B$1/1200)</f>
        <v>100.02999531480602</v>
      </c>
      <c r="D261" s="19">
        <f>Monthly_payment($B$1,$D$1,$B$3)*'PSA&amp;CPR'!M260</f>
        <v>289.39451100727638</v>
      </c>
      <c r="E261" s="19">
        <f>Principle_portion_of_payment($B$1,$D$1,A261,$B$3)*'PSA&amp;CPR'!M260</f>
        <v>189.36451569247041</v>
      </c>
      <c r="F261" s="19">
        <f>Interest_portion_of_payment($B$1,$D$1,A261,$B$3)*'PSA&amp;CPR'!M260</f>
        <v>100.02999531480602</v>
      </c>
      <c r="G261" s="19">
        <f>(B261-E261)*'PSA&amp;CPR'!F261</f>
        <v>60.37936797855739</v>
      </c>
      <c r="H261" s="19">
        <f>Remaining_balance($B$1,$D$1,A261,$B$3)*'PSA&amp;CPR'!M261</f>
        <v>23757.454991882412</v>
      </c>
    </row>
    <row r="262" spans="1:8">
      <c r="A262">
        <f>'PSA&amp;CPR'!A262</f>
        <v>260</v>
      </c>
      <c r="B262" s="19">
        <f t="shared" si="8"/>
        <v>23757.454991882412</v>
      </c>
      <c r="C262" s="19">
        <f t="shared" si="9"/>
        <v>98.989395799510049</v>
      </c>
      <c r="D262" s="19">
        <f>Monthly_payment($B$1,$D$1,$B$3)*'PSA&amp;CPR'!M261</f>
        <v>288.66088185329545</v>
      </c>
      <c r="E262" s="19">
        <f>Principle_portion_of_payment($B$1,$D$1,A262,$B$3)*'PSA&amp;CPR'!M261</f>
        <v>189.6714860537854</v>
      </c>
      <c r="F262" s="19">
        <f>Interest_portion_of_payment($B$1,$D$1,A262,$B$3)*'PSA&amp;CPR'!M261</f>
        <v>98.989395799510035</v>
      </c>
      <c r="G262" s="19">
        <f>(B262-E262)*'PSA&amp;CPR'!F262</f>
        <v>59.745476907654016</v>
      </c>
      <c r="H262" s="19">
        <f>Remaining_balance($B$1,$D$1,A262,$B$3)*'PSA&amp;CPR'!M262</f>
        <v>23508.038028920972</v>
      </c>
    </row>
    <row r="263" spans="1:8">
      <c r="A263">
        <f>'PSA&amp;CPR'!A263</f>
        <v>261</v>
      </c>
      <c r="B263" s="19">
        <f t="shared" si="8"/>
        <v>23508.038028920972</v>
      </c>
      <c r="C263" s="19">
        <f t="shared" si="9"/>
        <v>97.950158453837375</v>
      </c>
      <c r="D263" s="19">
        <f>Monthly_payment($B$1,$D$1,$B$3)*'PSA&amp;CPR'!M262</f>
        <v>287.92911248488434</v>
      </c>
      <c r="E263" s="19">
        <f>Principle_portion_of_payment($B$1,$D$1,A263,$B$3)*'PSA&amp;CPR'!M262</f>
        <v>189.97895403104698</v>
      </c>
      <c r="F263" s="19">
        <f>Interest_portion_of_payment($B$1,$D$1,A263,$B$3)*'PSA&amp;CPR'!M262</f>
        <v>97.950158453837417</v>
      </c>
      <c r="G263" s="19">
        <f>(B263-E263)*'PSA&amp;CPR'!F263</f>
        <v>59.112413335161698</v>
      </c>
      <c r="H263" s="19">
        <f>Remaining_balance($B$1,$D$1,A263,$B$3)*'PSA&amp;CPR'!M263</f>
        <v>23258.946661554772</v>
      </c>
    </row>
    <row r="264" spans="1:8">
      <c r="A264">
        <f>'PSA&amp;CPR'!A264</f>
        <v>262</v>
      </c>
      <c r="B264" s="19">
        <f t="shared" si="8"/>
        <v>23258.946661554772</v>
      </c>
      <c r="C264" s="19">
        <f t="shared" si="9"/>
        <v>96.912277756478218</v>
      </c>
      <c r="D264" s="19">
        <f>Monthly_payment($B$1,$D$1,$B$3)*'PSA&amp;CPR'!M263</f>
        <v>287.19919818739635</v>
      </c>
      <c r="E264" s="19">
        <f>Principle_portion_of_payment($B$1,$D$1,A264,$B$3)*'PSA&amp;CPR'!M263</f>
        <v>190.28692043091817</v>
      </c>
      <c r="F264" s="19">
        <f>Interest_portion_of_payment($B$1,$D$1,A264,$B$3)*'PSA&amp;CPR'!M263</f>
        <v>96.91227775647819</v>
      </c>
      <c r="G264" s="19">
        <f>(B264-E264)*'PSA&amp;CPR'!F264</f>
        <v>58.480173899806232</v>
      </c>
      <c r="H264" s="19">
        <f>Remaining_balance($B$1,$D$1,A264,$B$3)*'PSA&amp;CPR'!M264</f>
        <v>23010.179567224044</v>
      </c>
    </row>
    <row r="265" spans="1:8">
      <c r="A265">
        <f>'PSA&amp;CPR'!A265</f>
        <v>263</v>
      </c>
      <c r="B265" s="19">
        <f t="shared" si="8"/>
        <v>23010.179567224044</v>
      </c>
      <c r="C265" s="19">
        <f t="shared" si="9"/>
        <v>95.87574819676685</v>
      </c>
      <c r="D265" s="19">
        <f>Monthly_payment($B$1,$D$1,$B$3)*'PSA&amp;CPR'!M264</f>
        <v>286.47113425813637</v>
      </c>
      <c r="E265" s="19">
        <f>Principle_portion_of_payment($B$1,$D$1,A265,$B$3)*'PSA&amp;CPR'!M264</f>
        <v>190.59538606136954</v>
      </c>
      <c r="F265" s="19">
        <f>Interest_portion_of_payment($B$1,$D$1,A265,$B$3)*'PSA&amp;CPR'!M264</f>
        <v>95.875748196766864</v>
      </c>
      <c r="G265" s="19">
        <f>(B265-E265)*'PSA&amp;CPR'!F265</f>
        <v>57.848755246786048</v>
      </c>
      <c r="H265" s="19">
        <f>Remaining_balance($B$1,$D$1,A265,$B$3)*'PSA&amp;CPR'!M265</f>
        <v>22761.735425915889</v>
      </c>
    </row>
    <row r="266" spans="1:8">
      <c r="A266">
        <f>'PSA&amp;CPR'!A266</f>
        <v>264</v>
      </c>
      <c r="B266" s="19">
        <f t="shared" si="8"/>
        <v>22761.735425915889</v>
      </c>
      <c r="C266" s="19">
        <f t="shared" si="9"/>
        <v>94.840564274649537</v>
      </c>
      <c r="D266" s="19">
        <f>Monthly_payment($B$1,$D$1,$B$3)*'PSA&amp;CPR'!M265</f>
        <v>285.74491600633104</v>
      </c>
      <c r="E266" s="19">
        <f>Principle_portion_of_payment($B$1,$D$1,A266,$B$3)*'PSA&amp;CPR'!M265</f>
        <v>190.90435173168157</v>
      </c>
      <c r="F266" s="19">
        <f>Interest_portion_of_payment($B$1,$D$1,A266,$B$3)*'PSA&amp;CPR'!M265</f>
        <v>94.840564274649509</v>
      </c>
      <c r="G266" s="19">
        <f>(B266-E266)*'PSA&amp;CPR'!F266</f>
        <v>57.218154027752718</v>
      </c>
      <c r="H266" s="19">
        <f>Remaining_balance($B$1,$D$1,A266,$B$3)*'PSA&amp;CPR'!M266</f>
        <v>22513.612920156458</v>
      </c>
    </row>
    <row r="267" spans="1:8">
      <c r="A267">
        <f>'PSA&amp;CPR'!A267</f>
        <v>265</v>
      </c>
      <c r="B267" s="19">
        <f t="shared" si="8"/>
        <v>22513.612920156458</v>
      </c>
      <c r="C267" s="19">
        <f t="shared" si="9"/>
        <v>93.806720500651906</v>
      </c>
      <c r="D267" s="19">
        <f>Monthly_payment($B$1,$D$1,$B$3)*'PSA&amp;CPR'!M266</f>
        <v>285.02053875309832</v>
      </c>
      <c r="E267" s="19">
        <f>Principle_portion_of_payment($B$1,$D$1,A267,$B$3)*'PSA&amp;CPR'!M266</f>
        <v>191.21381825244649</v>
      </c>
      <c r="F267" s="19">
        <f>Interest_portion_of_payment($B$1,$D$1,A267,$B$3)*'PSA&amp;CPR'!M266</f>
        <v>93.806720500651892</v>
      </c>
      <c r="G267" s="19">
        <f>(B267-E267)*'PSA&amp;CPR'!F267</f>
        <v>56.588366900791094</v>
      </c>
      <c r="H267" s="19">
        <f>Remaining_balance($B$1,$D$1,A267,$B$3)*'PSA&amp;CPR'!M267</f>
        <v>22265.810735003222</v>
      </c>
    </row>
    <row r="268" spans="1:8">
      <c r="A268">
        <f>'PSA&amp;CPR'!A268</f>
        <v>266</v>
      </c>
      <c r="B268" s="19">
        <f t="shared" si="8"/>
        <v>22265.810735003222</v>
      </c>
      <c r="C268" s="19">
        <f t="shared" si="9"/>
        <v>92.774211395846763</v>
      </c>
      <c r="D268" s="19">
        <f>Monthly_payment($B$1,$D$1,$B$3)*'PSA&amp;CPR'!M267</f>
        <v>284.29799783141732</v>
      </c>
      <c r="E268" s="19">
        <f>Principle_portion_of_payment($B$1,$D$1,A268,$B$3)*'PSA&amp;CPR'!M267</f>
        <v>191.52378643557063</v>
      </c>
      <c r="F268" s="19">
        <f>Interest_portion_of_payment($B$1,$D$1,A268,$B$3)*'PSA&amp;CPR'!M267</f>
        <v>92.774211395846748</v>
      </c>
      <c r="G268" s="19">
        <f>(B268-E268)*'PSA&amp;CPR'!F268</f>
        <v>55.959390530399716</v>
      </c>
      <c r="H268" s="19">
        <f>Remaining_balance($B$1,$D$1,A268,$B$3)*'PSA&amp;CPR'!M268</f>
        <v>22018.327558037254</v>
      </c>
    </row>
    <row r="269" spans="1:8">
      <c r="A269">
        <f>'PSA&amp;CPR'!A269</f>
        <v>267</v>
      </c>
      <c r="B269" s="19">
        <f t="shared" si="8"/>
        <v>22018.327558037254</v>
      </c>
      <c r="C269" s="19">
        <f t="shared" si="9"/>
        <v>91.743031491821895</v>
      </c>
      <c r="D269" s="19">
        <f>Monthly_payment($B$1,$D$1,$B$3)*'PSA&amp;CPR'!M268</f>
        <v>283.57728858609823</v>
      </c>
      <c r="E269" s="19">
        <f>Principle_portion_of_payment($B$1,$D$1,A269,$B$3)*'PSA&amp;CPR'!M268</f>
        <v>191.83425709427641</v>
      </c>
      <c r="F269" s="19">
        <f>Interest_portion_of_payment($B$1,$D$1,A269,$B$3)*'PSA&amp;CPR'!M268</f>
        <v>91.743031491821881</v>
      </c>
      <c r="G269" s="19">
        <f>(B269-E269)*'PSA&amp;CPR'!F269</f>
        <v>55.331221587471248</v>
      </c>
      <c r="H269" s="19">
        <f>Remaining_balance($B$1,$D$1,A269,$B$3)*'PSA&amp;CPR'!M269</f>
        <v>21771.162079355505</v>
      </c>
    </row>
    <row r="270" spans="1:8">
      <c r="A270">
        <f>'PSA&amp;CPR'!A270</f>
        <v>268</v>
      </c>
      <c r="B270" s="19">
        <f t="shared" si="8"/>
        <v>21771.162079355505</v>
      </c>
      <c r="C270" s="19">
        <f t="shared" si="9"/>
        <v>90.713175330647942</v>
      </c>
      <c r="D270" s="19">
        <f>Monthly_payment($B$1,$D$1,$B$3)*'PSA&amp;CPR'!M269</f>
        <v>282.85840637375247</v>
      </c>
      <c r="E270" s="19">
        <f>Principle_portion_of_payment($B$1,$D$1,A270,$B$3)*'PSA&amp;CPR'!M269</f>
        <v>192.14523104310456</v>
      </c>
      <c r="F270" s="19">
        <f>Interest_portion_of_payment($B$1,$D$1,A270,$B$3)*'PSA&amp;CPR'!M269</f>
        <v>90.713175330647957</v>
      </c>
      <c r="G270" s="19">
        <f>(B270-E270)*'PSA&amp;CPR'!F270</f>
        <v>54.70385674927288</v>
      </c>
      <c r="H270" s="19">
        <f>Remaining_balance($B$1,$D$1,A270,$B$3)*'PSA&amp;CPR'!M270</f>
        <v>21524.312991563129</v>
      </c>
    </row>
    <row r="271" spans="1:8">
      <c r="A271">
        <f>'PSA&amp;CPR'!A271</f>
        <v>269</v>
      </c>
      <c r="B271" s="19">
        <f t="shared" si="8"/>
        <v>21524.312991563129</v>
      </c>
      <c r="C271" s="19">
        <f t="shared" si="9"/>
        <v>89.684637464846375</v>
      </c>
      <c r="D271" s="19">
        <f>Monthly_payment($B$1,$D$1,$B$3)*'PSA&amp;CPR'!M270</f>
        <v>282.14134656276269</v>
      </c>
      <c r="E271" s="19">
        <f>Principle_portion_of_payment($B$1,$D$1,A271,$B$3)*'PSA&amp;CPR'!M270</f>
        <v>192.45670909791633</v>
      </c>
      <c r="F271" s="19">
        <f>Interest_portion_of_payment($B$1,$D$1,A271,$B$3)*'PSA&amp;CPR'!M270</f>
        <v>89.684637464846347</v>
      </c>
      <c r="G271" s="19">
        <f>(B271-E271)*'PSA&amp;CPR'!F271</f>
        <v>54.077292699426877</v>
      </c>
      <c r="H271" s="19">
        <f>Remaining_balance($B$1,$D$1,A271,$B$3)*'PSA&amp;CPR'!M271</f>
        <v>21277.778989765789</v>
      </c>
    </row>
    <row r="272" spans="1:8">
      <c r="A272">
        <f>'PSA&amp;CPR'!A272</f>
        <v>270</v>
      </c>
      <c r="B272" s="19">
        <f t="shared" si="8"/>
        <v>21277.778989765789</v>
      </c>
      <c r="C272" s="19">
        <f t="shared" si="9"/>
        <v>88.657412457357452</v>
      </c>
      <c r="D272" s="19">
        <f>Monthly_payment($B$1,$D$1,$B$3)*'PSA&amp;CPR'!M271</f>
        <v>281.42610453325273</v>
      </c>
      <c r="E272" s="19">
        <f>Principle_portion_of_payment($B$1,$D$1,A272,$B$3)*'PSA&amp;CPR'!M271</f>
        <v>192.76869207589536</v>
      </c>
      <c r="F272" s="19">
        <f>Interest_portion_of_payment($B$1,$D$1,A272,$B$3)*'PSA&amp;CPR'!M271</f>
        <v>88.657412457357452</v>
      </c>
      <c r="G272" s="19">
        <f>(B272-E272)*'PSA&amp;CPR'!F272</f>
        <v>53.45152612789105</v>
      </c>
      <c r="H272" s="19">
        <f>Remaining_balance($B$1,$D$1,A272,$B$3)*'PSA&amp;CPR'!M272</f>
        <v>21031.558771562002</v>
      </c>
    </row>
    <row r="273" spans="1:8">
      <c r="A273">
        <f>'PSA&amp;CPR'!A273</f>
        <v>271</v>
      </c>
      <c r="B273" s="19">
        <f t="shared" si="8"/>
        <v>21031.558771562002</v>
      </c>
      <c r="C273" s="19">
        <f t="shared" si="9"/>
        <v>87.631494881508345</v>
      </c>
      <c r="D273" s="19">
        <f>Monthly_payment($B$1,$D$1,$B$3)*'PSA&amp;CPR'!M272</f>
        <v>280.71267567705826</v>
      </c>
      <c r="E273" s="19">
        <f>Principle_portion_of_payment($B$1,$D$1,A273,$B$3)*'PSA&amp;CPR'!M272</f>
        <v>193.08118079554995</v>
      </c>
      <c r="F273" s="19">
        <f>Interest_portion_of_payment($B$1,$D$1,A273,$B$3)*'PSA&amp;CPR'!M272</f>
        <v>87.631494881508331</v>
      </c>
      <c r="G273" s="19">
        <f>(B273-E273)*'PSA&amp;CPR'!F273</f>
        <v>52.826553730939374</v>
      </c>
      <c r="H273" s="19">
        <f>Remaining_balance($B$1,$D$1,A273,$B$3)*'PSA&amp;CPR'!M273</f>
        <v>20785.651037035514</v>
      </c>
    </row>
    <row r="274" spans="1:8">
      <c r="A274">
        <f>'PSA&amp;CPR'!A274</f>
        <v>272</v>
      </c>
      <c r="B274" s="19">
        <f t="shared" si="8"/>
        <v>20785.651037035514</v>
      </c>
      <c r="C274" s="19">
        <f t="shared" si="9"/>
        <v>86.606879320981307</v>
      </c>
      <c r="D274" s="19">
        <f>Monthly_payment($B$1,$D$1,$B$3)*'PSA&amp;CPR'!M273</f>
        <v>280.00105539769675</v>
      </c>
      <c r="E274" s="19">
        <f>Principle_portion_of_payment($B$1,$D$1,A274,$B$3)*'PSA&amp;CPR'!M273</f>
        <v>193.39417607671547</v>
      </c>
      <c r="F274" s="19">
        <f>Interest_portion_of_payment($B$1,$D$1,A274,$B$3)*'PSA&amp;CPR'!M273</f>
        <v>86.606879320981307</v>
      </c>
      <c r="G274" s="19">
        <f>(B274-E274)*'PSA&amp;CPR'!F274</f>
        <v>52.202372211142624</v>
      </c>
      <c r="H274" s="19">
        <f>Remaining_balance($B$1,$D$1,A274,$B$3)*'PSA&amp;CPR'!M274</f>
        <v>20540.054488747657</v>
      </c>
    </row>
    <row r="275" spans="1:8">
      <c r="A275">
        <f>'PSA&amp;CPR'!A275</f>
        <v>273</v>
      </c>
      <c r="B275" s="19">
        <f t="shared" si="8"/>
        <v>20540.054488747657</v>
      </c>
      <c r="C275" s="19">
        <f t="shared" si="9"/>
        <v>85.583560369781907</v>
      </c>
      <c r="D275" s="19">
        <f>Monthly_payment($B$1,$D$1,$B$3)*'PSA&amp;CPR'!M274</f>
        <v>279.29123911033798</v>
      </c>
      <c r="E275" s="19">
        <f>Principle_portion_of_payment($B$1,$D$1,A275,$B$3)*'PSA&amp;CPR'!M274</f>
        <v>193.70767874055616</v>
      </c>
      <c r="F275" s="19">
        <f>Interest_portion_of_payment($B$1,$D$1,A275,$B$3)*'PSA&amp;CPR'!M274</f>
        <v>85.583560369781893</v>
      </c>
      <c r="G275" s="19">
        <f>(B275-E275)*'PSA&amp;CPR'!F275</f>
        <v>51.578978277349016</v>
      </c>
      <c r="H275" s="19">
        <f>Remaining_balance($B$1,$D$1,A275,$B$3)*'PSA&amp;CPR'!M275</f>
        <v>20294.76783172975</v>
      </c>
    </row>
    <row r="276" spans="1:8">
      <c r="A276">
        <f>'PSA&amp;CPR'!A276</f>
        <v>274</v>
      </c>
      <c r="B276" s="19">
        <f t="shared" si="8"/>
        <v>20294.76783172975</v>
      </c>
      <c r="C276" s="19">
        <f t="shared" si="9"/>
        <v>84.561532632207289</v>
      </c>
      <c r="D276" s="19">
        <f>Monthly_payment($B$1,$D$1,$B$3)*'PSA&amp;CPR'!M275</f>
        <v>278.58322224177465</v>
      </c>
      <c r="E276" s="19">
        <f>Principle_portion_of_payment($B$1,$D$1,A276,$B$3)*'PSA&amp;CPR'!M275</f>
        <v>194.02168960956737</v>
      </c>
      <c r="F276" s="19">
        <f>Interest_portion_of_payment($B$1,$D$1,A276,$B$3)*'PSA&amp;CPR'!M275</f>
        <v>84.561532632207317</v>
      </c>
      <c r="G276" s="19">
        <f>(B276-E276)*'PSA&amp;CPR'!F276</f>
        <v>50.956368644664927</v>
      </c>
      <c r="H276" s="19">
        <f>Remaining_balance($B$1,$D$1,A276,$B$3)*'PSA&amp;CPR'!M276</f>
        <v>20049.789773475521</v>
      </c>
    </row>
    <row r="277" spans="1:8">
      <c r="A277">
        <f>'PSA&amp;CPR'!A277</f>
        <v>275</v>
      </c>
      <c r="B277" s="19">
        <f t="shared" si="8"/>
        <v>20049.789773475521</v>
      </c>
      <c r="C277" s="19">
        <f t="shared" si="9"/>
        <v>83.540790722814663</v>
      </c>
      <c r="D277" s="19">
        <f>Monthly_payment($B$1,$D$1,$B$3)*'PSA&amp;CPR'!M276</f>
        <v>277.87700023039241</v>
      </c>
      <c r="E277" s="19">
        <f>Principle_portion_of_payment($B$1,$D$1,A277,$B$3)*'PSA&amp;CPR'!M276</f>
        <v>194.33620950757779</v>
      </c>
      <c r="F277" s="19">
        <f>Interest_portion_of_payment($B$1,$D$1,A277,$B$3)*'PSA&amp;CPR'!M276</f>
        <v>83.540790722814663</v>
      </c>
      <c r="G277" s="19">
        <f>(B277-E277)*'PSA&amp;CPR'!F277</f>
        <v>50.334540034435655</v>
      </c>
      <c r="H277" s="19">
        <f>Remaining_balance($B$1,$D$1,A277,$B$3)*'PSA&amp;CPR'!M277</f>
        <v>19805.119023933508</v>
      </c>
    </row>
    <row r="278" spans="1:8">
      <c r="A278">
        <f>'PSA&amp;CPR'!A278</f>
        <v>276</v>
      </c>
      <c r="B278" s="19">
        <f t="shared" si="8"/>
        <v>19805.119023933508</v>
      </c>
      <c r="C278" s="19">
        <f t="shared" si="9"/>
        <v>82.521329266389614</v>
      </c>
      <c r="D278" s="19">
        <f>Monthly_payment($B$1,$D$1,$B$3)*'PSA&amp;CPR'!M277</f>
        <v>277.17256852614128</v>
      </c>
      <c r="E278" s="19">
        <f>Principle_portion_of_payment($B$1,$D$1,A278,$B$3)*'PSA&amp;CPR'!M277</f>
        <v>194.65123925975175</v>
      </c>
      <c r="F278" s="19">
        <f>Interest_portion_of_payment($B$1,$D$1,A278,$B$3)*'PSA&amp;CPR'!M277</f>
        <v>82.521329266389628</v>
      </c>
      <c r="G278" s="19">
        <f>(B278-E278)*'PSA&amp;CPR'!F278</f>
        <v>49.713489174226233</v>
      </c>
      <c r="H278" s="19">
        <f>Remaining_balance($B$1,$D$1,A278,$B$3)*'PSA&amp;CPR'!M278</f>
        <v>19560.754295499526</v>
      </c>
    </row>
    <row r="279" spans="1:8">
      <c r="A279">
        <f>'PSA&amp;CPR'!A279</f>
        <v>277</v>
      </c>
      <c r="B279" s="19">
        <f t="shared" si="8"/>
        <v>19560.754295499526</v>
      </c>
      <c r="C279" s="19">
        <f t="shared" si="9"/>
        <v>81.503142897914685</v>
      </c>
      <c r="D279" s="19">
        <f>Monthly_payment($B$1,$D$1,$B$3)*'PSA&amp;CPR'!M278</f>
        <v>276.46992259050552</v>
      </c>
      <c r="E279" s="19">
        <f>Principle_portion_of_payment($B$1,$D$1,A279,$B$3)*'PSA&amp;CPR'!M278</f>
        <v>194.9667796925909</v>
      </c>
      <c r="F279" s="19">
        <f>Interest_portion_of_payment($B$1,$D$1,A279,$B$3)*'PSA&amp;CPR'!M278</f>
        <v>81.503142897914699</v>
      </c>
      <c r="G279" s="19">
        <f>(B279-E279)*'PSA&amp;CPR'!F279</f>
        <v>49.093212797802209</v>
      </c>
      <c r="H279" s="19">
        <f>Remaining_balance($B$1,$D$1,A279,$B$3)*'PSA&amp;CPR'!M279</f>
        <v>19316.694303009135</v>
      </c>
    </row>
    <row r="280" spans="1:8">
      <c r="A280">
        <f>'PSA&amp;CPR'!A280</f>
        <v>278</v>
      </c>
      <c r="B280" s="19">
        <f t="shared" si="8"/>
        <v>19316.694303009135</v>
      </c>
      <c r="C280" s="19">
        <f t="shared" si="9"/>
        <v>80.486226262538068</v>
      </c>
      <c r="D280" s="19">
        <f>Monthly_payment($B$1,$D$1,$B$3)*'PSA&amp;CPR'!M279</f>
        <v>275.76905789647492</v>
      </c>
      <c r="E280" s="19">
        <f>Principle_portion_of_payment($B$1,$D$1,A280,$B$3)*'PSA&amp;CPR'!M279</f>
        <v>195.28283163393689</v>
      </c>
      <c r="F280" s="19">
        <f>Interest_portion_of_payment($B$1,$D$1,A280,$B$3)*'PSA&amp;CPR'!M279</f>
        <v>80.486226262538068</v>
      </c>
      <c r="G280" s="19">
        <f>(B280-E280)*'PSA&amp;CPR'!F280</f>
        <v>48.473707645110643</v>
      </c>
      <c r="H280" s="19">
        <f>Remaining_balance($B$1,$D$1,A280,$B$3)*'PSA&amp;CPR'!M280</f>
        <v>19072.937763730086</v>
      </c>
    </row>
    <row r="281" spans="1:8">
      <c r="A281">
        <f>'PSA&amp;CPR'!A281</f>
        <v>279</v>
      </c>
      <c r="B281" s="19">
        <f t="shared" si="8"/>
        <v>19072.937763730086</v>
      </c>
      <c r="C281" s="19">
        <f t="shared" si="9"/>
        <v>79.470574015542027</v>
      </c>
      <c r="D281" s="19">
        <f>Monthly_payment($B$1,$D$1,$B$3)*'PSA&amp;CPR'!M280</f>
        <v>275.06996992851538</v>
      </c>
      <c r="E281" s="19">
        <f>Principle_portion_of_payment($B$1,$D$1,A281,$B$3)*'PSA&amp;CPR'!M280</f>
        <v>195.59939591297342</v>
      </c>
      <c r="F281" s="19">
        <f>Interest_portion_of_payment($B$1,$D$1,A281,$B$3)*'PSA&amp;CPR'!M280</f>
        <v>79.470574015542013</v>
      </c>
      <c r="G281" s="19">
        <f>(B281-E281)*'PSA&amp;CPR'!F281</f>
        <v>47.854970462260894</v>
      </c>
      <c r="H281" s="19">
        <f>Remaining_balance($B$1,$D$1,A281,$B$3)*'PSA&amp;CPR'!M281</f>
        <v>18829.483397354856</v>
      </c>
    </row>
    <row r="282" spans="1:8">
      <c r="A282">
        <f>'PSA&amp;CPR'!A282</f>
        <v>280</v>
      </c>
      <c r="B282" s="19">
        <f t="shared" si="8"/>
        <v>18829.483397354856</v>
      </c>
      <c r="C282" s="19">
        <f t="shared" si="9"/>
        <v>78.456180822311893</v>
      </c>
      <c r="D282" s="19">
        <f>Monthly_payment($B$1,$D$1,$B$3)*'PSA&amp;CPR'!M281</f>
        <v>274.37265418254003</v>
      </c>
      <c r="E282" s="19">
        <f>Principle_portion_of_payment($B$1,$D$1,A282,$B$3)*'PSA&amp;CPR'!M281</f>
        <v>195.91647336022817</v>
      </c>
      <c r="F282" s="19">
        <f>Interest_portion_of_payment($B$1,$D$1,A282,$B$3)*'PSA&amp;CPR'!M281</f>
        <v>78.456180822311893</v>
      </c>
      <c r="G282" s="19">
        <f>(B282-E282)*'PSA&amp;CPR'!F282</f>
        <v>47.236998001505739</v>
      </c>
      <c r="H282" s="19">
        <f>Remaining_balance($B$1,$D$1,A282,$B$3)*'PSA&amp;CPR'!M282</f>
        <v>18586.329925993119</v>
      </c>
    </row>
    <row r="283" spans="1:8">
      <c r="A283">
        <f>'PSA&amp;CPR'!A283</f>
        <v>281</v>
      </c>
      <c r="B283" s="19">
        <f t="shared" si="8"/>
        <v>18586.329925993119</v>
      </c>
      <c r="C283" s="19">
        <f t="shared" si="9"/>
        <v>77.443041358304669</v>
      </c>
      <c r="D283" s="19">
        <f>Monthly_payment($B$1,$D$1,$B$3)*'PSA&amp;CPR'!M282</f>
        <v>273.67710616587988</v>
      </c>
      <c r="E283" s="19">
        <f>Principle_portion_of_payment($B$1,$D$1,A283,$B$3)*'PSA&amp;CPR'!M282</f>
        <v>196.23406480757524</v>
      </c>
      <c r="F283" s="19">
        <f>Interest_portion_of_payment($B$1,$D$1,A283,$B$3)*'PSA&amp;CPR'!M282</f>
        <v>77.443041358304654</v>
      </c>
      <c r="G283" s="19">
        <f>(B283-E283)*'PSA&amp;CPR'!F283</f>
        <v>46.619787021222223</v>
      </c>
      <c r="H283" s="19">
        <f>Remaining_balance($B$1,$D$1,A283,$B$3)*'PSA&amp;CPR'!M283</f>
        <v>18343.476074164322</v>
      </c>
    </row>
    <row r="284" spans="1:8">
      <c r="A284">
        <f>'PSA&amp;CPR'!A284</f>
        <v>282</v>
      </c>
      <c r="B284" s="19">
        <f t="shared" si="8"/>
        <v>18343.476074164322</v>
      </c>
      <c r="C284" s="19">
        <f t="shared" si="9"/>
        <v>76.431150309018008</v>
      </c>
      <c r="D284" s="19">
        <f>Monthly_payment($B$1,$D$1,$B$3)*'PSA&amp;CPR'!M283</f>
        <v>272.98332139725522</v>
      </c>
      <c r="E284" s="19">
        <f>Principle_portion_of_payment($B$1,$D$1,A284,$B$3)*'PSA&amp;CPR'!M283</f>
        <v>196.55217108823723</v>
      </c>
      <c r="F284" s="19">
        <f>Interest_portion_of_payment($B$1,$D$1,A284,$B$3)*'PSA&amp;CPR'!M283</f>
        <v>76.431150309018022</v>
      </c>
      <c r="G284" s="19">
        <f>(B284-E284)*'PSA&amp;CPR'!F284</f>
        <v>46.003334285892883</v>
      </c>
      <c r="H284" s="19">
        <f>Remaining_balance($B$1,$D$1,A284,$B$3)*'PSA&amp;CPR'!M284</f>
        <v>18100.920568790199</v>
      </c>
    </row>
    <row r="285" spans="1:8">
      <c r="A285">
        <f>'PSA&amp;CPR'!A285</f>
        <v>283</v>
      </c>
      <c r="B285" s="19">
        <f t="shared" si="8"/>
        <v>18100.920568790199</v>
      </c>
      <c r="C285" s="19">
        <f t="shared" si="9"/>
        <v>75.420502369959166</v>
      </c>
      <c r="D285" s="19">
        <f>Monthly_payment($B$1,$D$1,$B$3)*'PSA&amp;CPR'!M284</f>
        <v>272.2912954067466</v>
      </c>
      <c r="E285" s="19">
        <f>Principle_portion_of_payment($B$1,$D$1,A285,$B$3)*'PSA&amp;CPR'!M284</f>
        <v>196.87079303678743</v>
      </c>
      <c r="F285" s="19">
        <f>Interest_portion_of_payment($B$1,$D$1,A285,$B$3)*'PSA&amp;CPR'!M284</f>
        <v>75.420502369959166</v>
      </c>
      <c r="G285" s="19">
        <f>(B285-E285)*'PSA&amp;CPR'!F285</f>
        <v>45.387636566086748</v>
      </c>
      <c r="H285" s="19">
        <f>Remaining_balance($B$1,$D$1,A285,$B$3)*'PSA&amp;CPR'!M285</f>
        <v>17858.662139187327</v>
      </c>
    </row>
    <row r="286" spans="1:8">
      <c r="A286">
        <f>'PSA&amp;CPR'!A286</f>
        <v>284</v>
      </c>
      <c r="B286" s="19">
        <f t="shared" si="8"/>
        <v>17858.662139187327</v>
      </c>
      <c r="C286" s="19">
        <f t="shared" si="9"/>
        <v>74.411092246613862</v>
      </c>
      <c r="D286" s="19">
        <f>Monthly_payment($B$1,$D$1,$B$3)*'PSA&amp;CPR'!M285</f>
        <v>271.60102373576592</v>
      </c>
      <c r="E286" s="19">
        <f>Principle_portion_of_payment($B$1,$D$1,A286,$B$3)*'PSA&amp;CPR'!M285</f>
        <v>197.18993148915212</v>
      </c>
      <c r="F286" s="19">
        <f>Interest_portion_of_payment($B$1,$D$1,A286,$B$3)*'PSA&amp;CPR'!M285</f>
        <v>74.411092246613862</v>
      </c>
      <c r="G286" s="19">
        <f>(B286-E286)*'PSA&amp;CPR'!F286</f>
        <v>44.772690638440444</v>
      </c>
      <c r="H286" s="19">
        <f>Remaining_balance($B$1,$D$1,A286,$B$3)*'PSA&amp;CPR'!M286</f>
        <v>17616.699517059729</v>
      </c>
    </row>
    <row r="287" spans="1:8">
      <c r="A287">
        <f>'PSA&amp;CPR'!A287</f>
        <v>285</v>
      </c>
      <c r="B287" s="19">
        <f t="shared" si="8"/>
        <v>17616.699517059729</v>
      </c>
      <c r="C287" s="19">
        <f t="shared" si="9"/>
        <v>73.40291465441554</v>
      </c>
      <c r="D287" s="19">
        <f>Monthly_payment($B$1,$D$1,$B$3)*'PSA&amp;CPR'!M286</f>
        <v>270.91250193702797</v>
      </c>
      <c r="E287" s="19">
        <f>Principle_portion_of_payment($B$1,$D$1,A287,$B$3)*'PSA&amp;CPR'!M286</f>
        <v>197.50958728261244</v>
      </c>
      <c r="F287" s="19">
        <f>Interest_portion_of_payment($B$1,$D$1,A287,$B$3)*'PSA&amp;CPR'!M286</f>
        <v>73.40291465441554</v>
      </c>
      <c r="G287" s="19">
        <f>(B287-E287)*'PSA&amp;CPR'!F287</f>
        <v>44.158493285639473</v>
      </c>
      <c r="H287" s="19">
        <f>Remaining_balance($B$1,$D$1,A287,$B$3)*'PSA&amp;CPR'!M287</f>
        <v>17375.031436491478</v>
      </c>
    </row>
    <row r="288" spans="1:8">
      <c r="A288">
        <f>'PSA&amp;CPR'!A288</f>
        <v>286</v>
      </c>
      <c r="B288" s="19">
        <f t="shared" si="8"/>
        <v>17375.031436491478</v>
      </c>
      <c r="C288" s="19">
        <f t="shared" si="9"/>
        <v>72.395964318714491</v>
      </c>
      <c r="D288" s="19">
        <f>Monthly_payment($B$1,$D$1,$B$3)*'PSA&amp;CPR'!M287</f>
        <v>270.22572557452145</v>
      </c>
      <c r="E288" s="19">
        <f>Principle_portion_of_payment($B$1,$D$1,A288,$B$3)*'PSA&amp;CPR'!M287</f>
        <v>197.829761255807</v>
      </c>
      <c r="F288" s="19">
        <f>Interest_portion_of_payment($B$1,$D$1,A288,$B$3)*'PSA&amp;CPR'!M287</f>
        <v>72.395964318714491</v>
      </c>
      <c r="G288" s="19">
        <f>(B288-E288)*'PSA&amp;CPR'!F288</f>
        <v>43.545041296399425</v>
      </c>
      <c r="H288" s="19">
        <f>Remaining_balance($B$1,$D$1,A288,$B$3)*'PSA&amp;CPR'!M288</f>
        <v>17133.65663393927</v>
      </c>
    </row>
    <row r="289" spans="1:8">
      <c r="A289">
        <f>'PSA&amp;CPR'!A289</f>
        <v>287</v>
      </c>
      <c r="B289" s="19">
        <f t="shared" si="8"/>
        <v>17133.65663393927</v>
      </c>
      <c r="C289" s="19">
        <f t="shared" si="9"/>
        <v>71.390235974746957</v>
      </c>
      <c r="D289" s="19">
        <f>Monthly_payment($B$1,$D$1,$B$3)*'PSA&amp;CPR'!M288</f>
        <v>269.54069022348079</v>
      </c>
      <c r="E289" s="19">
        <f>Principle_portion_of_payment($B$1,$D$1,A289,$B$3)*'PSA&amp;CPR'!M288</f>
        <v>198.15045424873384</v>
      </c>
      <c r="F289" s="19">
        <f>Interest_portion_of_payment($B$1,$D$1,A289,$B$3)*'PSA&amp;CPR'!M288</f>
        <v>71.390235974746957</v>
      </c>
      <c r="G289" s="19">
        <f>(B289-E289)*'PSA&amp;CPR'!F289</f>
        <v>42.932331465447156</v>
      </c>
      <c r="H289" s="19">
        <f>Remaining_balance($B$1,$D$1,A289,$B$3)*'PSA&amp;CPR'!M289</f>
        <v>16892.573848225096</v>
      </c>
    </row>
    <row r="290" spans="1:8">
      <c r="A290">
        <f>'PSA&amp;CPR'!A290</f>
        <v>288</v>
      </c>
      <c r="B290" s="19">
        <f t="shared" si="8"/>
        <v>16892.573848225096</v>
      </c>
      <c r="C290" s="19">
        <f t="shared" si="9"/>
        <v>70.385724367604567</v>
      </c>
      <c r="D290" s="19">
        <f>Monthly_payment($B$1,$D$1,$B$3)*'PSA&amp;CPR'!M289</f>
        <v>268.85739147035719</v>
      </c>
      <c r="E290" s="19">
        <f>Principle_portion_of_payment($B$1,$D$1,A290,$B$3)*'PSA&amp;CPR'!M289</f>
        <v>198.47166710275263</v>
      </c>
      <c r="F290" s="19">
        <f>Interest_portion_of_payment($B$1,$D$1,A290,$B$3)*'PSA&amp;CPR'!M289</f>
        <v>70.385724367604581</v>
      </c>
      <c r="G290" s="19">
        <f>(B290-E290)*'PSA&amp;CPR'!F290</f>
        <v>42.320360593502222</v>
      </c>
      <c r="H290" s="19">
        <f>Remaining_balance($B$1,$D$1,A290,$B$3)*'PSA&amp;CPR'!M290</f>
        <v>16651.781820528842</v>
      </c>
    </row>
    <row r="291" spans="1:8">
      <c r="A291">
        <f>'PSA&amp;CPR'!A291</f>
        <v>289</v>
      </c>
      <c r="B291" s="19">
        <f t="shared" si="8"/>
        <v>16651.781820528842</v>
      </c>
      <c r="C291" s="19">
        <f t="shared" si="9"/>
        <v>69.382424252203506</v>
      </c>
      <c r="D291" s="19">
        <f>Monthly_payment($B$1,$D$1,$B$3)*'PSA&amp;CPR'!M290</f>
        <v>268.17582491279046</v>
      </c>
      <c r="E291" s="19">
        <f>Principle_portion_of_payment($B$1,$D$1,A291,$B$3)*'PSA&amp;CPR'!M290</f>
        <v>198.79340066058703</v>
      </c>
      <c r="F291" s="19">
        <f>Interest_portion_of_payment($B$1,$D$1,A291,$B$3)*'PSA&amp;CPR'!M290</f>
        <v>69.382424252203506</v>
      </c>
      <c r="G291" s="19">
        <f>(B291-E291)*'PSA&amp;CPR'!F291</f>
        <v>41.709125487258099</v>
      </c>
      <c r="H291" s="19">
        <f>Remaining_balance($B$1,$D$1,A291,$B$3)*'PSA&amp;CPR'!M291</f>
        <v>16411.279294380998</v>
      </c>
    </row>
    <row r="292" spans="1:8">
      <c r="A292">
        <f>'PSA&amp;CPR'!A292</f>
        <v>290</v>
      </c>
      <c r="B292" s="19">
        <f t="shared" si="8"/>
        <v>16411.279294380998</v>
      </c>
      <c r="C292" s="19">
        <f t="shared" si="9"/>
        <v>68.380330393254155</v>
      </c>
      <c r="D292" s="19">
        <f>Monthly_payment($B$1,$D$1,$B$3)*'PSA&amp;CPR'!M291</f>
        <v>267.49598615958081</v>
      </c>
      <c r="E292" s="19">
        <f>Principle_portion_of_payment($B$1,$D$1,A292,$B$3)*'PSA&amp;CPR'!M291</f>
        <v>199.11565576632668</v>
      </c>
      <c r="F292" s="19">
        <f>Interest_portion_of_payment($B$1,$D$1,A292,$B$3)*'PSA&amp;CPR'!M291</f>
        <v>68.380330393254155</v>
      </c>
      <c r="G292" s="19">
        <f>(B292-E292)*'PSA&amp;CPR'!F292</f>
        <v>41.098622959363674</v>
      </c>
      <c r="H292" s="19">
        <f>Remaining_balance($B$1,$D$1,A292,$B$3)*'PSA&amp;CPR'!M292</f>
        <v>16171.065015655311</v>
      </c>
    </row>
    <row r="293" spans="1:8">
      <c r="A293">
        <f>'PSA&amp;CPR'!A293</f>
        <v>291</v>
      </c>
      <c r="B293" s="19">
        <f t="shared" si="8"/>
        <v>16171.065015655311</v>
      </c>
      <c r="C293" s="19">
        <f t="shared" si="9"/>
        <v>67.379437565230461</v>
      </c>
      <c r="D293" s="19">
        <f>Monthly_payment($B$1,$D$1,$B$3)*'PSA&amp;CPR'!M292</f>
        <v>266.81787083066007</v>
      </c>
      <c r="E293" s="19">
        <f>Principle_portion_of_payment($B$1,$D$1,A293,$B$3)*'PSA&amp;CPR'!M292</f>
        <v>199.43843326542967</v>
      </c>
      <c r="F293" s="19">
        <f>Interest_portion_of_payment($B$1,$D$1,A293,$B$3)*'PSA&amp;CPR'!M292</f>
        <v>67.379437565230461</v>
      </c>
      <c r="G293" s="19">
        <f>(B293-E293)*'PSA&amp;CPR'!F293</f>
        <v>40.488849828404668</v>
      </c>
      <c r="H293" s="19">
        <f>Remaining_balance($B$1,$D$1,A293,$B$3)*'PSA&amp;CPR'!M293</f>
        <v>15931.137732561472</v>
      </c>
    </row>
    <row r="294" spans="1:8">
      <c r="A294">
        <f>'PSA&amp;CPR'!A294</f>
        <v>292</v>
      </c>
      <c r="B294" s="19">
        <f t="shared" si="8"/>
        <v>15931.137732561472</v>
      </c>
      <c r="C294" s="19">
        <f t="shared" si="9"/>
        <v>66.37974055233947</v>
      </c>
      <c r="D294" s="19">
        <f>Monthly_payment($B$1,$D$1,$B$3)*'PSA&amp;CPR'!M293</f>
        <v>266.14147455706393</v>
      </c>
      <c r="E294" s="19">
        <f>Principle_portion_of_payment($B$1,$D$1,A294,$B$3)*'PSA&amp;CPR'!M293</f>
        <v>199.7617340047245</v>
      </c>
      <c r="F294" s="19">
        <f>Interest_portion_of_payment($B$1,$D$1,A294,$B$3)*'PSA&amp;CPR'!M293</f>
        <v>66.37974055233947</v>
      </c>
      <c r="G294" s="19">
        <f>(B294-E294)*'PSA&amp;CPR'!F294</f>
        <v>39.879802918885026</v>
      </c>
      <c r="H294" s="19">
        <f>Remaining_balance($B$1,$D$1,A294,$B$3)*'PSA&amp;CPR'!M294</f>
        <v>15691.496195637861</v>
      </c>
    </row>
    <row r="295" spans="1:8">
      <c r="A295">
        <f>'PSA&amp;CPR'!A295</f>
        <v>293</v>
      </c>
      <c r="B295" s="19">
        <f t="shared" si="8"/>
        <v>15691.496195637861</v>
      </c>
      <c r="C295" s="19">
        <f t="shared" si="9"/>
        <v>65.381234148491089</v>
      </c>
      <c r="D295" s="19">
        <f>Monthly_payment($B$1,$D$1,$B$3)*'PSA&amp;CPR'!M294</f>
        <v>265.46679298090362</v>
      </c>
      <c r="E295" s="19">
        <f>Principle_portion_of_payment($B$1,$D$1,A295,$B$3)*'PSA&amp;CPR'!M294</f>
        <v>200.08555883241252</v>
      </c>
      <c r="F295" s="19">
        <f>Interest_portion_of_payment($B$1,$D$1,A295,$B$3)*'PSA&amp;CPR'!M294</f>
        <v>65.381234148491075</v>
      </c>
      <c r="G295" s="19">
        <f>(B295-E295)*'PSA&amp;CPR'!F295</f>
        <v>39.271479061208574</v>
      </c>
      <c r="H295" s="19">
        <f>Remaining_balance($B$1,$D$1,A295,$B$3)*'PSA&amp;CPR'!M295</f>
        <v>15452.139157744243</v>
      </c>
    </row>
    <row r="296" spans="1:8">
      <c r="A296">
        <f>'PSA&amp;CPR'!A296</f>
        <v>294</v>
      </c>
      <c r="B296" s="19">
        <f t="shared" si="8"/>
        <v>15452.139157744243</v>
      </c>
      <c r="C296" s="19">
        <f t="shared" si="9"/>
        <v>64.383913157267671</v>
      </c>
      <c r="D296" s="19">
        <f>Monthly_payment($B$1,$D$1,$B$3)*'PSA&amp;CPR'!M295</f>
        <v>264.79382175533766</v>
      </c>
      <c r="E296" s="19">
        <f>Principle_portion_of_payment($B$1,$D$1,A296,$B$3)*'PSA&amp;CPR'!M295</f>
        <v>200.40990859807005</v>
      </c>
      <c r="F296" s="19">
        <f>Interest_portion_of_payment($B$1,$D$1,A296,$B$3)*'PSA&amp;CPR'!M295</f>
        <v>64.383913157267685</v>
      </c>
      <c r="G296" s="19">
        <f>(B296-E296)*'PSA&amp;CPR'!F296</f>
        <v>38.663875091660472</v>
      </c>
      <c r="H296" s="19">
        <f>Remaining_balance($B$1,$D$1,A296,$B$3)*'PSA&amp;CPR'!M296</f>
        <v>15213.065374054513</v>
      </c>
    </row>
    <row r="297" spans="1:8">
      <c r="A297">
        <f>'PSA&amp;CPR'!A297</f>
        <v>295</v>
      </c>
      <c r="B297" s="19">
        <f t="shared" si="8"/>
        <v>15213.065374054513</v>
      </c>
      <c r="C297" s="19">
        <f t="shared" si="9"/>
        <v>63.387772391893805</v>
      </c>
      <c r="D297" s="19">
        <f>Monthly_payment($B$1,$D$1,$B$3)*'PSA&amp;CPR'!M296</f>
        <v>264.1225565445443</v>
      </c>
      <c r="E297" s="19">
        <f>Principle_portion_of_payment($B$1,$D$1,A297,$B$3)*'PSA&amp;CPR'!M296</f>
        <v>200.73478415265052</v>
      </c>
      <c r="F297" s="19">
        <f>Interest_portion_of_payment($B$1,$D$1,A297,$B$3)*'PSA&amp;CPR'!M296</f>
        <v>63.387772391893797</v>
      </c>
      <c r="G297" s="19">
        <f>(B297-E297)*'PSA&amp;CPR'!F297</f>
        <v>38.056987852388822</v>
      </c>
      <c r="H297" s="19">
        <f>Remaining_balance($B$1,$D$1,A297,$B$3)*'PSA&amp;CPR'!M297</f>
        <v>14974.273602049476</v>
      </c>
    </row>
    <row r="298" spans="1:8">
      <c r="A298">
        <f>'PSA&amp;CPR'!A298</f>
        <v>296</v>
      </c>
      <c r="B298" s="19">
        <f t="shared" si="8"/>
        <v>14974.273602049476</v>
      </c>
      <c r="C298" s="19">
        <f t="shared" si="9"/>
        <v>62.392806675206145</v>
      </c>
      <c r="D298" s="19">
        <f>Monthly_payment($B$1,$D$1,$B$3)*'PSA&amp;CPR'!M297</f>
        <v>263.45299302369301</v>
      </c>
      <c r="E298" s="19">
        <f>Principle_portion_of_payment($B$1,$D$1,A298,$B$3)*'PSA&amp;CPR'!M297</f>
        <v>201.06018634848692</v>
      </c>
      <c r="F298" s="19">
        <f>Interest_portion_of_payment($B$1,$D$1,A298,$B$3)*'PSA&amp;CPR'!M297</f>
        <v>62.392806675206138</v>
      </c>
      <c r="G298" s="19">
        <f>(B298-E298)*'PSA&amp;CPR'!F298</f>
        <v>37.450814191386357</v>
      </c>
      <c r="H298" s="19">
        <f>Remaining_balance($B$1,$D$1,A298,$B$3)*'PSA&amp;CPR'!M298</f>
        <v>14735.762601509596</v>
      </c>
    </row>
    <row r="299" spans="1:8">
      <c r="A299">
        <f>'PSA&amp;CPR'!A299</f>
        <v>297</v>
      </c>
      <c r="B299" s="19">
        <f t="shared" si="8"/>
        <v>14735.762601509596</v>
      </c>
      <c r="C299" s="19">
        <f t="shared" si="9"/>
        <v>61.399010839623315</v>
      </c>
      <c r="D299" s="19">
        <f>Monthly_payment($B$1,$D$1,$B$3)*'PSA&amp;CPR'!M298</f>
        <v>262.7851268789172</v>
      </c>
      <c r="E299" s="19">
        <f>Principle_portion_of_payment($B$1,$D$1,A299,$B$3)*'PSA&amp;CPR'!M298</f>
        <v>201.38611603929385</v>
      </c>
      <c r="F299" s="19">
        <f>Interest_portion_of_payment($B$1,$D$1,A299,$B$3)*'PSA&amp;CPR'!M298</f>
        <v>61.399010839623323</v>
      </c>
      <c r="G299" s="19">
        <f>(B299-E299)*'PSA&amp;CPR'!F299</f>
        <v>36.84535096247204</v>
      </c>
      <c r="H299" s="19">
        <f>Remaining_balance($B$1,$D$1,A299,$B$3)*'PSA&amp;CPR'!M299</f>
        <v>14497.531134507833</v>
      </c>
    </row>
    <row r="300" spans="1:8">
      <c r="A300">
        <f>'PSA&amp;CPR'!A300</f>
        <v>298</v>
      </c>
      <c r="B300" s="19">
        <f t="shared" si="8"/>
        <v>14497.531134507833</v>
      </c>
      <c r="C300" s="19">
        <f t="shared" si="9"/>
        <v>60.406379727115969</v>
      </c>
      <c r="D300" s="19">
        <f>Monthly_payment($B$1,$D$1,$B$3)*'PSA&amp;CPR'!M299</f>
        <v>262.11895380728589</v>
      </c>
      <c r="E300" s="19">
        <f>Principle_portion_of_payment($B$1,$D$1,A300,$B$3)*'PSA&amp;CPR'!M299</f>
        <v>201.71257408016996</v>
      </c>
      <c r="F300" s="19">
        <f>Interest_portion_of_payment($B$1,$D$1,A300,$B$3)*'PSA&amp;CPR'!M299</f>
        <v>60.406379727115976</v>
      </c>
      <c r="G300" s="19">
        <f>(B300-E300)*'PSA&amp;CPR'!F300</f>
        <v>36.240595025272945</v>
      </c>
      <c r="H300" s="19">
        <f>Remaining_balance($B$1,$D$1,A300,$B$3)*'PSA&amp;CPR'!M300</f>
        <v>14259.577965402392</v>
      </c>
    </row>
    <row r="301" spans="1:8">
      <c r="A301">
        <f>'PSA&amp;CPR'!A301</f>
        <v>299</v>
      </c>
      <c r="B301" s="19">
        <f t="shared" si="8"/>
        <v>14259.577965402392</v>
      </c>
      <c r="C301" s="19">
        <f t="shared" si="9"/>
        <v>59.414908189176629</v>
      </c>
      <c r="D301" s="19">
        <f>Monthly_payment($B$1,$D$1,$B$3)*'PSA&amp;CPR'!M300</f>
        <v>261.45446951677644</v>
      </c>
      <c r="E301" s="19">
        <f>Principle_portion_of_payment($B$1,$D$1,A301,$B$3)*'PSA&amp;CPR'!M300</f>
        <v>202.03956132759984</v>
      </c>
      <c r="F301" s="19">
        <f>Interest_portion_of_payment($B$1,$D$1,A301,$B$3)*'PSA&amp;CPR'!M300</f>
        <v>59.414908189176622</v>
      </c>
      <c r="G301" s="19">
        <f>(B301-E301)*'PSA&amp;CPR'!F301</f>
        <v>35.636543245205807</v>
      </c>
      <c r="H301" s="19">
        <f>Remaining_balance($B$1,$D$1,A301,$B$3)*'PSA&amp;CPR'!M301</f>
        <v>14021.901860829592</v>
      </c>
    </row>
    <row r="302" spans="1:8">
      <c r="A302">
        <f>'PSA&amp;CPR'!A302</f>
        <v>300</v>
      </c>
      <c r="B302" s="19">
        <f t="shared" si="8"/>
        <v>14021.901860829592</v>
      </c>
      <c r="C302" s="19">
        <f t="shared" si="9"/>
        <v>58.424591086789967</v>
      </c>
      <c r="D302" s="19">
        <f>Monthly_payment($B$1,$D$1,$B$3)*'PSA&amp;CPR'!M301</f>
        <v>260.79166972624648</v>
      </c>
      <c r="E302" s="19">
        <f>Principle_portion_of_payment($B$1,$D$1,A302,$B$3)*'PSA&amp;CPR'!M301</f>
        <v>202.36707863945659</v>
      </c>
      <c r="F302" s="19">
        <f>Interest_portion_of_payment($B$1,$D$1,A302,$B$3)*'PSA&amp;CPR'!M301</f>
        <v>58.424591086789967</v>
      </c>
      <c r="G302" s="19">
        <f>(B302-E302)*'PSA&amp;CPR'!F302</f>
        <v>35.033192493458998</v>
      </c>
      <c r="H302" s="19">
        <f>Remaining_balance($B$1,$D$1,A302,$B$3)*'PSA&amp;CPR'!M302</f>
        <v>13784.501589696676</v>
      </c>
    </row>
    <row r="303" spans="1:8">
      <c r="A303">
        <f>'PSA&amp;CPR'!A303</f>
        <v>301</v>
      </c>
      <c r="B303" s="19">
        <f t="shared" si="8"/>
        <v>13784.501589696676</v>
      </c>
      <c r="C303" s="19">
        <f t="shared" si="9"/>
        <v>57.435423290402817</v>
      </c>
      <c r="D303" s="19">
        <f>Monthly_payment($B$1,$D$1,$B$3)*'PSA&amp;CPR'!M302</f>
        <v>260.13055016540682</v>
      </c>
      <c r="E303" s="19">
        <f>Principle_portion_of_payment($B$1,$D$1,A303,$B$3)*'PSA&amp;CPR'!M302</f>
        <v>202.69512687500406</v>
      </c>
      <c r="F303" s="19">
        <f>Interest_portion_of_payment($B$1,$D$1,A303,$B$3)*'PSA&amp;CPR'!M302</f>
        <v>57.435423290402809</v>
      </c>
      <c r="G303" s="19">
        <f>(B303-E303)*'PSA&amp;CPR'!F303</f>
        <v>34.430539646974253</v>
      </c>
      <c r="H303" s="19">
        <f>Remaining_balance($B$1,$D$1,A303,$B$3)*'PSA&amp;CPR'!M303</f>
        <v>13547.375923174703</v>
      </c>
    </row>
    <row r="304" spans="1:8">
      <c r="A304">
        <f>'PSA&amp;CPR'!A304</f>
        <v>302</v>
      </c>
      <c r="B304" s="19">
        <f t="shared" si="8"/>
        <v>13547.375923174703</v>
      </c>
      <c r="C304" s="19">
        <f t="shared" si="9"/>
        <v>56.447399679894595</v>
      </c>
      <c r="D304" s="19">
        <f>Monthly_payment($B$1,$D$1,$B$3)*'PSA&amp;CPR'!M303</f>
        <v>259.47110657479345</v>
      </c>
      <c r="E304" s="19">
        <f>Principle_portion_of_payment($B$1,$D$1,A304,$B$3)*'PSA&amp;CPR'!M303</f>
        <v>203.02370689489891</v>
      </c>
      <c r="F304" s="19">
        <f>Interest_portion_of_payment($B$1,$D$1,A304,$B$3)*'PSA&amp;CPR'!M303</f>
        <v>56.447399679894588</v>
      </c>
      <c r="G304" s="19">
        <f>(B304-E304)*'PSA&amp;CPR'!F304</f>
        <v>33.828581588428648</v>
      </c>
      <c r="H304" s="19">
        <f>Remaining_balance($B$1,$D$1,A304,$B$3)*'PSA&amp;CPR'!M304</f>
        <v>13310.52363469137</v>
      </c>
    </row>
    <row r="305" spans="1:8">
      <c r="A305">
        <f>'PSA&amp;CPR'!A305</f>
        <v>303</v>
      </c>
      <c r="B305" s="19">
        <f t="shared" si="8"/>
        <v>13310.52363469137</v>
      </c>
      <c r="C305" s="19">
        <f t="shared" si="9"/>
        <v>55.460515144547372</v>
      </c>
      <c r="D305" s="19">
        <f>Monthly_payment($B$1,$D$1,$B$3)*'PSA&amp;CPR'!M304</f>
        <v>258.81333470574037</v>
      </c>
      <c r="E305" s="19">
        <f>Principle_portion_of_payment($B$1,$D$1,A305,$B$3)*'PSA&amp;CPR'!M304</f>
        <v>203.352819561193</v>
      </c>
      <c r="F305" s="19">
        <f>Interest_portion_of_payment($B$1,$D$1,A305,$B$3)*'PSA&amp;CPR'!M304</f>
        <v>55.460515144547365</v>
      </c>
      <c r="G305" s="19">
        <f>(B305-E305)*'PSA&amp;CPR'!F305</f>
        <v>33.227315206216446</v>
      </c>
      <c r="H305" s="19">
        <f>Remaining_balance($B$1,$D$1,A305,$B$3)*'PSA&amp;CPR'!M305</f>
        <v>13073.943499923958</v>
      </c>
    </row>
    <row r="306" spans="1:8">
      <c r="A306">
        <f>'PSA&amp;CPR'!A306</f>
        <v>304</v>
      </c>
      <c r="B306" s="19">
        <f t="shared" si="8"/>
        <v>13073.943499923958</v>
      </c>
      <c r="C306" s="19">
        <f t="shared" si="9"/>
        <v>54.474764583016494</v>
      </c>
      <c r="D306" s="19">
        <f>Monthly_payment($B$1,$D$1,$B$3)*'PSA&amp;CPR'!M305</f>
        <v>258.15723032035208</v>
      </c>
      <c r="E306" s="19">
        <f>Principle_portion_of_payment($B$1,$D$1,A306,$B$3)*'PSA&amp;CPR'!M305</f>
        <v>203.68246573733569</v>
      </c>
      <c r="F306" s="19">
        <f>Interest_portion_of_payment($B$1,$D$1,A306,$B$3)*'PSA&amp;CPR'!M305</f>
        <v>54.474764583016494</v>
      </c>
      <c r="G306" s="19">
        <f>(B306-E306)*'PSA&amp;CPR'!F306</f>
        <v>32.626737394431132</v>
      </c>
      <c r="H306" s="19">
        <f>Remaining_balance($B$1,$D$1,A306,$B$3)*'PSA&amp;CPR'!M306</f>
        <v>12837.634296792196</v>
      </c>
    </row>
    <row r="307" spans="1:8">
      <c r="A307">
        <f>'PSA&amp;CPR'!A307</f>
        <v>305</v>
      </c>
      <c r="B307" s="19">
        <f t="shared" si="8"/>
        <v>12837.634296792196</v>
      </c>
      <c r="C307" s="19">
        <f t="shared" si="9"/>
        <v>53.490142903300814</v>
      </c>
      <c r="D307" s="19">
        <f>Monthly_payment($B$1,$D$1,$B$3)*'PSA&amp;CPR'!M306</f>
        <v>257.50278919147655</v>
      </c>
      <c r="E307" s="19">
        <f>Principle_portion_of_payment($B$1,$D$1,A307,$B$3)*'PSA&amp;CPR'!M306</f>
        <v>204.01264628817574</v>
      </c>
      <c r="F307" s="19">
        <f>Interest_portion_of_payment($B$1,$D$1,A307,$B$3)*'PSA&amp;CPR'!M306</f>
        <v>53.490142903300807</v>
      </c>
      <c r="G307" s="19">
        <f>(B307-E307)*'PSA&amp;CPR'!F307</f>
        <v>32.026845052847385</v>
      </c>
      <c r="H307" s="19">
        <f>Remaining_balance($B$1,$D$1,A307,$B$3)*'PSA&amp;CPR'!M307</f>
        <v>12601.59480545117</v>
      </c>
    </row>
    <row r="308" spans="1:8">
      <c r="A308">
        <f>'PSA&amp;CPR'!A308</f>
        <v>306</v>
      </c>
      <c r="B308" s="19">
        <f t="shared" si="8"/>
        <v>12601.59480545117</v>
      </c>
      <c r="C308" s="19">
        <f t="shared" si="9"/>
        <v>52.506645022713208</v>
      </c>
      <c r="D308" s="19">
        <f>Monthly_payment($B$1,$D$1,$B$3)*'PSA&amp;CPR'!M307</f>
        <v>256.85000710267764</v>
      </c>
      <c r="E308" s="19">
        <f>Principle_portion_of_payment($B$1,$D$1,A308,$B$3)*'PSA&amp;CPR'!M307</f>
        <v>204.34336207996446</v>
      </c>
      <c r="F308" s="19">
        <f>Interest_portion_of_payment($B$1,$D$1,A308,$B$3)*'PSA&amp;CPR'!M307</f>
        <v>52.506645022713208</v>
      </c>
      <c r="G308" s="19">
        <f>(B308-E308)*'PSA&amp;CPR'!F308</f>
        <v>31.427635086903052</v>
      </c>
      <c r="H308" s="19">
        <f>Remaining_balance($B$1,$D$1,A308,$B$3)*'PSA&amp;CPR'!M308</f>
        <v>12365.823808284304</v>
      </c>
    </row>
    <row r="309" spans="1:8">
      <c r="A309">
        <f>'PSA&amp;CPR'!A309</f>
        <v>307</v>
      </c>
      <c r="B309" s="19">
        <f t="shared" si="8"/>
        <v>12365.823808284304</v>
      </c>
      <c r="C309" s="19">
        <f t="shared" si="9"/>
        <v>51.524265867851263</v>
      </c>
      <c r="D309" s="19">
        <f>Monthly_payment($B$1,$D$1,$B$3)*'PSA&amp;CPR'!M308</f>
        <v>256.19887984820804</v>
      </c>
      <c r="E309" s="19">
        <f>Principle_portion_of_payment($B$1,$D$1,A309,$B$3)*'PSA&amp;CPR'!M308</f>
        <v>204.67461398035681</v>
      </c>
      <c r="F309" s="19">
        <f>Interest_portion_of_payment($B$1,$D$1,A309,$B$3)*'PSA&amp;CPR'!M308</f>
        <v>51.524265867851263</v>
      </c>
      <c r="G309" s="19">
        <f>(B309-E309)*'PSA&amp;CPR'!F309</f>
        <v>30.829104407681374</v>
      </c>
      <c r="H309" s="19">
        <f>Remaining_balance($B$1,$D$1,A309,$B$3)*'PSA&amp;CPR'!M309</f>
        <v>12130.320089896266</v>
      </c>
    </row>
    <row r="310" spans="1:8">
      <c r="A310">
        <f>'PSA&amp;CPR'!A310</f>
        <v>308</v>
      </c>
      <c r="B310" s="19">
        <f t="shared" si="8"/>
        <v>12130.320089896266</v>
      </c>
      <c r="C310" s="19">
        <f t="shared" si="9"/>
        <v>50.543000374567775</v>
      </c>
      <c r="D310" s="19">
        <f>Monthly_payment($B$1,$D$1,$B$3)*'PSA&amp;CPR'!M309</f>
        <v>255.54940323298231</v>
      </c>
      <c r="E310" s="19">
        <f>Principle_portion_of_payment($B$1,$D$1,A310,$B$3)*'PSA&amp;CPR'!M309</f>
        <v>205.00640285841459</v>
      </c>
      <c r="F310" s="19">
        <f>Interest_portion_of_payment($B$1,$D$1,A310,$B$3)*'PSA&amp;CPR'!M309</f>
        <v>50.543000374567775</v>
      </c>
      <c r="G310" s="19">
        <f>(B310-E310)*'PSA&amp;CPR'!F310</f>
        <v>30.231249931892986</v>
      </c>
      <c r="H310" s="19">
        <f>Remaining_balance($B$1,$D$1,A310,$B$3)*'PSA&amp;CPR'!M310</f>
        <v>11895.082437105961</v>
      </c>
    </row>
    <row r="311" spans="1:8">
      <c r="A311">
        <f>'PSA&amp;CPR'!A311</f>
        <v>309</v>
      </c>
      <c r="B311" s="19">
        <f t="shared" si="8"/>
        <v>11895.082437105961</v>
      </c>
      <c r="C311" s="19">
        <f t="shared" si="9"/>
        <v>49.5628434879415</v>
      </c>
      <c r="D311" s="19">
        <f>Monthly_payment($B$1,$D$1,$B$3)*'PSA&amp;CPR'!M310</f>
        <v>254.90157307254975</v>
      </c>
      <c r="E311" s="19">
        <f>Principle_portion_of_payment($B$1,$D$1,A311,$B$3)*'PSA&amp;CPR'!M310</f>
        <v>205.3387295846083</v>
      </c>
      <c r="F311" s="19">
        <f>Interest_portion_of_payment($B$1,$D$1,A311,$B$3)*'PSA&amp;CPR'!M310</f>
        <v>49.5628434879415</v>
      </c>
      <c r="G311" s="19">
        <f>(B311-E311)*'PSA&amp;CPR'!F311</f>
        <v>29.634068581858152</v>
      </c>
      <c r="H311" s="19">
        <f>Remaining_balance($B$1,$D$1,A311,$B$3)*'PSA&amp;CPR'!M311</f>
        <v>11660.109638939492</v>
      </c>
    </row>
    <row r="312" spans="1:8">
      <c r="A312">
        <f>'PSA&amp;CPR'!A312</f>
        <v>310</v>
      </c>
      <c r="B312" s="19">
        <f t="shared" si="8"/>
        <v>11660.109638939492</v>
      </c>
      <c r="C312" s="19">
        <f t="shared" si="9"/>
        <v>48.58379016224788</v>
      </c>
      <c r="D312" s="19">
        <f>Monthly_payment($B$1,$D$1,$B$3)*'PSA&amp;CPR'!M311</f>
        <v>254.25538519306738</v>
      </c>
      <c r="E312" s="19">
        <f>Principle_portion_of_payment($B$1,$D$1,A312,$B$3)*'PSA&amp;CPR'!M311</f>
        <v>205.67159503081953</v>
      </c>
      <c r="F312" s="19">
        <f>Interest_portion_of_payment($B$1,$D$1,A312,$B$3)*'PSA&amp;CPR'!M311</f>
        <v>48.58379016224788</v>
      </c>
      <c r="G312" s="19">
        <f>(B312-E312)*'PSA&amp;CPR'!F312</f>
        <v>29.037557285488905</v>
      </c>
      <c r="H312" s="19">
        <f>Remaining_balance($B$1,$D$1,A312,$B$3)*'PSA&amp;CPR'!M312</f>
        <v>11425.400486623184</v>
      </c>
    </row>
    <row r="313" spans="1:8">
      <c r="A313">
        <f>'PSA&amp;CPR'!A313</f>
        <v>311</v>
      </c>
      <c r="B313" s="19">
        <f t="shared" si="8"/>
        <v>11425.400486623184</v>
      </c>
      <c r="C313" s="19">
        <f t="shared" si="9"/>
        <v>47.605835360929937</v>
      </c>
      <c r="D313" s="19">
        <f>Monthly_payment($B$1,$D$1,$B$3)*'PSA&amp;CPR'!M312</f>
        <v>253.61083543127319</v>
      </c>
      <c r="E313" s="19">
        <f>Principle_portion_of_payment($B$1,$D$1,A313,$B$3)*'PSA&amp;CPR'!M312</f>
        <v>206.0050000703433</v>
      </c>
      <c r="F313" s="19">
        <f>Interest_portion_of_payment($B$1,$D$1,A313,$B$3)*'PSA&amp;CPR'!M312</f>
        <v>47.60583536092993</v>
      </c>
      <c r="G313" s="19">
        <f>(B313-E313)*'PSA&amp;CPR'!F313</f>
        <v>28.441712976271372</v>
      </c>
      <c r="H313" s="19">
        <f>Remaining_balance($B$1,$D$1,A313,$B$3)*'PSA&amp;CPR'!M313</f>
        <v>11190.95377357657</v>
      </c>
    </row>
    <row r="314" spans="1:8">
      <c r="A314">
        <f>'PSA&amp;CPR'!A314</f>
        <v>312</v>
      </c>
      <c r="B314" s="19">
        <f t="shared" si="8"/>
        <v>11190.95377357657</v>
      </c>
      <c r="C314" s="19">
        <f t="shared" si="9"/>
        <v>46.628974056569042</v>
      </c>
      <c r="D314" s="19">
        <f>Monthly_payment($B$1,$D$1,$B$3)*'PSA&amp;CPR'!M313</f>
        <v>252.96791963445918</v>
      </c>
      <c r="E314" s="19">
        <f>Principle_portion_of_payment($B$1,$D$1,A314,$B$3)*'PSA&amp;CPR'!M313</f>
        <v>206.33894557789017</v>
      </c>
      <c r="F314" s="19">
        <f>Interest_portion_of_payment($B$1,$D$1,A314,$B$3)*'PSA&amp;CPR'!M313</f>
        <v>46.628974056569042</v>
      </c>
      <c r="G314" s="19">
        <f>(B314-E314)*'PSA&amp;CPR'!F314</f>
        <v>27.846532593247979</v>
      </c>
      <c r="H314" s="19">
        <f>Remaining_balance($B$1,$D$1,A314,$B$3)*'PSA&amp;CPR'!M314</f>
        <v>10956.768295405434</v>
      </c>
    </row>
    <row r="315" spans="1:8">
      <c r="A315">
        <f>'PSA&amp;CPR'!A315</f>
        <v>313</v>
      </c>
      <c r="B315" s="19">
        <f t="shared" si="8"/>
        <v>10956.768295405434</v>
      </c>
      <c r="C315" s="19">
        <f t="shared" si="9"/>
        <v>45.653201230855977</v>
      </c>
      <c r="D315" s="19">
        <f>Monthly_payment($B$1,$D$1,$B$3)*'PSA&amp;CPR'!M314</f>
        <v>252.32663366044468</v>
      </c>
      <c r="E315" s="19">
        <f>Principle_portion_of_payment($B$1,$D$1,A315,$B$3)*'PSA&amp;CPR'!M314</f>
        <v>206.67343242958873</v>
      </c>
      <c r="F315" s="19">
        <f>Interest_portion_of_payment($B$1,$D$1,A315,$B$3)*'PSA&amp;CPR'!M314</f>
        <v>45.65320123085597</v>
      </c>
      <c r="G315" s="19">
        <f>(B315-E315)*'PSA&amp;CPR'!F315</f>
        <v>27.252013080999816</v>
      </c>
      <c r="H315" s="19">
        <f>Remaining_balance($B$1,$D$1,A315,$B$3)*'PSA&amp;CPR'!M315</f>
        <v>10722.842849894849</v>
      </c>
    </row>
    <row r="316" spans="1:8">
      <c r="A316">
        <f>'PSA&amp;CPR'!A316</f>
        <v>314</v>
      </c>
      <c r="B316" s="19">
        <f t="shared" si="8"/>
        <v>10722.842849894849</v>
      </c>
      <c r="C316" s="19">
        <f t="shared" si="9"/>
        <v>44.67851187456187</v>
      </c>
      <c r="D316" s="19">
        <f>Monthly_payment($B$1,$D$1,$B$3)*'PSA&amp;CPR'!M315</f>
        <v>251.68697337754969</v>
      </c>
      <c r="E316" s="19">
        <f>Principle_portion_of_payment($B$1,$D$1,A316,$B$3)*'PSA&amp;CPR'!M315</f>
        <v>207.00846150298784</v>
      </c>
      <c r="F316" s="19">
        <f>Interest_portion_of_payment($B$1,$D$1,A316,$B$3)*'PSA&amp;CPR'!M315</f>
        <v>44.678511874561863</v>
      </c>
      <c r="G316" s="19">
        <f>(B316-E316)*'PSA&amp;CPR'!F316</f>
        <v>26.658151389628962</v>
      </c>
      <c r="H316" s="19">
        <f>Remaining_balance($B$1,$D$1,A316,$B$3)*'PSA&amp;CPR'!M316</f>
        <v>10489.176237002232</v>
      </c>
    </row>
    <row r="317" spans="1:8">
      <c r="A317">
        <f>'PSA&amp;CPR'!A317</f>
        <v>315</v>
      </c>
      <c r="B317" s="19">
        <f t="shared" si="8"/>
        <v>10489.176237002232</v>
      </c>
      <c r="C317" s="19">
        <f t="shared" si="9"/>
        <v>43.704900987509298</v>
      </c>
      <c r="D317" s="19">
        <f>Monthly_payment($B$1,$D$1,$B$3)*'PSA&amp;CPR'!M316</f>
        <v>251.04893466456818</v>
      </c>
      <c r="E317" s="19">
        <f>Principle_portion_of_payment($B$1,$D$1,A317,$B$3)*'PSA&amp;CPR'!M316</f>
        <v>207.34403367705889</v>
      </c>
      <c r="F317" s="19">
        <f>Interest_portion_of_payment($B$1,$D$1,A317,$B$3)*'PSA&amp;CPR'!M316</f>
        <v>43.704900987509298</v>
      </c>
      <c r="G317" s="19">
        <f>(B317-E317)*'PSA&amp;CPR'!F317</f>
        <v>26.064944474740898</v>
      </c>
      <c r="H317" s="19">
        <f>Remaining_balance($B$1,$D$1,A317,$B$3)*'PSA&amp;CPR'!M317</f>
        <v>10255.76725885043</v>
      </c>
    </row>
    <row r="318" spans="1:8">
      <c r="A318">
        <f>'PSA&amp;CPR'!A318</f>
        <v>316</v>
      </c>
      <c r="B318" s="19">
        <f t="shared" si="8"/>
        <v>10255.76725885043</v>
      </c>
      <c r="C318" s="19">
        <f t="shared" si="9"/>
        <v>42.732363578543456</v>
      </c>
      <c r="D318" s="19">
        <f>Monthly_payment($B$1,$D$1,$B$3)*'PSA&amp;CPR'!M317</f>
        <v>250.41251341074158</v>
      </c>
      <c r="E318" s="19">
        <f>Principle_portion_of_payment($B$1,$D$1,A318,$B$3)*'PSA&amp;CPR'!M317</f>
        <v>207.68014983219817</v>
      </c>
      <c r="F318" s="19">
        <f>Interest_portion_of_payment($B$1,$D$1,A318,$B$3)*'PSA&amp;CPR'!M317</f>
        <v>42.732363578543463</v>
      </c>
      <c r="G318" s="19">
        <f>(B318-E318)*'PSA&amp;CPR'!F318</f>
        <v>25.472389297426961</v>
      </c>
      <c r="H318" s="19">
        <f>Remaining_balance($B$1,$D$1,A318,$B$3)*'PSA&amp;CPR'!M318</f>
        <v>10022.614719720807</v>
      </c>
    </row>
    <row r="319" spans="1:8">
      <c r="A319">
        <f>'PSA&amp;CPR'!A319</f>
        <v>317</v>
      </c>
      <c r="B319" s="19">
        <f t="shared" si="8"/>
        <v>10022.614719720807</v>
      </c>
      <c r="C319" s="19">
        <f t="shared" si="9"/>
        <v>41.760894665503358</v>
      </c>
      <c r="D319" s="19">
        <f>Monthly_payment($B$1,$D$1,$B$3)*'PSA&amp;CPR'!M318</f>
        <v>249.77770551573232</v>
      </c>
      <c r="E319" s="19">
        <f>Principle_portion_of_payment($B$1,$D$1,A319,$B$3)*'PSA&amp;CPR'!M318</f>
        <v>208.01681085022898</v>
      </c>
      <c r="F319" s="19">
        <f>Interest_portion_of_payment($B$1,$D$1,A319,$B$3)*'PSA&amp;CPR'!M318</f>
        <v>41.760894665503365</v>
      </c>
      <c r="G319" s="19">
        <f>(B319-E319)*'PSA&amp;CPR'!F319</f>
        <v>24.880482824246812</v>
      </c>
      <c r="H319" s="19">
        <f>Remaining_balance($B$1,$D$1,A319,$B$3)*'PSA&amp;CPR'!M319</f>
        <v>9789.7174260463325</v>
      </c>
    </row>
    <row r="320" spans="1:8">
      <c r="A320">
        <f>'PSA&amp;CPR'!A320</f>
        <v>318</v>
      </c>
      <c r="B320" s="19">
        <f t="shared" si="8"/>
        <v>9789.7174260463325</v>
      </c>
      <c r="C320" s="19">
        <f t="shared" si="9"/>
        <v>40.790489275193053</v>
      </c>
      <c r="D320" s="19">
        <f>Monthly_payment($B$1,$D$1,$B$3)*'PSA&amp;CPR'!M319</f>
        <v>249.14450688959735</v>
      </c>
      <c r="E320" s="19">
        <f>Principle_portion_of_payment($B$1,$D$1,A320,$B$3)*'PSA&amp;CPR'!M319</f>
        <v>208.35401761440431</v>
      </c>
      <c r="F320" s="19">
        <f>Interest_portion_of_payment($B$1,$D$1,A320,$B$3)*'PSA&amp;CPR'!M319</f>
        <v>40.790489275193053</v>
      </c>
      <c r="G320" s="19">
        <f>(B320-E320)*'PSA&amp;CPR'!F320</f>
        <v>24.289222027210922</v>
      </c>
      <c r="H320" s="19">
        <f>Remaining_balance($B$1,$D$1,A320,$B$3)*'PSA&amp;CPR'!M320</f>
        <v>9557.0741864047177</v>
      </c>
    </row>
    <row r="321" spans="1:8">
      <c r="A321">
        <f>'PSA&amp;CPR'!A321</f>
        <v>319</v>
      </c>
      <c r="B321" s="19">
        <f t="shared" si="8"/>
        <v>9557.0741864047177</v>
      </c>
      <c r="C321" s="19">
        <f t="shared" si="9"/>
        <v>39.82114244335299</v>
      </c>
      <c r="D321" s="19">
        <f>Monthly_payment($B$1,$D$1,$B$3)*'PSA&amp;CPR'!M320</f>
        <v>248.51291345276186</v>
      </c>
      <c r="E321" s="19">
        <f>Principle_portion_of_payment($B$1,$D$1,A321,$B$3)*'PSA&amp;CPR'!M320</f>
        <v>208.69177100940888</v>
      </c>
      <c r="F321" s="19">
        <f>Interest_portion_of_payment($B$1,$D$1,A321,$B$3)*'PSA&amp;CPR'!M320</f>
        <v>39.82114244335299</v>
      </c>
      <c r="G321" s="19">
        <f>(B321-E321)*'PSA&amp;CPR'!F321</f>
        <v>23.698603883763145</v>
      </c>
      <c r="H321" s="19">
        <f>Remaining_balance($B$1,$D$1,A321,$B$3)*'PSA&amp;CPR'!M321</f>
        <v>9324.6838115115479</v>
      </c>
    </row>
    <row r="322" spans="1:8">
      <c r="A322">
        <f>'PSA&amp;CPR'!A322</f>
        <v>320</v>
      </c>
      <c r="B322" s="19">
        <f t="shared" si="8"/>
        <v>9324.6838115115479</v>
      </c>
      <c r="C322" s="19">
        <f t="shared" si="9"/>
        <v>38.852849214631448</v>
      </c>
      <c r="D322" s="19">
        <f>Monthly_payment($B$1,$D$1,$B$3)*'PSA&amp;CPR'!M321</f>
        <v>247.88292113599292</v>
      </c>
      <c r="E322" s="19">
        <f>Principle_portion_of_payment($B$1,$D$1,A322,$B$3)*'PSA&amp;CPR'!M321</f>
        <v>209.0300719213615</v>
      </c>
      <c r="F322" s="19">
        <f>Interest_portion_of_payment($B$1,$D$1,A322,$B$3)*'PSA&amp;CPR'!M321</f>
        <v>38.852849214631448</v>
      </c>
      <c r="G322" s="19">
        <f>(B322-E322)*'PSA&amp;CPR'!F322</f>
        <v>23.108625376763325</v>
      </c>
      <c r="H322" s="19">
        <f>Remaining_balance($B$1,$D$1,A322,$B$3)*'PSA&amp;CPR'!M322</f>
        <v>9092.5451142134189</v>
      </c>
    </row>
    <row r="323" spans="1:8">
      <c r="A323">
        <f>'PSA&amp;CPR'!A323</f>
        <v>321</v>
      </c>
      <c r="B323" s="19">
        <f t="shared" si="8"/>
        <v>9092.5451142134189</v>
      </c>
      <c r="C323" s="19">
        <f t="shared" si="9"/>
        <v>37.885604642555911</v>
      </c>
      <c r="D323" s="19">
        <f>Monthly_payment($B$1,$D$1,$B$3)*'PSA&amp;CPR'!M322</f>
        <v>247.25452588037331</v>
      </c>
      <c r="E323" s="19">
        <f>Principle_portion_of_payment($B$1,$D$1,A323,$B$3)*'PSA&amp;CPR'!M322</f>
        <v>209.36892123781746</v>
      </c>
      <c r="F323" s="19">
        <f>Interest_portion_of_payment($B$1,$D$1,A323,$B$3)*'PSA&amp;CPR'!M322</f>
        <v>37.885604642555904</v>
      </c>
      <c r="G323" s="19">
        <f>(B323-E323)*'PSA&amp;CPR'!F323</f>
        <v>22.519283494469864</v>
      </c>
      <c r="H323" s="19">
        <f>Remaining_balance($B$1,$D$1,A323,$B$3)*'PSA&amp;CPR'!M323</f>
        <v>8860.6569094811384</v>
      </c>
    </row>
    <row r="324" spans="1:8">
      <c r="A324">
        <f>'PSA&amp;CPR'!A324</f>
        <v>322</v>
      </c>
      <c r="B324" s="19">
        <f t="shared" si="8"/>
        <v>8860.6569094811384</v>
      </c>
      <c r="C324" s="19">
        <f t="shared" si="9"/>
        <v>36.919403789504742</v>
      </c>
      <c r="D324" s="19">
        <f>Monthly_payment($B$1,$D$1,$B$3)*'PSA&amp;CPR'!M323</f>
        <v>246.62772363727544</v>
      </c>
      <c r="E324" s="19">
        <f>Principle_portion_of_payment($B$1,$D$1,A324,$B$3)*'PSA&amp;CPR'!M323</f>
        <v>209.70831984777075</v>
      </c>
      <c r="F324" s="19">
        <f>Interest_portion_of_payment($B$1,$D$1,A324,$B$3)*'PSA&amp;CPR'!M323</f>
        <v>36.919403789504749</v>
      </c>
      <c r="G324" s="19">
        <f>(B324-E324)*'PSA&amp;CPR'!F324</f>
        <v>21.930575230522521</v>
      </c>
      <c r="H324" s="19">
        <f>Remaining_balance($B$1,$D$1,A324,$B$3)*'PSA&amp;CPR'!M324</f>
        <v>8629.0180144028418</v>
      </c>
    </row>
    <row r="325" spans="1:8">
      <c r="A325">
        <f>'PSA&amp;CPR'!A325</f>
        <v>323</v>
      </c>
      <c r="B325" s="19">
        <f t="shared" ref="B325:B362" si="10">H324</f>
        <v>8629.0180144028418</v>
      </c>
      <c r="C325" s="19">
        <f t="shared" ref="C325:C362" si="11">B325*($B$1/1200)</f>
        <v>35.954241726678504</v>
      </c>
      <c r="D325" s="19">
        <f>Monthly_payment($B$1,$D$1,$B$3)*'PSA&amp;CPR'!M324</f>
        <v>246.00251036833507</v>
      </c>
      <c r="E325" s="19">
        <f>Principle_portion_of_payment($B$1,$D$1,A325,$B$3)*'PSA&amp;CPR'!M324</f>
        <v>210.04826864165659</v>
      </c>
      <c r="F325" s="19">
        <f>Interest_portion_of_payment($B$1,$D$1,A325,$B$3)*'PSA&amp;CPR'!M324</f>
        <v>35.954241726678504</v>
      </c>
      <c r="G325" s="19">
        <f>(B325-E325)*'PSA&amp;CPR'!F325</f>
        <v>21.342497583924906</v>
      </c>
      <c r="H325" s="19">
        <f>Remaining_balance($B$1,$D$1,A325,$B$3)*'PSA&amp;CPR'!M325</f>
        <v>8397.6272481772576</v>
      </c>
    </row>
    <row r="326" spans="1:8">
      <c r="A326">
        <f>'PSA&amp;CPR'!A326</f>
        <v>324</v>
      </c>
      <c r="B326" s="19">
        <f t="shared" si="10"/>
        <v>8397.6272481772576</v>
      </c>
      <c r="C326" s="19">
        <f t="shared" si="11"/>
        <v>34.990113534071909</v>
      </c>
      <c r="D326" s="19">
        <f>Monthly_payment($B$1,$D$1,$B$3)*'PSA&amp;CPR'!M325</f>
        <v>245.37888204542548</v>
      </c>
      <c r="E326" s="19">
        <f>Principle_portion_of_payment($B$1,$D$1,A326,$B$3)*'PSA&amp;CPR'!M325</f>
        <v>210.38876851135362</v>
      </c>
      <c r="F326" s="19">
        <f>Interest_portion_of_payment($B$1,$D$1,A326,$B$3)*'PSA&amp;CPR'!M325</f>
        <v>34.990113534071909</v>
      </c>
      <c r="G326" s="19">
        <f>(B326-E326)*'PSA&amp;CPR'!F326</f>
        <v>20.755047559027442</v>
      </c>
      <c r="H326" s="19">
        <f>Remaining_balance($B$1,$D$1,A326,$B$3)*'PSA&amp;CPR'!M326</f>
        <v>8166.483432106882</v>
      </c>
    </row>
    <row r="327" spans="1:8">
      <c r="A327">
        <f>'PSA&amp;CPR'!A327</f>
        <v>325</v>
      </c>
      <c r="B327" s="19">
        <f t="shared" si="10"/>
        <v>8166.483432106882</v>
      </c>
      <c r="C327" s="19">
        <f t="shared" si="11"/>
        <v>34.027014300445344</v>
      </c>
      <c r="D327" s="19">
        <f>Monthly_payment($B$1,$D$1,$B$3)*'PSA&amp;CPR'!M326</f>
        <v>244.75683465063145</v>
      </c>
      <c r="E327" s="19">
        <f>Principle_portion_of_payment($B$1,$D$1,A327,$B$3)*'PSA&amp;CPR'!M326</f>
        <v>210.72982035018612</v>
      </c>
      <c r="F327" s="19">
        <f>Interest_portion_of_payment($B$1,$D$1,A327,$B$3)*'PSA&amp;CPR'!M326</f>
        <v>34.027014300445337</v>
      </c>
      <c r="G327" s="19">
        <f>(B327-E327)*'PSA&amp;CPR'!F327</f>
        <v>20.168222165510034</v>
      </c>
      <c r="H327" s="19">
        <f>Remaining_balance($B$1,$D$1,A327,$B$3)*'PSA&amp;CPR'!M327</f>
        <v>7935.585389591186</v>
      </c>
    </row>
    <row r="328" spans="1:8">
      <c r="A328">
        <f>'PSA&amp;CPR'!A328</f>
        <v>326</v>
      </c>
      <c r="B328" s="19">
        <f t="shared" si="10"/>
        <v>7935.585389591186</v>
      </c>
      <c r="C328" s="19">
        <f t="shared" si="11"/>
        <v>33.064939123296611</v>
      </c>
      <c r="D328" s="19">
        <f>Monthly_payment($B$1,$D$1,$B$3)*'PSA&amp;CPR'!M327</f>
        <v>244.13636417622331</v>
      </c>
      <c r="E328" s="19">
        <f>Principle_portion_of_payment($B$1,$D$1,A328,$B$3)*'PSA&amp;CPR'!M327</f>
        <v>211.07142505292671</v>
      </c>
      <c r="F328" s="19">
        <f>Interest_portion_of_payment($B$1,$D$1,A328,$B$3)*'PSA&amp;CPR'!M327</f>
        <v>33.064939123296604</v>
      </c>
      <c r="G328" s="19">
        <f>(B328-E328)*'PSA&amp;CPR'!F328</f>
        <v>19.582018418364854</v>
      </c>
      <c r="H328" s="19">
        <f>Remaining_balance($B$1,$D$1,A328,$B$3)*'PSA&amp;CPR'!M328</f>
        <v>7704.9319461198929</v>
      </c>
    </row>
    <row r="329" spans="1:8">
      <c r="A329">
        <f>'PSA&amp;CPR'!A329</f>
        <v>327</v>
      </c>
      <c r="B329" s="19">
        <f t="shared" si="10"/>
        <v>7704.9319461198929</v>
      </c>
      <c r="C329" s="19">
        <f t="shared" si="11"/>
        <v>32.103883108832889</v>
      </c>
      <c r="D329" s="19">
        <f>Monthly_payment($B$1,$D$1,$B$3)*'PSA&amp;CPR'!M328</f>
        <v>243.51746662463125</v>
      </c>
      <c r="E329" s="19">
        <f>Principle_portion_of_payment($B$1,$D$1,A329,$B$3)*'PSA&amp;CPR'!M328</f>
        <v>211.41358351579836</v>
      </c>
      <c r="F329" s="19">
        <f>Interest_portion_of_payment($B$1,$D$1,A329,$B$3)*'PSA&amp;CPR'!M328</f>
        <v>32.103883108832889</v>
      </c>
      <c r="G329" s="19">
        <f>(B329-E329)*'PSA&amp;CPR'!F329</f>
        <v>18.996433337879278</v>
      </c>
      <c r="H329" s="19">
        <f>Remaining_balance($B$1,$D$1,A329,$B$3)*'PSA&amp;CPR'!M329</f>
        <v>7474.5219292662177</v>
      </c>
    </row>
    <row r="330" spans="1:8">
      <c r="A330">
        <f>'PSA&amp;CPR'!A330</f>
        <v>328</v>
      </c>
      <c r="B330" s="19">
        <f t="shared" si="10"/>
        <v>7474.5219292662177</v>
      </c>
      <c r="C330" s="19">
        <f t="shared" si="11"/>
        <v>31.143841371942575</v>
      </c>
      <c r="D330" s="19">
        <f>Monthly_payment($B$1,$D$1,$B$3)*'PSA&amp;CPR'!M329</f>
        <v>242.90013800841947</v>
      </c>
      <c r="E330" s="19">
        <f>Principle_portion_of_payment($B$1,$D$1,A330,$B$3)*'PSA&amp;CPR'!M329</f>
        <v>211.75629663647692</v>
      </c>
      <c r="F330" s="19">
        <f>Interest_portion_of_payment($B$1,$D$1,A330,$B$3)*'PSA&amp;CPR'!M329</f>
        <v>31.143841371942571</v>
      </c>
      <c r="G330" s="19">
        <f>(B330-E330)*'PSA&amp;CPR'!F330</f>
        <v>18.41146394961876</v>
      </c>
      <c r="H330" s="19">
        <f>Remaining_balance($B$1,$D$1,A330,$B$3)*'PSA&amp;CPR'!M330</f>
        <v>7244.3541686801245</v>
      </c>
    </row>
    <row r="331" spans="1:8">
      <c r="A331">
        <f>'PSA&amp;CPR'!A331</f>
        <v>329</v>
      </c>
      <c r="B331" s="19">
        <f t="shared" si="10"/>
        <v>7244.3541686801245</v>
      </c>
      <c r="C331" s="19">
        <f t="shared" si="11"/>
        <v>30.184809036167184</v>
      </c>
      <c r="D331" s="19">
        <f>Monthly_payment($B$1,$D$1,$B$3)*'PSA&amp;CPR'!M330</f>
        <v>242.28437435026049</v>
      </c>
      <c r="E331" s="19">
        <f>Principle_portion_of_payment($B$1,$D$1,A331,$B$3)*'PSA&amp;CPR'!M330</f>
        <v>212.09956531409333</v>
      </c>
      <c r="F331" s="19">
        <f>Interest_portion_of_payment($B$1,$D$1,A331,$B$3)*'PSA&amp;CPR'!M330</f>
        <v>30.184809036167188</v>
      </c>
      <c r="G331" s="19">
        <f>(B331-E331)*'PSA&amp;CPR'!F331</f>
        <v>17.827107284409724</v>
      </c>
      <c r="H331" s="19">
        <f>Remaining_balance($B$1,$D$1,A331,$B$3)*'PSA&amp;CPR'!M331</f>
        <v>7014.4274960816192</v>
      </c>
    </row>
    <row r="332" spans="1:8">
      <c r="A332">
        <f>'PSA&amp;CPR'!A332</f>
        <v>330</v>
      </c>
      <c r="B332" s="19">
        <f t="shared" si="10"/>
        <v>7014.4274960816192</v>
      </c>
      <c r="C332" s="19">
        <f t="shared" si="11"/>
        <v>29.226781233673414</v>
      </c>
      <c r="D332" s="19">
        <f>Monthly_payment($B$1,$D$1,$B$3)*'PSA&amp;CPR'!M331</f>
        <v>241.67017168290957</v>
      </c>
      <c r="E332" s="19">
        <f>Principle_portion_of_payment($B$1,$D$1,A332,$B$3)*'PSA&amp;CPR'!M331</f>
        <v>212.4433904492362</v>
      </c>
      <c r="F332" s="19">
        <f>Interest_portion_of_payment($B$1,$D$1,A332,$B$3)*'PSA&amp;CPR'!M331</f>
        <v>29.226781233673414</v>
      </c>
      <c r="G332" s="19">
        <f>(B332-E332)*'PSA&amp;CPR'!F332</f>
        <v>17.243360378322556</v>
      </c>
      <c r="H332" s="19">
        <f>Remaining_balance($B$1,$D$1,A332,$B$3)*'PSA&amp;CPR'!M332</f>
        <v>6784.7407452540638</v>
      </c>
    </row>
    <row r="333" spans="1:8">
      <c r="A333">
        <f>'PSA&amp;CPR'!A333</f>
        <v>331</v>
      </c>
      <c r="B333" s="19">
        <f t="shared" si="10"/>
        <v>6784.7407452540638</v>
      </c>
      <c r="C333" s="19">
        <f t="shared" si="11"/>
        <v>28.269753105225266</v>
      </c>
      <c r="D333" s="19">
        <f>Monthly_payment($B$1,$D$1,$B$3)*'PSA&amp;CPR'!M332</f>
        <v>241.05752604917913</v>
      </c>
      <c r="E333" s="19">
        <f>Principle_portion_of_payment($B$1,$D$1,A333,$B$3)*'PSA&amp;CPR'!M332</f>
        <v>212.78777294395394</v>
      </c>
      <c r="F333" s="19">
        <f>Interest_portion_of_payment($B$1,$D$1,A333,$B$3)*'PSA&amp;CPR'!M332</f>
        <v>28.269753105225263</v>
      </c>
      <c r="G333" s="19">
        <f>(B333-E333)*'PSA&amp;CPR'!F333</f>
        <v>16.660220272654644</v>
      </c>
      <c r="H333" s="19">
        <f>Remaining_balance($B$1,$D$1,A333,$B$3)*'PSA&amp;CPR'!M333</f>
        <v>6555.2927520374551</v>
      </c>
    </row>
    <row r="334" spans="1:8">
      <c r="A334">
        <f>'PSA&amp;CPR'!A334</f>
        <v>332</v>
      </c>
      <c r="B334" s="19">
        <f t="shared" si="10"/>
        <v>6555.2927520374551</v>
      </c>
      <c r="C334" s="19">
        <f t="shared" si="11"/>
        <v>27.313719800156061</v>
      </c>
      <c r="D334" s="19">
        <f>Monthly_payment($B$1,$D$1,$B$3)*'PSA&amp;CPR'!M333</f>
        <v>240.44643350191328</v>
      </c>
      <c r="E334" s="19">
        <f>Principle_portion_of_payment($B$1,$D$1,A334,$B$3)*'PSA&amp;CPR'!M333</f>
        <v>213.13271370175724</v>
      </c>
      <c r="F334" s="19">
        <f>Interest_portion_of_payment($B$1,$D$1,A334,$B$3)*'PSA&amp;CPR'!M333</f>
        <v>27.313719800156065</v>
      </c>
      <c r="G334" s="19">
        <f>(B334-E334)*'PSA&amp;CPR'!F334</f>
        <v>16.077684013913348</v>
      </c>
      <c r="H334" s="19">
        <f>Remaining_balance($B$1,$D$1,A334,$B$3)*'PSA&amp;CPR'!M334</f>
        <v>6326.0823543217894</v>
      </c>
    </row>
    <row r="335" spans="1:8">
      <c r="A335">
        <f>'PSA&amp;CPR'!A335</f>
        <v>333</v>
      </c>
      <c r="B335" s="19">
        <f t="shared" si="10"/>
        <v>6326.0823543217894</v>
      </c>
      <c r="C335" s="19">
        <f t="shared" si="11"/>
        <v>26.35867647634079</v>
      </c>
      <c r="D335" s="19">
        <f>Monthly_payment($B$1,$D$1,$B$3)*'PSA&amp;CPR'!M334</f>
        <v>239.83689010396228</v>
      </c>
      <c r="E335" s="19">
        <f>Principle_portion_of_payment($B$1,$D$1,A335,$B$3)*'PSA&amp;CPR'!M334</f>
        <v>213.4782136276215</v>
      </c>
      <c r="F335" s="19">
        <f>Interest_portion_of_payment($B$1,$D$1,A335,$B$3)*'PSA&amp;CPR'!M334</f>
        <v>26.358676476340786</v>
      </c>
      <c r="G335" s="19">
        <f>(B335-E335)*'PSA&amp;CPR'!F335</f>
        <v>15.495748653799149</v>
      </c>
      <c r="H335" s="19">
        <f>Remaining_balance($B$1,$D$1,A335,$B$3)*'PSA&amp;CPR'!M335</f>
        <v>6097.1083920403662</v>
      </c>
    </row>
    <row r="336" spans="1:8">
      <c r="A336">
        <f>'PSA&amp;CPR'!A336</f>
        <v>334</v>
      </c>
      <c r="B336" s="19">
        <f t="shared" si="10"/>
        <v>6097.1083920403662</v>
      </c>
      <c r="C336" s="19">
        <f t="shared" si="11"/>
        <v>25.404618300168192</v>
      </c>
      <c r="D336" s="19">
        <f>Monthly_payment($B$1,$D$1,$B$3)*'PSA&amp;CPR'!M335</f>
        <v>239.22889192815731</v>
      </c>
      <c r="E336" s="19">
        <f>Principle_portion_of_payment($B$1,$D$1,A336,$B$3)*'PSA&amp;CPR'!M335</f>
        <v>213.82427362798919</v>
      </c>
      <c r="F336" s="19">
        <f>Interest_portion_of_payment($B$1,$D$1,A336,$B$3)*'PSA&amp;CPR'!M335</f>
        <v>25.404618300168192</v>
      </c>
      <c r="G336" s="19">
        <f>(B336-E336)*'PSA&amp;CPR'!F336</f>
        <v>14.914411249188698</v>
      </c>
      <c r="H336" s="19">
        <f>Remaining_balance($B$1,$D$1,A336,$B$3)*'PSA&amp;CPR'!M336</f>
        <v>5868.3697071631877</v>
      </c>
    </row>
    <row r="337" spans="1:8">
      <c r="A337">
        <f>'PSA&amp;CPR'!A337</f>
        <v>335</v>
      </c>
      <c r="B337" s="19">
        <f t="shared" si="10"/>
        <v>5868.3697071631877</v>
      </c>
      <c r="C337" s="19">
        <f t="shared" si="11"/>
        <v>24.451540446513281</v>
      </c>
      <c r="D337" s="19">
        <f>Monthly_payment($B$1,$D$1,$B$3)*'PSA&amp;CPR'!M336</f>
        <v>238.62243505728514</v>
      </c>
      <c r="E337" s="19">
        <f>Principle_portion_of_payment($B$1,$D$1,A337,$B$3)*'PSA&amp;CPR'!M336</f>
        <v>214.17089461077191</v>
      </c>
      <c r="F337" s="19">
        <f>Interest_portion_of_payment($B$1,$D$1,A337,$B$3)*'PSA&amp;CPR'!M336</f>
        <v>24.451540446513285</v>
      </c>
      <c r="G337" s="19">
        <f>(B337-E337)*'PSA&amp;CPR'!F337</f>
        <v>14.333668862118047</v>
      </c>
      <c r="H337" s="19">
        <f>Remaining_balance($B$1,$D$1,A337,$B$3)*'PSA&amp;CPR'!M337</f>
        <v>5639.8651436903028</v>
      </c>
    </row>
    <row r="338" spans="1:8">
      <c r="A338">
        <f>'PSA&amp;CPR'!A338</f>
        <v>336</v>
      </c>
      <c r="B338" s="19">
        <f t="shared" si="10"/>
        <v>5639.8651436903028</v>
      </c>
      <c r="C338" s="19">
        <f t="shared" si="11"/>
        <v>23.499438098709597</v>
      </c>
      <c r="D338" s="19">
        <f>Monthly_payment($B$1,$D$1,$B$3)*'PSA&amp;CPR'!M337</f>
        <v>238.01751558406286</v>
      </c>
      <c r="E338" s="19">
        <f>Principle_portion_of_payment($B$1,$D$1,A338,$B$3)*'PSA&amp;CPR'!M337</f>
        <v>214.5180774853533</v>
      </c>
      <c r="F338" s="19">
        <f>Interest_portion_of_payment($B$1,$D$1,A338,$B$3)*'PSA&amp;CPR'!M337</f>
        <v>23.4994380987096</v>
      </c>
      <c r="G338" s="19">
        <f>(B338-E338)*'PSA&amp;CPR'!F338</f>
        <v>13.753518559765798</v>
      </c>
      <c r="H338" s="19">
        <f>Remaining_balance($B$1,$D$1,A338,$B$3)*'PSA&amp;CPR'!M338</f>
        <v>5411.5935476451841</v>
      </c>
    </row>
    <row r="339" spans="1:8">
      <c r="A339">
        <f>'PSA&amp;CPR'!A339</f>
        <v>337</v>
      </c>
      <c r="B339" s="19">
        <f t="shared" si="10"/>
        <v>5411.5935476451841</v>
      </c>
      <c r="C339" s="19">
        <f t="shared" si="11"/>
        <v>22.5483064485216</v>
      </c>
      <c r="D339" s="19">
        <f>Monthly_payment($B$1,$D$1,$B$3)*'PSA&amp;CPR'!M338</f>
        <v>237.41412961111263</v>
      </c>
      <c r="E339" s="19">
        <f>Principle_portion_of_payment($B$1,$D$1,A339,$B$3)*'PSA&amp;CPR'!M338</f>
        <v>214.86582316259108</v>
      </c>
      <c r="F339" s="19">
        <f>Interest_portion_of_payment($B$1,$D$1,A339,$B$3)*'PSA&amp;CPR'!M338</f>
        <v>22.5483064485216</v>
      </c>
      <c r="G339" s="19">
        <f>(B339-E339)*'PSA&amp;CPR'!F339</f>
        <v>13.173957414436282</v>
      </c>
      <c r="H339" s="19">
        <f>Remaining_balance($B$1,$D$1,A339,$B$3)*'PSA&amp;CPR'!M339</f>
        <v>5183.5537670681551</v>
      </c>
    </row>
    <row r="340" spans="1:8">
      <c r="A340">
        <f>'PSA&amp;CPR'!A340</f>
        <v>338</v>
      </c>
      <c r="B340" s="19">
        <f t="shared" si="10"/>
        <v>5183.5537670681551</v>
      </c>
      <c r="C340" s="19">
        <f t="shared" si="11"/>
        <v>21.598140696117312</v>
      </c>
      <c r="D340" s="19">
        <f>Monthly_payment($B$1,$D$1,$B$3)*'PSA&amp;CPR'!M339</f>
        <v>236.81227325093673</v>
      </c>
      <c r="E340" s="19">
        <f>Principle_portion_of_payment($B$1,$D$1,A340,$B$3)*'PSA&amp;CPR'!M339</f>
        <v>215.21413255481946</v>
      </c>
      <c r="F340" s="19">
        <f>Interest_portion_of_payment($B$1,$D$1,A340,$B$3)*'PSA&amp;CPR'!M339</f>
        <v>21.598140696117312</v>
      </c>
      <c r="G340" s="19">
        <f>(B340-E340)*'PSA&amp;CPR'!F340</f>
        <v>12.594982503542909</v>
      </c>
      <c r="H340" s="19">
        <f>Remaining_balance($B$1,$D$1,A340,$B$3)*'PSA&amp;CPR'!M340</f>
        <v>4955.7446520097974</v>
      </c>
    </row>
    <row r="341" spans="1:8">
      <c r="A341">
        <f>'PSA&amp;CPR'!A341</f>
        <v>339</v>
      </c>
      <c r="B341" s="19">
        <f t="shared" si="10"/>
        <v>4955.7446520097974</v>
      </c>
      <c r="C341" s="19">
        <f t="shared" si="11"/>
        <v>20.648936050040824</v>
      </c>
      <c r="D341" s="19">
        <f>Monthly_payment($B$1,$D$1,$B$3)*'PSA&amp;CPR'!M340</f>
        <v>236.21194262589245</v>
      </c>
      <c r="E341" s="19">
        <f>Principle_portion_of_payment($B$1,$D$1,A341,$B$3)*'PSA&amp;CPR'!M340</f>
        <v>215.56300657585169</v>
      </c>
      <c r="F341" s="19">
        <f>Interest_portion_of_payment($B$1,$D$1,A341,$B$3)*'PSA&amp;CPR'!M340</f>
        <v>20.64893605004082</v>
      </c>
      <c r="G341" s="19">
        <f>(B341-E341)*'PSA&amp;CPR'!F341</f>
        <v>12.016590909591436</v>
      </c>
      <c r="H341" s="19">
        <f>Remaining_balance($B$1,$D$1,A341,$B$3)*'PSA&amp;CPR'!M341</f>
        <v>4728.1650545243492</v>
      </c>
    </row>
    <row r="342" spans="1:8">
      <c r="A342">
        <f>'PSA&amp;CPR'!A342</f>
        <v>340</v>
      </c>
      <c r="B342" s="19">
        <f t="shared" si="10"/>
        <v>4728.1650545243492</v>
      </c>
      <c r="C342" s="19">
        <f t="shared" si="11"/>
        <v>19.700687727184789</v>
      </c>
      <c r="D342" s="19">
        <f>Monthly_payment($B$1,$D$1,$B$3)*'PSA&amp;CPR'!M341</f>
        <v>235.61313386816698</v>
      </c>
      <c r="E342" s="19">
        <f>Principle_portion_of_payment($B$1,$D$1,A342,$B$3)*'PSA&amp;CPR'!M341</f>
        <v>215.91244614098224</v>
      </c>
      <c r="F342" s="19">
        <f>Interest_portion_of_payment($B$1,$D$1,A342,$B$3)*'PSA&amp;CPR'!M341</f>
        <v>19.700687727184789</v>
      </c>
      <c r="G342" s="19">
        <f>(B342-E342)*'PSA&amp;CPR'!F342</f>
        <v>11.438779720163234</v>
      </c>
      <c r="H342" s="19">
        <f>Remaining_balance($B$1,$D$1,A342,$B$3)*'PSA&amp;CPR'!M342</f>
        <v>4500.8138286632093</v>
      </c>
    </row>
    <row r="343" spans="1:8">
      <c r="A343">
        <f>'PSA&amp;CPR'!A343</f>
        <v>341</v>
      </c>
      <c r="B343" s="19">
        <f t="shared" si="10"/>
        <v>4500.8138286632093</v>
      </c>
      <c r="C343" s="19">
        <f t="shared" si="11"/>
        <v>18.753390952763372</v>
      </c>
      <c r="D343" s="19">
        <f>Monthly_payment($B$1,$D$1,$B$3)*'PSA&amp;CPR'!M342</f>
        <v>235.01584311975276</v>
      </c>
      <c r="E343" s="19">
        <f>Principle_portion_of_payment($B$1,$D$1,A343,$B$3)*'PSA&amp;CPR'!M342</f>
        <v>216.26245216698945</v>
      </c>
      <c r="F343" s="19">
        <f>Interest_portion_of_payment($B$1,$D$1,A343,$B$3)*'PSA&amp;CPR'!M342</f>
        <v>18.753390952763372</v>
      </c>
      <c r="G343" s="19">
        <f>(B343-E343)*'PSA&amp;CPR'!F343</f>
        <v>10.861546027898815</v>
      </c>
      <c r="H343" s="19">
        <f>Remaining_balance($B$1,$D$1,A343,$B$3)*'PSA&amp;CPR'!M343</f>
        <v>4273.6898304683191</v>
      </c>
    </row>
    <row r="344" spans="1:8">
      <c r="A344">
        <f>'PSA&amp;CPR'!A344</f>
        <v>342</v>
      </c>
      <c r="B344" s="19">
        <f t="shared" si="10"/>
        <v>4273.6898304683191</v>
      </c>
      <c r="C344" s="19">
        <f t="shared" si="11"/>
        <v>17.807040960284663</v>
      </c>
      <c r="D344" s="19">
        <f>Monthly_payment($B$1,$D$1,$B$3)*'PSA&amp;CPR'!M343</f>
        <v>234.42006653242237</v>
      </c>
      <c r="E344" s="19">
        <f>Principle_portion_of_payment($B$1,$D$1,A344,$B$3)*'PSA&amp;CPR'!M343</f>
        <v>216.61302557213776</v>
      </c>
      <c r="F344" s="19">
        <f>Interest_portion_of_payment($B$1,$D$1,A344,$B$3)*'PSA&amp;CPR'!M343</f>
        <v>17.80704096028466</v>
      </c>
      <c r="G344" s="19">
        <f>(B344-E344)*'PSA&amp;CPR'!F344</f>
        <v>10.284886930481044</v>
      </c>
      <c r="H344" s="19">
        <f>Remaining_balance($B$1,$D$1,A344,$B$3)*'PSA&amp;CPR'!M344</f>
        <v>4046.7919179656997</v>
      </c>
    </row>
    <row r="345" spans="1:8">
      <c r="A345">
        <f>'PSA&amp;CPR'!A345</f>
        <v>343</v>
      </c>
      <c r="B345" s="19">
        <f t="shared" si="10"/>
        <v>4046.7919179656997</v>
      </c>
      <c r="C345" s="19">
        <f t="shared" si="11"/>
        <v>16.861632991523749</v>
      </c>
      <c r="D345" s="19">
        <f>Monthly_payment($B$1,$D$1,$B$3)*'PSA&amp;CPR'!M344</f>
        <v>233.82580026770384</v>
      </c>
      <c r="E345" s="19">
        <f>Principle_portion_of_payment($B$1,$D$1,A345,$B$3)*'PSA&amp;CPR'!M344</f>
        <v>216.96416727618015</v>
      </c>
      <c r="F345" s="19">
        <f>Interest_portion_of_payment($B$1,$D$1,A345,$B$3)*'PSA&amp;CPR'!M344</f>
        <v>16.861632991523749</v>
      </c>
      <c r="G345" s="19">
        <f>(B345-E345)*'PSA&amp;CPR'!F345</f>
        <v>9.708799530618748</v>
      </c>
      <c r="H345" s="19">
        <f>Remaining_balance($B$1,$D$1,A345,$B$3)*'PSA&amp;CPR'!M345</f>
        <v>3820.1189511589</v>
      </c>
    </row>
    <row r="346" spans="1:8">
      <c r="A346">
        <f>'PSA&amp;CPR'!A346</f>
        <v>344</v>
      </c>
      <c r="B346" s="19">
        <f t="shared" si="10"/>
        <v>3820.1189511589</v>
      </c>
      <c r="C346" s="19">
        <f t="shared" si="11"/>
        <v>15.917162296495416</v>
      </c>
      <c r="D346" s="19">
        <f>Monthly_payment($B$1,$D$1,$B$3)*'PSA&amp;CPR'!M345</f>
        <v>233.23304049685595</v>
      </c>
      <c r="E346" s="19">
        <f>Principle_portion_of_payment($B$1,$D$1,A346,$B$3)*'PSA&amp;CPR'!M345</f>
        <v>217.31587820036057</v>
      </c>
      <c r="F346" s="19">
        <f>Interest_portion_of_payment($B$1,$D$1,A346,$B$3)*'PSA&amp;CPR'!M345</f>
        <v>15.917162296495418</v>
      </c>
      <c r="G346" s="19">
        <f>(B346-E346)*'PSA&amp;CPR'!F346</f>
        <v>9.1332809360301042</v>
      </c>
      <c r="H346" s="19">
        <f>Remaining_balance($B$1,$D$1,A346,$B$3)*'PSA&amp;CPR'!M346</f>
        <v>3593.6697920225156</v>
      </c>
    </row>
    <row r="347" spans="1:8">
      <c r="A347">
        <f>'PSA&amp;CPR'!A347</f>
        <v>345</v>
      </c>
      <c r="B347" s="19">
        <f t="shared" si="10"/>
        <v>3593.6697920225156</v>
      </c>
      <c r="C347" s="19">
        <f t="shared" si="11"/>
        <v>14.973624133427148</v>
      </c>
      <c r="D347" s="19">
        <f>Monthly_payment($B$1,$D$1,$B$3)*'PSA&amp;CPR'!M346</f>
        <v>232.64178340084345</v>
      </c>
      <c r="E347" s="19">
        <f>Principle_portion_of_payment($B$1,$D$1,A347,$B$3)*'PSA&amp;CPR'!M346</f>
        <v>217.66815926741634</v>
      </c>
      <c r="F347" s="19">
        <f>Interest_portion_of_payment($B$1,$D$1,A347,$B$3)*'PSA&amp;CPR'!M346</f>
        <v>14.973624133427148</v>
      </c>
      <c r="G347" s="19">
        <f>(B347-E347)*'PSA&amp;CPR'!F347</f>
        <v>8.5583282594262098</v>
      </c>
      <c r="H347" s="19">
        <f>Remaining_balance($B$1,$D$1,A347,$B$3)*'PSA&amp;CPR'!M347</f>
        <v>3367.443304495675</v>
      </c>
    </row>
    <row r="348" spans="1:8">
      <c r="A348">
        <f>'PSA&amp;CPR'!A348</f>
        <v>346</v>
      </c>
      <c r="B348" s="19">
        <f t="shared" si="10"/>
        <v>3367.443304495675</v>
      </c>
      <c r="C348" s="19">
        <f t="shared" si="11"/>
        <v>14.031013768731979</v>
      </c>
      <c r="D348" s="19">
        <f>Monthly_payment($B$1,$D$1,$B$3)*'PSA&amp;CPR'!M347</f>
        <v>232.05202517031267</v>
      </c>
      <c r="E348" s="19">
        <f>Principle_portion_of_payment($B$1,$D$1,A348,$B$3)*'PSA&amp;CPR'!M347</f>
        <v>218.02101140158078</v>
      </c>
      <c r="F348" s="19">
        <f>Interest_portion_of_payment($B$1,$D$1,A348,$B$3)*'PSA&amp;CPR'!M347</f>
        <v>14.031013768731977</v>
      </c>
      <c r="G348" s="19">
        <f>(B348-E348)*'PSA&amp;CPR'!F348</f>
        <v>7.9839386184945464</v>
      </c>
      <c r="H348" s="19">
        <f>Remaining_balance($B$1,$D$1,A348,$B$3)*'PSA&amp;CPR'!M348</f>
        <v>3141.4383544755951</v>
      </c>
    </row>
    <row r="349" spans="1:8">
      <c r="A349">
        <f>'PSA&amp;CPR'!A349</f>
        <v>347</v>
      </c>
      <c r="B349" s="19">
        <f t="shared" si="10"/>
        <v>3141.4383544755951</v>
      </c>
      <c r="C349" s="19">
        <f t="shared" si="11"/>
        <v>13.089326476981647</v>
      </c>
      <c r="D349" s="19">
        <f>Monthly_payment($B$1,$D$1,$B$3)*'PSA&amp;CPR'!M348</f>
        <v>231.46376200556668</v>
      </c>
      <c r="E349" s="19">
        <f>Principle_portion_of_payment($B$1,$D$1,A349,$B$3)*'PSA&amp;CPR'!M348</f>
        <v>218.37443552858505</v>
      </c>
      <c r="F349" s="19">
        <f>Interest_portion_of_payment($B$1,$D$1,A349,$B$3)*'PSA&amp;CPR'!M348</f>
        <v>13.089326476981647</v>
      </c>
      <c r="G349" s="19">
        <f>(B349-E349)*'PSA&amp;CPR'!F349</f>
        <v>7.4101091358826547</v>
      </c>
      <c r="H349" s="19">
        <f>Remaining_balance($B$1,$D$1,A349,$B$3)*'PSA&amp;CPR'!M349</f>
        <v>2915.6538098111314</v>
      </c>
    </row>
    <row r="350" spans="1:8">
      <c r="A350">
        <f>'PSA&amp;CPR'!A350</f>
        <v>348</v>
      </c>
      <c r="B350" s="19">
        <f t="shared" si="10"/>
        <v>2915.6538098111314</v>
      </c>
      <c r="C350" s="19">
        <f t="shared" si="11"/>
        <v>12.148557540879715</v>
      </c>
      <c r="D350" s="19">
        <f>Monthly_payment($B$1,$D$1,$B$3)*'PSA&amp;CPR'!M349</f>
        <v>230.87699011654107</v>
      </c>
      <c r="E350" s="19">
        <f>Principle_portion_of_payment($B$1,$D$1,A350,$B$3)*'PSA&amp;CPR'!M349</f>
        <v>218.72843257566137</v>
      </c>
      <c r="F350" s="19">
        <f>Interest_portion_of_payment($B$1,$D$1,A350,$B$3)*'PSA&amp;CPR'!M349</f>
        <v>12.148557540879713</v>
      </c>
      <c r="G350" s="19">
        <f>(B350-E350)*'PSA&amp;CPR'!F350</f>
        <v>6.8368369391817652</v>
      </c>
      <c r="H350" s="19">
        <f>Remaining_balance($B$1,$D$1,A350,$B$3)*'PSA&amp;CPR'!M350</f>
        <v>2690.0885402962895</v>
      </c>
    </row>
    <row r="351" spans="1:8">
      <c r="A351">
        <f>'PSA&amp;CPR'!A351</f>
        <v>349</v>
      </c>
      <c r="B351" s="19">
        <f t="shared" si="10"/>
        <v>2690.0885402962895</v>
      </c>
      <c r="C351" s="19">
        <f t="shared" si="11"/>
        <v>11.20870225123454</v>
      </c>
      <c r="D351" s="19">
        <f>Monthly_payment($B$1,$D$1,$B$3)*'PSA&amp;CPR'!M350</f>
        <v>230.29170572277934</v>
      </c>
      <c r="E351" s="19">
        <f>Principle_portion_of_payment($B$1,$D$1,A351,$B$3)*'PSA&amp;CPR'!M350</f>
        <v>219.08300347154483</v>
      </c>
      <c r="F351" s="19">
        <f>Interest_portion_of_payment($B$1,$D$1,A351,$B$3)*'PSA&amp;CPR'!M350</f>
        <v>11.20870225123454</v>
      </c>
      <c r="G351" s="19">
        <f>(B351-E351)*'PSA&amp;CPR'!F351</f>
        <v>6.264119160910349</v>
      </c>
      <c r="H351" s="19">
        <f>Remaining_balance($B$1,$D$1,A351,$B$3)*'PSA&amp;CPR'!M351</f>
        <v>2464.7414176638335</v>
      </c>
    </row>
    <row r="352" spans="1:8">
      <c r="A352">
        <f>'PSA&amp;CPR'!A352</f>
        <v>350</v>
      </c>
      <c r="B352" s="19">
        <f t="shared" si="10"/>
        <v>2464.7414176638335</v>
      </c>
      <c r="C352" s="19">
        <f t="shared" si="11"/>
        <v>10.269755906932639</v>
      </c>
      <c r="D352" s="19">
        <f>Monthly_payment($B$1,$D$1,$B$3)*'PSA&amp;CPR'!M351</f>
        <v>229.70790505340872</v>
      </c>
      <c r="E352" s="19">
        <f>Principle_portion_of_payment($B$1,$D$1,A352,$B$3)*'PSA&amp;CPR'!M351</f>
        <v>219.43814914647615</v>
      </c>
      <c r="F352" s="19">
        <f>Interest_portion_of_payment($B$1,$D$1,A352,$B$3)*'PSA&amp;CPR'!M351</f>
        <v>10.269755906932637</v>
      </c>
      <c r="G352" s="19">
        <f>(B352-E352)*'PSA&amp;CPR'!F352</f>
        <v>5.691952938497912</v>
      </c>
      <c r="H352" s="19">
        <f>Remaining_balance($B$1,$D$1,A352,$B$3)*'PSA&amp;CPR'!M352</f>
        <v>2239.6113155788585</v>
      </c>
    </row>
    <row r="353" spans="1:8">
      <c r="A353">
        <f>'PSA&amp;CPR'!A353</f>
        <v>351</v>
      </c>
      <c r="B353" s="19">
        <f t="shared" si="10"/>
        <v>2239.6113155788585</v>
      </c>
      <c r="C353" s="19">
        <f t="shared" si="11"/>
        <v>9.331713814911911</v>
      </c>
      <c r="D353" s="19">
        <f>Monthly_payment($B$1,$D$1,$B$3)*'PSA&amp;CPR'!M352</f>
        <v>229.12558434711576</v>
      </c>
      <c r="E353" s="19">
        <f>Principle_portion_of_payment($B$1,$D$1,A353,$B$3)*'PSA&amp;CPR'!M352</f>
        <v>219.7938705322039</v>
      </c>
      <c r="F353" s="19">
        <f>Interest_portion_of_payment($B$1,$D$1,A353,$B$3)*'PSA&amp;CPR'!M352</f>
        <v>9.3317138149119092</v>
      </c>
      <c r="G353" s="19">
        <f>(B353-E353)*'PSA&amp;CPR'!F353</f>
        <v>5.1203354142686823</v>
      </c>
      <c r="H353" s="19">
        <f>Remaining_balance($B$1,$D$1,A353,$B$3)*'PSA&amp;CPR'!M353</f>
        <v>2014.6971096323919</v>
      </c>
    </row>
    <row r="354" spans="1:8">
      <c r="A354">
        <f>'PSA&amp;CPR'!A354</f>
        <v>352</v>
      </c>
      <c r="B354" s="19">
        <f t="shared" si="10"/>
        <v>2014.6971096323919</v>
      </c>
      <c r="C354" s="19">
        <f t="shared" si="11"/>
        <v>8.3945712901349658</v>
      </c>
      <c r="D354" s="19">
        <f>Monthly_payment($B$1,$D$1,$B$3)*'PSA&amp;CPR'!M353</f>
        <v>228.54473985212209</v>
      </c>
      <c r="E354" s="19">
        <f>Principle_portion_of_payment($B$1,$D$1,A354,$B$3)*'PSA&amp;CPR'!M353</f>
        <v>220.15016856198719</v>
      </c>
      <c r="F354" s="19">
        <f>Interest_portion_of_payment($B$1,$D$1,A354,$B$3)*'PSA&amp;CPR'!M353</f>
        <v>8.3945712901349658</v>
      </c>
      <c r="G354" s="19">
        <f>(B354-E354)*'PSA&amp;CPR'!F354</f>
        <v>4.5492637354253977</v>
      </c>
      <c r="H354" s="19">
        <f>Remaining_balance($B$1,$D$1,A354,$B$3)*'PSA&amp;CPR'!M354</f>
        <v>1789.9976773349774</v>
      </c>
    </row>
    <row r="355" spans="1:8">
      <c r="A355">
        <f>'PSA&amp;CPR'!A355</f>
        <v>353</v>
      </c>
      <c r="B355" s="19">
        <f t="shared" si="10"/>
        <v>1789.9976773349774</v>
      </c>
      <c r="C355" s="19">
        <f t="shared" si="11"/>
        <v>7.4583236555624062</v>
      </c>
      <c r="D355" s="19">
        <f>Monthly_payment($B$1,$D$1,$B$3)*'PSA&amp;CPR'!M354</f>
        <v>227.9653678261603</v>
      </c>
      <c r="E355" s="19">
        <f>Principle_portion_of_payment($B$1,$D$1,A355,$B$3)*'PSA&amp;CPR'!M354</f>
        <v>220.50704417059794</v>
      </c>
      <c r="F355" s="19">
        <f>Interest_portion_of_payment($B$1,$D$1,A355,$B$3)*'PSA&amp;CPR'!M354</f>
        <v>7.4583236555624062</v>
      </c>
      <c r="G355" s="19">
        <f>(B355-E355)*'PSA&amp;CPR'!F355</f>
        <v>3.978735054033026</v>
      </c>
      <c r="H355" s="19">
        <f>Remaining_balance($B$1,$D$1,A355,$B$3)*'PSA&amp;CPR'!M355</f>
        <v>1565.5118981103492</v>
      </c>
    </row>
    <row r="356" spans="1:8">
      <c r="A356">
        <f>'PSA&amp;CPR'!A356</f>
        <v>354</v>
      </c>
      <c r="B356" s="19">
        <f t="shared" si="10"/>
        <v>1565.5118981103492</v>
      </c>
      <c r="C356" s="19">
        <f t="shared" si="11"/>
        <v>6.5229662421264551</v>
      </c>
      <c r="D356" s="19">
        <f>Monthly_payment($B$1,$D$1,$B$3)*'PSA&amp;CPR'!M355</f>
        <v>227.38746453644981</v>
      </c>
      <c r="E356" s="19">
        <f>Principle_portion_of_payment($B$1,$D$1,A356,$B$3)*'PSA&amp;CPR'!M355</f>
        <v>220.8644982943234</v>
      </c>
      <c r="F356" s="19">
        <f>Interest_portion_of_payment($B$1,$D$1,A356,$B$3)*'PSA&amp;CPR'!M355</f>
        <v>6.5229662421264543</v>
      </c>
      <c r="G356" s="19">
        <f>(B356-E356)*'PSA&amp;CPR'!F356</f>
        <v>3.4087465270027231</v>
      </c>
      <c r="H356" s="19">
        <f>Remaining_balance($B$1,$D$1,A356,$B$3)*'PSA&amp;CPR'!M356</f>
        <v>1341.2386532890234</v>
      </c>
    </row>
    <row r="357" spans="1:8">
      <c r="A357">
        <f>'PSA&amp;CPR'!A357</f>
        <v>355</v>
      </c>
      <c r="B357" s="19">
        <f t="shared" si="10"/>
        <v>1341.2386532890234</v>
      </c>
      <c r="C357" s="19">
        <f t="shared" si="11"/>
        <v>5.5884943887042642</v>
      </c>
      <c r="D357" s="19">
        <f>Monthly_payment($B$1,$D$1,$B$3)*'PSA&amp;CPR'!M356</f>
        <v>226.81102625967284</v>
      </c>
      <c r="E357" s="19">
        <f>Principle_portion_of_payment($B$1,$D$1,A357,$B$3)*'PSA&amp;CPR'!M356</f>
        <v>221.22253187096857</v>
      </c>
      <c r="F357" s="19">
        <f>Interest_portion_of_payment($B$1,$D$1,A357,$B$3)*'PSA&amp;CPR'!M356</f>
        <v>5.5884943887042633</v>
      </c>
      <c r="G357" s="19">
        <f>(B357-E357)*'PSA&amp;CPR'!F357</f>
        <v>2.8392953160755834</v>
      </c>
      <c r="H357" s="19">
        <f>Remaining_balance($B$1,$D$1,A357,$B$3)*'PSA&amp;CPR'!M357</f>
        <v>1117.1768261019804</v>
      </c>
    </row>
    <row r="358" spans="1:8">
      <c r="A358">
        <f>'PSA&amp;CPR'!A358</f>
        <v>356</v>
      </c>
      <c r="B358" s="19">
        <f t="shared" si="10"/>
        <v>1117.1768261019804</v>
      </c>
      <c r="C358" s="19">
        <f t="shared" si="11"/>
        <v>4.6549034420915847</v>
      </c>
      <c r="D358" s="19">
        <f>Monthly_payment($B$1,$D$1,$B$3)*'PSA&amp;CPR'!M357</f>
        <v>226.23604928195039</v>
      </c>
      <c r="E358" s="19">
        <f>Principle_portion_of_payment($B$1,$D$1,A358,$B$3)*'PSA&amp;CPR'!M357</f>
        <v>221.58114583985886</v>
      </c>
      <c r="F358" s="19">
        <f>Interest_portion_of_payment($B$1,$D$1,A358,$B$3)*'PSA&amp;CPR'!M357</f>
        <v>4.6549034420915847</v>
      </c>
      <c r="G358" s="19">
        <f>(B358-E358)*'PSA&amp;CPR'!F358</f>
        <v>2.2703785878066167</v>
      </c>
      <c r="H358" s="19">
        <f>Remaining_balance($B$1,$D$1,A358,$B$3)*'PSA&amp;CPR'!M358</f>
        <v>893.32530167431082</v>
      </c>
    </row>
    <row r="359" spans="1:8">
      <c r="A359">
        <f>'PSA&amp;CPR'!A359</f>
        <v>357</v>
      </c>
      <c r="B359" s="19">
        <f t="shared" si="10"/>
        <v>893.32530167431082</v>
      </c>
      <c r="C359" s="19">
        <f t="shared" si="11"/>
        <v>3.722188756976295</v>
      </c>
      <c r="D359" s="19">
        <f>Monthly_payment($B$1,$D$1,$B$3)*'PSA&amp;CPR'!M358</f>
        <v>225.66252989881829</v>
      </c>
      <c r="E359" s="19">
        <f>Principle_portion_of_payment($B$1,$D$1,A359,$B$3)*'PSA&amp;CPR'!M358</f>
        <v>221.94034114184205</v>
      </c>
      <c r="F359" s="19">
        <f>Interest_portion_of_payment($B$1,$D$1,A359,$B$3)*'PSA&amp;CPR'!M358</f>
        <v>3.7221887569762959</v>
      </c>
      <c r="G359" s="19">
        <f>(B359-E359)*'PSA&amp;CPR'!F359</f>
        <v>1.7019935135486344</v>
      </c>
      <c r="H359" s="19">
        <f>Remaining_balance($B$1,$D$1,A359,$B$3)*'PSA&amp;CPR'!M359</f>
        <v>669.682967018922</v>
      </c>
    </row>
    <row r="360" spans="1:8">
      <c r="A360">
        <f>'PSA&amp;CPR'!A360</f>
        <v>358</v>
      </c>
      <c r="B360" s="19">
        <f t="shared" si="10"/>
        <v>669.682967018922</v>
      </c>
      <c r="C360" s="19">
        <f t="shared" si="11"/>
        <v>2.7903456959121749</v>
      </c>
      <c r="D360" s="19">
        <f>Monthly_payment($B$1,$D$1,$B$3)*'PSA&amp;CPR'!M359</f>
        <v>225.09046441520343</v>
      </c>
      <c r="E360" s="19">
        <f>Principle_portion_of_payment($B$1,$D$1,A360,$B$3)*'PSA&amp;CPR'!M359</f>
        <v>222.30011871929133</v>
      </c>
      <c r="F360" s="19">
        <f>Interest_portion_of_payment($B$1,$D$1,A360,$B$3)*'PSA&amp;CPR'!M359</f>
        <v>2.7903456959121744</v>
      </c>
      <c r="G360" s="19">
        <f>(B360-E360)*'PSA&amp;CPR'!F360</f>
        <v>1.1341372694362879</v>
      </c>
      <c r="H360" s="19">
        <f>Remaining_balance($B$1,$D$1,A360,$B$3)*'PSA&amp;CPR'!M360</f>
        <v>446.24871103019677</v>
      </c>
    </row>
    <row r="361" spans="1:8">
      <c r="A361">
        <f>'PSA&amp;CPR'!A361</f>
        <v>359</v>
      </c>
      <c r="B361" s="19">
        <f t="shared" si="10"/>
        <v>446.24871103019677</v>
      </c>
      <c r="C361" s="19">
        <f t="shared" si="11"/>
        <v>1.8593696292924866</v>
      </c>
      <c r="D361" s="19">
        <f>Monthly_payment($B$1,$D$1,$B$3)*'PSA&amp;CPR'!M360</f>
        <v>224.51984914539983</v>
      </c>
      <c r="E361" s="19">
        <f>Principle_portion_of_payment($B$1,$D$1,A361,$B$3)*'PSA&amp;CPR'!M360</f>
        <v>222.66047951610739</v>
      </c>
      <c r="F361" s="19">
        <f>Interest_portion_of_payment($B$1,$D$1,A361,$B$3)*'PSA&amp;CPR'!M360</f>
        <v>1.8593696292924864</v>
      </c>
      <c r="G361" s="19">
        <f>(B361-E361)*'PSA&amp;CPR'!F361</f>
        <v>0.56680703636998875</v>
      </c>
      <c r="H361" s="19">
        <f>Remaining_balance($B$1,$D$1,A361,$B$3)*'PSA&amp;CPR'!M361</f>
        <v>223.02142447772036</v>
      </c>
    </row>
    <row r="362" spans="1:8">
      <c r="A362">
        <f>'PSA&amp;CPR'!A362</f>
        <v>360</v>
      </c>
      <c r="B362" s="19">
        <f t="shared" si="10"/>
        <v>223.02142447772036</v>
      </c>
      <c r="C362" s="19">
        <f t="shared" si="11"/>
        <v>0.92925593532383477</v>
      </c>
      <c r="D362" s="19">
        <f>Monthly_payment($B$1,$D$1,$B$3)*'PSA&amp;CPR'!M361</f>
        <v>223.95068041304495</v>
      </c>
      <c r="E362" s="19">
        <f>Principle_portion_of_payment($B$1,$D$1,A362,$B$3)*'PSA&amp;CPR'!M361</f>
        <v>223.02142447772115</v>
      </c>
      <c r="F362" s="19">
        <f>Interest_portion_of_payment($B$1,$D$1,A362,$B$3)*'PSA&amp;CPR'!M361</f>
        <v>0.92925593532383488</v>
      </c>
      <c r="G362" s="19">
        <f>(B362-E362)*'PSA&amp;CPR'!F362</f>
        <v>-2.0174116226436144E-15</v>
      </c>
      <c r="H362" s="19">
        <f>Remaining_balance($B$1,$D$1,A362,$B$3)*'PSA&amp;CPR'!M362</f>
        <v>0</v>
      </c>
    </row>
    <row r="363" spans="1:8">
      <c r="B363" s="19"/>
      <c r="C363" s="19"/>
      <c r="D363" s="19"/>
      <c r="E363" s="19"/>
      <c r="F363" s="19"/>
      <c r="G363" s="19"/>
      <c r="H363" s="19"/>
    </row>
    <row r="364" spans="1:8">
      <c r="B364" s="19"/>
      <c r="C364" s="19"/>
      <c r="D364" s="19"/>
      <c r="E364" s="19"/>
      <c r="F364" s="19"/>
      <c r="G364" s="19"/>
      <c r="H364" s="19"/>
    </row>
    <row r="365" spans="1:8">
      <c r="B365" s="19"/>
      <c r="C365" s="19"/>
      <c r="D365" s="19"/>
      <c r="E365" s="19"/>
      <c r="F365" s="19"/>
      <c r="G365" s="19"/>
      <c r="H365" s="19"/>
    </row>
    <row r="366" spans="1:8">
      <c r="B366" s="19"/>
      <c r="C366" s="19"/>
      <c r="D366" s="19"/>
      <c r="E366" s="19"/>
      <c r="F366" s="19"/>
      <c r="G366" s="19"/>
      <c r="H366" s="19"/>
    </row>
    <row r="367" spans="1:8">
      <c r="B367" s="19"/>
      <c r="C367" s="19"/>
      <c r="D367" s="19"/>
      <c r="E367" s="19"/>
      <c r="F367" s="19"/>
      <c r="G367" s="19"/>
      <c r="H367" s="19"/>
    </row>
    <row r="368" spans="1:8">
      <c r="B368" s="19"/>
      <c r="C368" s="19"/>
      <c r="D368" s="19"/>
      <c r="E368" s="19"/>
      <c r="F368" s="19"/>
      <c r="G368" s="19"/>
      <c r="H368" s="19"/>
    </row>
    <row r="369" spans="2:8">
      <c r="B369" s="19"/>
      <c r="C369" s="19"/>
      <c r="D369" s="19"/>
      <c r="E369" s="19"/>
      <c r="F369" s="19"/>
      <c r="G369" s="19"/>
      <c r="H369" s="19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ACBFA6-EBE6-4C46-9AF5-3E69F7F5B8BD}">
  <sheetPr codeName="Sheet6"/>
  <dimension ref="A1:U364"/>
  <sheetViews>
    <sheetView workbookViewId="0">
      <selection activeCell="K372" sqref="K372"/>
    </sheetView>
  </sheetViews>
  <sheetFormatPr baseColWidth="10" defaultColWidth="8.83203125" defaultRowHeight="15"/>
  <cols>
    <col min="2" max="2" width="11.6640625" bestFit="1" customWidth="1"/>
    <col min="3" max="3" width="16" style="15" customWidth="1"/>
    <col min="4" max="4" width="10.33203125" style="15" bestFit="1" customWidth="1"/>
    <col min="5" max="5" width="8.83203125" style="15"/>
    <col min="6" max="6" width="11.5" style="26" bestFit="1" customWidth="1"/>
    <col min="7" max="7" width="11.5" style="15" customWidth="1"/>
    <col min="8" max="8" width="10.33203125" style="16" bestFit="1" customWidth="1"/>
    <col min="9" max="12" width="10.33203125" style="16" customWidth="1"/>
    <col min="13" max="13" width="8.83203125" style="15"/>
    <col min="14" max="14" width="18.6640625" style="17" bestFit="1" customWidth="1"/>
    <col min="15" max="15" width="14.83203125" style="15" customWidth="1"/>
    <col min="16" max="16" width="14.33203125" style="22" customWidth="1"/>
    <col min="17" max="17" width="16.5" customWidth="1"/>
    <col min="18" max="18" width="21.6640625" customWidth="1"/>
    <col min="19" max="19" width="20.1640625" style="18" customWidth="1"/>
    <col min="20" max="20" width="18" bestFit="1" customWidth="1"/>
  </cols>
  <sheetData>
    <row r="1" spans="1:21" ht="28.75" customHeight="1">
      <c r="A1" t="s">
        <v>19</v>
      </c>
      <c r="B1" s="47" t="s">
        <v>20</v>
      </c>
      <c r="C1" s="47"/>
      <c r="D1" s="47"/>
      <c r="E1" s="33"/>
      <c r="F1" s="44" t="s">
        <v>24</v>
      </c>
      <c r="G1" s="44"/>
      <c r="H1" s="44"/>
      <c r="I1" s="28"/>
      <c r="J1" s="44" t="s">
        <v>27</v>
      </c>
      <c r="K1" s="44"/>
      <c r="L1" s="44"/>
      <c r="M1" s="33"/>
      <c r="N1" s="44" t="s">
        <v>33</v>
      </c>
      <c r="O1" s="44"/>
      <c r="P1" s="44"/>
      <c r="Q1" s="33"/>
      <c r="R1" s="33"/>
      <c r="S1" s="33"/>
      <c r="T1" s="45"/>
      <c r="U1" s="45"/>
    </row>
    <row r="2" spans="1:21" ht="16">
      <c r="B2" s="34" t="s">
        <v>34</v>
      </c>
      <c r="C2" s="33" t="s">
        <v>35</v>
      </c>
      <c r="D2" s="33" t="s">
        <v>36</v>
      </c>
      <c r="E2" s="33"/>
      <c r="F2" s="34" t="s">
        <v>34</v>
      </c>
      <c r="G2" s="33" t="s">
        <v>35</v>
      </c>
      <c r="H2" s="33" t="s">
        <v>36</v>
      </c>
      <c r="I2" s="33"/>
      <c r="J2" s="34" t="s">
        <v>34</v>
      </c>
      <c r="K2" s="33" t="s">
        <v>35</v>
      </c>
      <c r="L2" s="33" t="s">
        <v>36</v>
      </c>
      <c r="M2" s="33"/>
      <c r="N2" s="34" t="s">
        <v>34</v>
      </c>
      <c r="O2" s="33" t="s">
        <v>35</v>
      </c>
      <c r="P2" s="33" t="s">
        <v>36</v>
      </c>
      <c r="Q2" s="33"/>
      <c r="R2" s="33"/>
      <c r="S2" s="33"/>
      <c r="T2" s="29"/>
      <c r="U2" s="29"/>
    </row>
    <row r="3" spans="1:21">
      <c r="A3">
        <v>0</v>
      </c>
      <c r="B3" s="37">
        <v>0</v>
      </c>
      <c r="C3" s="38">
        <f>IF((EXP(A3)/1000)&gt;1,1,EXP(A3)/1000)</f>
        <v>1E-3</v>
      </c>
      <c r="D3" s="35"/>
      <c r="E3" s="33"/>
      <c r="F3" s="39">
        <f>1-(1-B3)^(1/12)</f>
        <v>0</v>
      </c>
      <c r="G3" s="36">
        <f>1-(1-C3)^(1/12)</f>
        <v>8.3371552197619714E-5</v>
      </c>
      <c r="H3" s="36">
        <f>1-(1-D3)^(1/12)</f>
        <v>0</v>
      </c>
      <c r="I3" s="36"/>
      <c r="J3" s="36">
        <f>1-F3</f>
        <v>1</v>
      </c>
      <c r="K3" s="36">
        <f t="shared" ref="K3:L18" si="0">1-G3</f>
        <v>0.99991662844780238</v>
      </c>
      <c r="L3" s="36">
        <f t="shared" si="0"/>
        <v>1</v>
      </c>
      <c r="M3" s="33"/>
      <c r="N3" s="40"/>
      <c r="O3" s="40"/>
      <c r="P3" s="40"/>
      <c r="Q3" s="33"/>
      <c r="R3" s="33"/>
      <c r="S3" s="33"/>
      <c r="T3" s="4"/>
    </row>
    <row r="4" spans="1:21">
      <c r="A4">
        <v>1</v>
      </c>
      <c r="B4" s="37">
        <f>1/(1+EXP(-A4))</f>
        <v>0.7310585786300049</v>
      </c>
      <c r="C4" s="38">
        <f t="shared" ref="C4:C67" si="1">IF((EXP(A4)/1000)&gt;1,1,EXP(A4)/1000)</f>
        <v>2.7182818284590452E-3</v>
      </c>
      <c r="D4" s="33"/>
      <c r="E4" s="33"/>
      <c r="F4" s="39">
        <f t="shared" ref="F4:F67" si="2">1-(1-B4)^(1/12)</f>
        <v>0.10366268924901034</v>
      </c>
      <c r="G4" s="36">
        <f t="shared" ref="G4:G67" si="3">1-(1-C4)^(1/12)</f>
        <v>2.2680619769854804E-4</v>
      </c>
      <c r="H4" s="36">
        <f t="shared" ref="H4:H67" si="4">1-(1-D4)^(1/12)</f>
        <v>0</v>
      </c>
      <c r="I4" s="36"/>
      <c r="J4" s="36">
        <f t="shared" ref="J4:J67" si="5">1-F4</f>
        <v>0.89633731075098966</v>
      </c>
      <c r="K4" s="36">
        <f t="shared" si="0"/>
        <v>0.99977319380230145</v>
      </c>
      <c r="L4" s="36">
        <f t="shared" si="0"/>
        <v>1</v>
      </c>
      <c r="M4" s="33"/>
      <c r="N4" s="40">
        <f>J4*J3</f>
        <v>0.89633731075098966</v>
      </c>
      <c r="O4" s="32">
        <f t="shared" ref="O4:P19" si="6">K4*K3</f>
        <v>0.99968984115928861</v>
      </c>
      <c r="P4" s="32">
        <f t="shared" si="6"/>
        <v>1</v>
      </c>
      <c r="Q4" s="33"/>
      <c r="R4" s="33"/>
      <c r="S4" s="33"/>
    </row>
    <row r="5" spans="1:21">
      <c r="A5">
        <v>2</v>
      </c>
      <c r="B5" s="37">
        <f t="shared" ref="B5:B68" si="7">1/(1+EXP(-A5))</f>
        <v>0.88079707797788231</v>
      </c>
      <c r="C5" s="38">
        <f t="shared" si="1"/>
        <v>7.3890560989306507E-3</v>
      </c>
      <c r="D5" s="33"/>
      <c r="E5" s="33"/>
      <c r="F5" s="39">
        <f t="shared" si="2"/>
        <v>0.16242460957820615</v>
      </c>
      <c r="G5" s="36">
        <f t="shared" si="3"/>
        <v>6.1784991874047623E-4</v>
      </c>
      <c r="H5" s="36">
        <f>1-(1-D5)^(1/12)</f>
        <v>0</v>
      </c>
      <c r="I5" s="36"/>
      <c r="J5" s="36">
        <f t="shared" si="5"/>
        <v>0.83757539042179385</v>
      </c>
      <c r="K5" s="36">
        <f t="shared" si="0"/>
        <v>0.99938215008125952</v>
      </c>
      <c r="L5" s="36">
        <f t="shared" si="0"/>
        <v>1</v>
      </c>
      <c r="M5" s="33"/>
      <c r="N5" s="40">
        <f t="shared" ref="N5:N68" si="8">J5*J4</f>
        <v>0.7507500730018809</v>
      </c>
      <c r="O5" s="32">
        <f t="shared" si="6"/>
        <v>0.99915548401575183</v>
      </c>
      <c r="P5" s="32">
        <f t="shared" si="6"/>
        <v>1</v>
      </c>
      <c r="Q5" s="33"/>
      <c r="R5" s="33"/>
      <c r="S5" s="33"/>
    </row>
    <row r="6" spans="1:21">
      <c r="A6">
        <v>3</v>
      </c>
      <c r="B6" s="37">
        <f t="shared" si="7"/>
        <v>0.95257412682243336</v>
      </c>
      <c r="C6" s="38">
        <f t="shared" si="1"/>
        <v>2.0085536923187666E-2</v>
      </c>
      <c r="D6" s="33"/>
      <c r="E6" s="33"/>
      <c r="F6" s="39">
        <f t="shared" si="2"/>
        <v>0.22434616400776319</v>
      </c>
      <c r="G6" s="36">
        <f t="shared" si="3"/>
        <v>1.689404155986729E-3</v>
      </c>
      <c r="H6" s="36">
        <f t="shared" si="4"/>
        <v>0</v>
      </c>
      <c r="I6" s="36"/>
      <c r="J6" s="36">
        <f t="shared" si="5"/>
        <v>0.77565383599223681</v>
      </c>
      <c r="K6" s="36">
        <f t="shared" si="0"/>
        <v>0.99831059584401327</v>
      </c>
      <c r="L6" s="36">
        <f t="shared" si="0"/>
        <v>1</v>
      </c>
      <c r="M6" s="33"/>
      <c r="N6" s="40">
        <f t="shared" si="8"/>
        <v>0.64966856451335975</v>
      </c>
      <c r="O6" s="32">
        <f t="shared" si="6"/>
        <v>0.99769378972349332</v>
      </c>
      <c r="P6" s="32">
        <f t="shared" si="6"/>
        <v>1</v>
      </c>
      <c r="Q6" s="33"/>
      <c r="R6" s="33"/>
      <c r="S6" s="33"/>
    </row>
    <row r="7" spans="1:21">
      <c r="A7">
        <v>4</v>
      </c>
      <c r="B7" s="37">
        <f t="shared" si="7"/>
        <v>0.98201379003790845</v>
      </c>
      <c r="C7" s="38">
        <f t="shared" si="1"/>
        <v>5.4598150033144235E-2</v>
      </c>
      <c r="D7" s="33"/>
      <c r="E7" s="33"/>
      <c r="F7" s="39">
        <f t="shared" si="2"/>
        <v>0.28455161956025077</v>
      </c>
      <c r="G7" s="36">
        <f t="shared" si="3"/>
        <v>4.6678386048680798E-3</v>
      </c>
      <c r="H7" s="36">
        <f t="shared" si="4"/>
        <v>0</v>
      </c>
      <c r="I7" s="36"/>
      <c r="J7" s="36">
        <f t="shared" si="5"/>
        <v>0.71544838043974923</v>
      </c>
      <c r="K7" s="36">
        <f t="shared" si="0"/>
        <v>0.99533216139513192</v>
      </c>
      <c r="L7" s="36">
        <f t="shared" si="0"/>
        <v>1</v>
      </c>
      <c r="M7" s="33"/>
      <c r="N7" s="40">
        <f t="shared" si="8"/>
        <v>0.55494028074252466</v>
      </c>
      <c r="O7" s="32">
        <f t="shared" si="6"/>
        <v>0.99365064310508378</v>
      </c>
      <c r="P7" s="32">
        <f t="shared" si="6"/>
        <v>1</v>
      </c>
      <c r="Q7" s="33"/>
      <c r="R7" s="33"/>
      <c r="S7" s="33"/>
    </row>
    <row r="8" spans="1:21">
      <c r="A8">
        <v>5</v>
      </c>
      <c r="B8" s="37">
        <f t="shared" si="7"/>
        <v>0.99330714907571527</v>
      </c>
      <c r="C8" s="38">
        <f t="shared" si="1"/>
        <v>0.1484131591025766</v>
      </c>
      <c r="D8" s="33"/>
      <c r="E8" s="33"/>
      <c r="F8" s="39">
        <f t="shared" si="2"/>
        <v>0.34112818580709658</v>
      </c>
      <c r="G8" s="36">
        <f t="shared" si="3"/>
        <v>1.3298598298299491E-2</v>
      </c>
      <c r="H8" s="36">
        <f t="shared" si="4"/>
        <v>0</v>
      </c>
      <c r="I8" s="36"/>
      <c r="J8" s="36">
        <f t="shared" si="5"/>
        <v>0.65887181419290342</v>
      </c>
      <c r="K8" s="36">
        <f t="shared" si="0"/>
        <v>0.98670140170170051</v>
      </c>
      <c r="L8" s="36">
        <f t="shared" si="0"/>
        <v>1</v>
      </c>
      <c r="M8" s="33"/>
      <c r="N8" s="40">
        <f t="shared" si="8"/>
        <v>0.47138877238171212</v>
      </c>
      <c r="O8" s="32">
        <f t="shared" si="6"/>
        <v>0.98209563880735984</v>
      </c>
      <c r="P8" s="32">
        <f t="shared" si="6"/>
        <v>1</v>
      </c>
      <c r="Q8" s="33"/>
      <c r="R8" s="33"/>
      <c r="S8" s="33"/>
    </row>
    <row r="9" spans="1:21">
      <c r="A9">
        <v>6</v>
      </c>
      <c r="B9" s="37">
        <f t="shared" si="7"/>
        <v>0.99752737684336534</v>
      </c>
      <c r="C9" s="38">
        <f t="shared" si="1"/>
        <v>0.40342879349273508</v>
      </c>
      <c r="D9" s="33"/>
      <c r="E9" s="33"/>
      <c r="F9" s="39">
        <f t="shared" si="2"/>
        <v>0.3935944589588094</v>
      </c>
      <c r="G9" s="36">
        <f t="shared" si="3"/>
        <v>4.2133045670016855E-2</v>
      </c>
      <c r="H9" s="36">
        <f t="shared" si="4"/>
        <v>0</v>
      </c>
      <c r="I9" s="36"/>
      <c r="J9" s="36">
        <f t="shared" si="5"/>
        <v>0.6064055410411906</v>
      </c>
      <c r="K9" s="36">
        <f t="shared" si="0"/>
        <v>0.95786695432998314</v>
      </c>
      <c r="L9" s="36">
        <f t="shared" si="0"/>
        <v>1</v>
      </c>
      <c r="M9" s="33"/>
      <c r="N9" s="40">
        <f t="shared" si="8"/>
        <v>0.39954351896243839</v>
      </c>
      <c r="O9" s="32">
        <f t="shared" si="6"/>
        <v>0.94512866648113314</v>
      </c>
      <c r="P9" s="32">
        <f t="shared" si="6"/>
        <v>1</v>
      </c>
      <c r="Q9" s="33"/>
      <c r="R9" s="33"/>
      <c r="S9" s="33"/>
    </row>
    <row r="10" spans="1:21">
      <c r="A10">
        <v>7</v>
      </c>
      <c r="B10" s="37">
        <f t="shared" si="7"/>
        <v>0.9990889488055994</v>
      </c>
      <c r="C10" s="38">
        <f t="shared" si="1"/>
        <v>1</v>
      </c>
      <c r="D10" s="33"/>
      <c r="E10" s="33"/>
      <c r="F10" s="39">
        <f t="shared" si="2"/>
        <v>0.44200723847989187</v>
      </c>
      <c r="G10" s="36">
        <f t="shared" si="3"/>
        <v>1</v>
      </c>
      <c r="H10" s="36">
        <f t="shared" si="4"/>
        <v>0</v>
      </c>
      <c r="I10" s="36"/>
      <c r="J10" s="36">
        <f t="shared" si="5"/>
        <v>0.55799276152010813</v>
      </c>
      <c r="K10" s="36">
        <f t="shared" si="0"/>
        <v>0</v>
      </c>
      <c r="L10" s="36">
        <f t="shared" si="0"/>
        <v>1</v>
      </c>
      <c r="M10" s="33"/>
      <c r="N10" s="40">
        <f t="shared" si="8"/>
        <v>0.3383699024466692</v>
      </c>
      <c r="O10" s="32">
        <f t="shared" si="6"/>
        <v>0</v>
      </c>
      <c r="P10" s="32">
        <f t="shared" si="6"/>
        <v>1</v>
      </c>
      <c r="Q10" s="33"/>
      <c r="R10" s="33"/>
      <c r="S10" s="33"/>
    </row>
    <row r="11" spans="1:21">
      <c r="A11">
        <v>8</v>
      </c>
      <c r="B11" s="37">
        <f t="shared" si="7"/>
        <v>0.99966464986953363</v>
      </c>
      <c r="C11" s="38">
        <f t="shared" si="1"/>
        <v>1</v>
      </c>
      <c r="D11" s="33"/>
      <c r="E11" s="33"/>
      <c r="F11" s="39">
        <f t="shared" si="2"/>
        <v>0.48659723104801411</v>
      </c>
      <c r="G11" s="36">
        <f t="shared" si="3"/>
        <v>1</v>
      </c>
      <c r="H11" s="36">
        <f t="shared" si="4"/>
        <v>0</v>
      </c>
      <c r="I11" s="36"/>
      <c r="J11" s="36">
        <f t="shared" si="5"/>
        <v>0.51340276895198589</v>
      </c>
      <c r="K11" s="36">
        <f t="shared" si="0"/>
        <v>0</v>
      </c>
      <c r="L11" s="36">
        <f t="shared" si="0"/>
        <v>1</v>
      </c>
      <c r="M11" s="33"/>
      <c r="N11" s="40">
        <f t="shared" si="8"/>
        <v>0.28647502881958864</v>
      </c>
      <c r="O11" s="32">
        <f t="shared" si="6"/>
        <v>0</v>
      </c>
      <c r="P11" s="32">
        <f t="shared" si="6"/>
        <v>1</v>
      </c>
      <c r="Q11" s="33"/>
      <c r="R11" s="33"/>
      <c r="S11" s="33"/>
    </row>
    <row r="12" spans="1:21" ht="14.5" hidden="1" customHeight="1">
      <c r="A12">
        <v>9</v>
      </c>
      <c r="B12" s="37">
        <f t="shared" si="7"/>
        <v>0.99987660542401369</v>
      </c>
      <c r="C12" s="38">
        <f t="shared" si="1"/>
        <v>1</v>
      </c>
      <c r="D12" s="33"/>
      <c r="E12" s="33"/>
      <c r="F12" s="39">
        <f t="shared" si="2"/>
        <v>0.52763830482289631</v>
      </c>
      <c r="G12" s="36">
        <f t="shared" si="3"/>
        <v>1</v>
      </c>
      <c r="H12" s="36">
        <f t="shared" si="4"/>
        <v>0</v>
      </c>
      <c r="I12" s="36"/>
      <c r="J12" s="36">
        <f t="shared" si="5"/>
        <v>0.47236169517710369</v>
      </c>
      <c r="K12" s="36">
        <f t="shared" si="0"/>
        <v>0</v>
      </c>
      <c r="L12" s="36">
        <f t="shared" si="0"/>
        <v>1</v>
      </c>
      <c r="M12" s="33"/>
      <c r="N12" s="40">
        <f t="shared" si="8"/>
        <v>0.24251180225077895</v>
      </c>
      <c r="O12" s="32">
        <f t="shared" si="6"/>
        <v>0</v>
      </c>
      <c r="P12" s="32">
        <f t="shared" si="6"/>
        <v>1</v>
      </c>
      <c r="Q12" s="33"/>
      <c r="R12" s="33"/>
      <c r="S12" s="33"/>
    </row>
    <row r="13" spans="1:21" ht="14.5" hidden="1" customHeight="1">
      <c r="A13">
        <v>10</v>
      </c>
      <c r="B13" s="37">
        <f t="shared" si="7"/>
        <v>0.99995460213129761</v>
      </c>
      <c r="C13" s="38">
        <f t="shared" si="1"/>
        <v>1</v>
      </c>
      <c r="D13" s="33"/>
      <c r="E13" s="33"/>
      <c r="F13" s="39">
        <f t="shared" si="2"/>
        <v>0.56540343567986895</v>
      </c>
      <c r="G13" s="36">
        <f t="shared" si="3"/>
        <v>1</v>
      </c>
      <c r="H13" s="36">
        <f t="shared" si="4"/>
        <v>0</v>
      </c>
      <c r="I13" s="36"/>
      <c r="J13" s="36">
        <f t="shared" si="5"/>
        <v>0.43459656432013105</v>
      </c>
      <c r="K13" s="36">
        <f t="shared" si="0"/>
        <v>0</v>
      </c>
      <c r="L13" s="36">
        <f t="shared" si="0"/>
        <v>1</v>
      </c>
      <c r="M13" s="33"/>
      <c r="N13" s="40">
        <f t="shared" si="8"/>
        <v>0.20528676984040228</v>
      </c>
      <c r="O13" s="32">
        <f t="shared" si="6"/>
        <v>0</v>
      </c>
      <c r="P13" s="32">
        <f t="shared" si="6"/>
        <v>1</v>
      </c>
      <c r="Q13" s="33"/>
      <c r="R13" s="33"/>
      <c r="S13" s="33"/>
    </row>
    <row r="14" spans="1:21" ht="14.5" hidden="1" customHeight="1">
      <c r="A14">
        <v>11</v>
      </c>
      <c r="B14" s="37">
        <f t="shared" si="7"/>
        <v>0.99998329857815205</v>
      </c>
      <c r="C14" s="38">
        <f t="shared" si="1"/>
        <v>1</v>
      </c>
      <c r="D14" s="33"/>
      <c r="E14" s="33"/>
      <c r="F14" s="39">
        <f t="shared" si="2"/>
        <v>0.60015090216450839</v>
      </c>
      <c r="G14" s="36">
        <f t="shared" si="3"/>
        <v>1</v>
      </c>
      <c r="H14" s="36">
        <f t="shared" si="4"/>
        <v>0</v>
      </c>
      <c r="I14" s="36"/>
      <c r="J14" s="36">
        <f t="shared" si="5"/>
        <v>0.39984909783549161</v>
      </c>
      <c r="K14" s="36">
        <f t="shared" si="0"/>
        <v>0</v>
      </c>
      <c r="L14" s="36">
        <f t="shared" si="0"/>
        <v>1</v>
      </c>
      <c r="M14" s="33"/>
      <c r="N14" s="40">
        <f t="shared" si="8"/>
        <v>0.1737730441658086</v>
      </c>
      <c r="O14" s="32">
        <f t="shared" si="6"/>
        <v>0</v>
      </c>
      <c r="P14" s="32">
        <f t="shared" si="6"/>
        <v>1</v>
      </c>
      <c r="Q14" s="33"/>
      <c r="R14" s="33"/>
      <c r="S14" s="33"/>
    </row>
    <row r="15" spans="1:21" ht="14.5" hidden="1" customHeight="1">
      <c r="A15">
        <v>12</v>
      </c>
      <c r="B15" s="37">
        <f t="shared" si="7"/>
        <v>0.99999385582539779</v>
      </c>
      <c r="C15" s="38">
        <f t="shared" si="1"/>
        <v>1</v>
      </c>
      <c r="D15" s="33"/>
      <c r="E15" s="33"/>
      <c r="F15" s="39">
        <f t="shared" si="2"/>
        <v>0.63212074718875177</v>
      </c>
      <c r="G15" s="36">
        <f t="shared" si="3"/>
        <v>1</v>
      </c>
      <c r="H15" s="36">
        <f t="shared" si="4"/>
        <v>0</v>
      </c>
      <c r="I15" s="36"/>
      <c r="J15" s="36">
        <f t="shared" si="5"/>
        <v>0.36787925281124823</v>
      </c>
      <c r="K15" s="36">
        <f t="shared" si="0"/>
        <v>0</v>
      </c>
      <c r="L15" s="36">
        <f t="shared" si="0"/>
        <v>1</v>
      </c>
      <c r="M15" s="33"/>
      <c r="N15" s="40">
        <f t="shared" si="8"/>
        <v>0.14709618734897234</v>
      </c>
      <c r="O15" s="32">
        <f t="shared" si="6"/>
        <v>0</v>
      </c>
      <c r="P15" s="32">
        <f t="shared" si="6"/>
        <v>1</v>
      </c>
      <c r="Q15" s="33"/>
      <c r="R15" s="33"/>
      <c r="S15" s="33"/>
    </row>
    <row r="16" spans="1:21" ht="14.5" hidden="1" customHeight="1">
      <c r="A16">
        <v>13</v>
      </c>
      <c r="B16" s="37">
        <f t="shared" si="7"/>
        <v>0.99999773967570205</v>
      </c>
      <c r="C16" s="38">
        <f t="shared" si="1"/>
        <v>1</v>
      </c>
      <c r="D16" s="33"/>
      <c r="E16" s="33"/>
      <c r="F16" s="39">
        <f t="shared" si="2"/>
        <v>0.66153463864616913</v>
      </c>
      <c r="G16" s="36">
        <f t="shared" si="3"/>
        <v>1</v>
      </c>
      <c r="H16" s="36">
        <f t="shared" si="4"/>
        <v>0</v>
      </c>
      <c r="I16" s="36"/>
      <c r="J16" s="36">
        <f t="shared" si="5"/>
        <v>0.33846536135383087</v>
      </c>
      <c r="K16" s="36">
        <f t="shared" si="0"/>
        <v>0</v>
      </c>
      <c r="L16" s="36">
        <f t="shared" si="0"/>
        <v>1</v>
      </c>
      <c r="M16" s="33"/>
      <c r="N16" s="40">
        <f t="shared" si="8"/>
        <v>0.12451438423733643</v>
      </c>
      <c r="O16" s="32">
        <f t="shared" si="6"/>
        <v>0</v>
      </c>
      <c r="P16" s="32">
        <f t="shared" si="6"/>
        <v>1</v>
      </c>
      <c r="Q16" s="33"/>
      <c r="R16" s="33"/>
      <c r="S16" s="33"/>
    </row>
    <row r="17" spans="1:19" ht="14.5" hidden="1" customHeight="1">
      <c r="A17">
        <v>14</v>
      </c>
      <c r="B17" s="37">
        <f t="shared" si="7"/>
        <v>0.99999916847197223</v>
      </c>
      <c r="C17" s="38">
        <f t="shared" si="1"/>
        <v>1</v>
      </c>
      <c r="D17" s="33"/>
      <c r="E17" s="33"/>
      <c r="F17" s="39">
        <f t="shared" si="2"/>
        <v>0.68859679766057302</v>
      </c>
      <c r="G17" s="36">
        <f t="shared" si="3"/>
        <v>1</v>
      </c>
      <c r="H17" s="36">
        <f t="shared" si="4"/>
        <v>0</v>
      </c>
      <c r="I17" s="36"/>
      <c r="J17" s="36">
        <f t="shared" si="5"/>
        <v>0.31140320233942698</v>
      </c>
      <c r="K17" s="36">
        <f t="shared" si="0"/>
        <v>0</v>
      </c>
      <c r="L17" s="36">
        <f t="shared" si="0"/>
        <v>1</v>
      </c>
      <c r="M17" s="33"/>
      <c r="N17" s="40">
        <f t="shared" si="8"/>
        <v>0.10539919740655426</v>
      </c>
      <c r="O17" s="32">
        <f t="shared" si="6"/>
        <v>0</v>
      </c>
      <c r="P17" s="32">
        <f t="shared" si="6"/>
        <v>1</v>
      </c>
      <c r="Q17" s="33"/>
      <c r="R17" s="33"/>
      <c r="S17" s="33"/>
    </row>
    <row r="18" spans="1:19" ht="14.5" hidden="1" customHeight="1">
      <c r="A18">
        <v>15</v>
      </c>
      <c r="B18" s="37">
        <f t="shared" si="7"/>
        <v>0.99999969409777301</v>
      </c>
      <c r="C18" s="38">
        <f t="shared" si="1"/>
        <v>1</v>
      </c>
      <c r="D18" s="33"/>
      <c r="E18" s="33"/>
      <c r="F18" s="39">
        <f t="shared" si="2"/>
        <v>0.71349521043804653</v>
      </c>
      <c r="G18" s="36">
        <f t="shared" si="3"/>
        <v>1</v>
      </c>
      <c r="H18" s="36">
        <f t="shared" si="4"/>
        <v>0</v>
      </c>
      <c r="I18" s="36"/>
      <c r="J18" s="36">
        <f t="shared" si="5"/>
        <v>0.28650478956195347</v>
      </c>
      <c r="K18" s="36">
        <f t="shared" si="0"/>
        <v>0</v>
      </c>
      <c r="L18" s="36">
        <f t="shared" si="0"/>
        <v>1</v>
      </c>
      <c r="M18" s="33"/>
      <c r="N18" s="40">
        <f t="shared" si="8"/>
        <v>8.921850895517594E-2</v>
      </c>
      <c r="O18" s="32">
        <f t="shared" si="6"/>
        <v>0</v>
      </c>
      <c r="P18" s="32">
        <f t="shared" si="6"/>
        <v>1</v>
      </c>
      <c r="Q18" s="33"/>
      <c r="R18" s="33"/>
      <c r="S18" s="33"/>
    </row>
    <row r="19" spans="1:19" ht="14.5" hidden="1" customHeight="1">
      <c r="A19">
        <v>16</v>
      </c>
      <c r="B19" s="37">
        <f t="shared" si="7"/>
        <v>0.99999988746483792</v>
      </c>
      <c r="C19" s="38">
        <f t="shared" si="1"/>
        <v>1</v>
      </c>
      <c r="D19" s="33"/>
      <c r="E19" s="33"/>
      <c r="F19" s="39">
        <f t="shared" si="2"/>
        <v>0.73640286435182212</v>
      </c>
      <c r="G19" s="36">
        <f t="shared" si="3"/>
        <v>1</v>
      </c>
      <c r="H19" s="36">
        <f t="shared" si="4"/>
        <v>0</v>
      </c>
      <c r="I19" s="36"/>
      <c r="J19" s="36">
        <f t="shared" si="5"/>
        <v>0.26359713564817788</v>
      </c>
      <c r="K19" s="36">
        <f t="shared" ref="K19:K82" si="9">1-G19</f>
        <v>0</v>
      </c>
      <c r="L19" s="36">
        <f t="shared" ref="L19:L82" si="10">1-H19</f>
        <v>1</v>
      </c>
      <c r="M19" s="33"/>
      <c r="N19" s="40">
        <f t="shared" si="8"/>
        <v>7.5521841878014903E-2</v>
      </c>
      <c r="O19" s="32">
        <f t="shared" si="6"/>
        <v>0</v>
      </c>
      <c r="P19" s="32">
        <f t="shared" si="6"/>
        <v>1</v>
      </c>
      <c r="Q19" s="33"/>
      <c r="R19" s="33"/>
      <c r="S19" s="33"/>
    </row>
    <row r="20" spans="1:19" ht="14.5" hidden="1" customHeight="1">
      <c r="A20">
        <v>17</v>
      </c>
      <c r="B20" s="37">
        <f t="shared" si="7"/>
        <v>0.99999995860062441</v>
      </c>
      <c r="C20" s="38">
        <f t="shared" si="1"/>
        <v>1</v>
      </c>
      <c r="D20" s="33"/>
      <c r="E20" s="33"/>
      <c r="F20" s="39">
        <f t="shared" si="2"/>
        <v>0.75747892614226631</v>
      </c>
      <c r="G20" s="36">
        <f t="shared" si="3"/>
        <v>1</v>
      </c>
      <c r="H20" s="36">
        <f t="shared" si="4"/>
        <v>0</v>
      </c>
      <c r="I20" s="36"/>
      <c r="J20" s="36">
        <f t="shared" si="5"/>
        <v>0.24252107385773369</v>
      </c>
      <c r="K20" s="36">
        <f t="shared" si="9"/>
        <v>0</v>
      </c>
      <c r="L20" s="36">
        <f t="shared" si="10"/>
        <v>1</v>
      </c>
      <c r="M20" s="33"/>
      <c r="N20" s="40">
        <f t="shared" si="8"/>
        <v>6.3927860403218795E-2</v>
      </c>
      <c r="O20" s="32">
        <f t="shared" ref="O20:O83" si="11">K20*K19</f>
        <v>0</v>
      </c>
      <c r="P20" s="32">
        <f t="shared" ref="P20:P83" si="12">L20*L19</f>
        <v>1</v>
      </c>
      <c r="Q20" s="33"/>
      <c r="R20" s="33"/>
      <c r="S20" s="33"/>
    </row>
    <row r="21" spans="1:19" ht="14.5" hidden="1" customHeight="1">
      <c r="A21">
        <v>18</v>
      </c>
      <c r="B21" s="37">
        <f t="shared" si="7"/>
        <v>0.9999999847700205</v>
      </c>
      <c r="C21" s="38">
        <f t="shared" si="1"/>
        <v>1</v>
      </c>
      <c r="D21" s="33"/>
      <c r="E21" s="33"/>
      <c r="F21" s="39">
        <f t="shared" si="2"/>
        <v>0.77686984015062555</v>
      </c>
      <c r="G21" s="36">
        <f t="shared" si="3"/>
        <v>1</v>
      </c>
      <c r="H21" s="36">
        <f t="shared" si="4"/>
        <v>0</v>
      </c>
      <c r="I21" s="36"/>
      <c r="J21" s="36">
        <f t="shared" si="5"/>
        <v>0.22313015984937445</v>
      </c>
      <c r="K21" s="36">
        <f t="shared" si="9"/>
        <v>0</v>
      </c>
      <c r="L21" s="36">
        <f t="shared" si="10"/>
        <v>1</v>
      </c>
      <c r="M21" s="33"/>
      <c r="N21" s="40">
        <f t="shared" si="8"/>
        <v>5.4113765976718069E-2</v>
      </c>
      <c r="O21" s="32">
        <f t="shared" si="11"/>
        <v>0</v>
      </c>
      <c r="P21" s="32">
        <f t="shared" si="12"/>
        <v>1</v>
      </c>
      <c r="Q21" s="33"/>
      <c r="R21" s="33"/>
      <c r="S21" s="33"/>
    </row>
    <row r="22" spans="1:19" ht="14.5" hidden="1" customHeight="1">
      <c r="A22">
        <v>19</v>
      </c>
      <c r="B22" s="37">
        <f t="shared" si="7"/>
        <v>0.99999999439720355</v>
      </c>
      <c r="C22" s="38">
        <f t="shared" si="1"/>
        <v>1</v>
      </c>
      <c r="D22" s="33"/>
      <c r="E22" s="33"/>
      <c r="F22" s="39">
        <f t="shared" si="2"/>
        <v>0.79471034238505611</v>
      </c>
      <c r="G22" s="36">
        <f t="shared" si="3"/>
        <v>1</v>
      </c>
      <c r="H22" s="36">
        <f t="shared" si="4"/>
        <v>0</v>
      </c>
      <c r="I22" s="36"/>
      <c r="J22" s="36">
        <f t="shared" si="5"/>
        <v>0.20528965761494389</v>
      </c>
      <c r="K22" s="36">
        <f t="shared" si="9"/>
        <v>0</v>
      </c>
      <c r="L22" s="36">
        <f t="shared" si="10"/>
        <v>1</v>
      </c>
      <c r="M22" s="33"/>
      <c r="N22" s="40">
        <f t="shared" si="8"/>
        <v>4.5806314119045781E-2</v>
      </c>
      <c r="O22" s="32">
        <f t="shared" si="11"/>
        <v>0</v>
      </c>
      <c r="P22" s="32">
        <f t="shared" si="12"/>
        <v>1</v>
      </c>
      <c r="Q22" s="33"/>
      <c r="R22" s="33"/>
      <c r="S22" s="33"/>
    </row>
    <row r="23" spans="1:19" ht="14.5" hidden="1" customHeight="1">
      <c r="A23">
        <v>20</v>
      </c>
      <c r="B23" s="37">
        <f t="shared" si="7"/>
        <v>0.99999999793884631</v>
      </c>
      <c r="C23" s="38">
        <f t="shared" si="1"/>
        <v>1</v>
      </c>
      <c r="D23" s="33"/>
      <c r="E23" s="33"/>
      <c r="F23" s="39">
        <f t="shared" si="2"/>
        <v>0.8111243966299635</v>
      </c>
      <c r="G23" s="36">
        <f t="shared" si="3"/>
        <v>1</v>
      </c>
      <c r="H23" s="36">
        <f t="shared" si="4"/>
        <v>0</v>
      </c>
      <c r="I23" s="36"/>
      <c r="J23" s="36">
        <f t="shared" si="5"/>
        <v>0.1888756033700365</v>
      </c>
      <c r="K23" s="36">
        <f t="shared" si="9"/>
        <v>0</v>
      </c>
      <c r="L23" s="36">
        <f t="shared" si="10"/>
        <v>1</v>
      </c>
      <c r="M23" s="33"/>
      <c r="N23" s="40">
        <f t="shared" si="8"/>
        <v>3.8774207947650734E-2</v>
      </c>
      <c r="O23" s="32">
        <f t="shared" si="11"/>
        <v>0</v>
      </c>
      <c r="P23" s="32">
        <f t="shared" si="12"/>
        <v>1</v>
      </c>
      <c r="Q23" s="33"/>
      <c r="R23" s="33"/>
      <c r="S23" s="33"/>
    </row>
    <row r="24" spans="1:19" ht="14.5" hidden="1" customHeight="1">
      <c r="A24">
        <v>21</v>
      </c>
      <c r="B24" s="37">
        <f t="shared" si="7"/>
        <v>0.99999999924174388</v>
      </c>
      <c r="C24" s="38">
        <f t="shared" si="1"/>
        <v>1</v>
      </c>
      <c r="D24" s="33"/>
      <c r="E24" s="33"/>
      <c r="F24" s="39">
        <f t="shared" si="2"/>
        <v>0.82622605498801949</v>
      </c>
      <c r="G24" s="36">
        <f t="shared" si="3"/>
        <v>1</v>
      </c>
      <c r="H24" s="36">
        <f t="shared" si="4"/>
        <v>0</v>
      </c>
      <c r="I24" s="36"/>
      <c r="J24" s="36">
        <f t="shared" si="5"/>
        <v>0.17377394501198051</v>
      </c>
      <c r="K24" s="36">
        <f t="shared" si="9"/>
        <v>0</v>
      </c>
      <c r="L24" s="36">
        <f t="shared" si="10"/>
        <v>1</v>
      </c>
      <c r="M24" s="33"/>
      <c r="N24" s="40">
        <f t="shared" si="8"/>
        <v>3.2821658714129363E-2</v>
      </c>
      <c r="O24" s="32">
        <f t="shared" si="11"/>
        <v>0</v>
      </c>
      <c r="P24" s="32">
        <f t="shared" si="12"/>
        <v>1</v>
      </c>
      <c r="Q24" s="33"/>
      <c r="R24" s="33"/>
      <c r="S24" s="33"/>
    </row>
    <row r="25" spans="1:19" ht="14.5" hidden="1" customHeight="1">
      <c r="A25">
        <v>22</v>
      </c>
      <c r="B25" s="37">
        <f t="shared" si="7"/>
        <v>0.99999999972105313</v>
      </c>
      <c r="C25" s="38">
        <f t="shared" si="1"/>
        <v>1</v>
      </c>
      <c r="D25" s="33"/>
      <c r="E25" s="33"/>
      <c r="F25" s="39">
        <f t="shared" si="2"/>
        <v>0.84012025123033485</v>
      </c>
      <c r="G25" s="36">
        <f t="shared" si="3"/>
        <v>1</v>
      </c>
      <c r="H25" s="36">
        <f t="shared" si="4"/>
        <v>0</v>
      </c>
      <c r="I25" s="36"/>
      <c r="J25" s="36">
        <f t="shared" si="5"/>
        <v>0.15987974876966515</v>
      </c>
      <c r="K25" s="36">
        <f t="shared" si="9"/>
        <v>0</v>
      </c>
      <c r="L25" s="36">
        <f t="shared" si="10"/>
        <v>1</v>
      </c>
      <c r="M25" s="33"/>
      <c r="N25" s="40">
        <f t="shared" si="8"/>
        <v>2.778293467122905E-2</v>
      </c>
      <c r="O25" s="32">
        <f t="shared" si="11"/>
        <v>0</v>
      </c>
      <c r="P25" s="32">
        <f t="shared" si="12"/>
        <v>1</v>
      </c>
      <c r="Q25" s="33"/>
      <c r="R25" s="33"/>
      <c r="S25" s="33"/>
    </row>
    <row r="26" spans="1:19" ht="14.5" hidden="1" customHeight="1">
      <c r="A26">
        <v>23</v>
      </c>
      <c r="B26" s="37">
        <f t="shared" si="7"/>
        <v>0.9999999998973812</v>
      </c>
      <c r="C26" s="38">
        <f t="shared" si="1"/>
        <v>1</v>
      </c>
      <c r="D26" s="33"/>
      <c r="E26" s="33"/>
      <c r="F26" s="39">
        <f t="shared" si="2"/>
        <v>0.85290353188702472</v>
      </c>
      <c r="G26" s="36">
        <f t="shared" si="3"/>
        <v>1</v>
      </c>
      <c r="H26" s="36">
        <f t="shared" si="4"/>
        <v>0</v>
      </c>
      <c r="I26" s="36"/>
      <c r="J26" s="36">
        <f t="shared" si="5"/>
        <v>0.14709646811297528</v>
      </c>
      <c r="K26" s="36">
        <f t="shared" si="9"/>
        <v>0</v>
      </c>
      <c r="L26" s="36">
        <f t="shared" si="10"/>
        <v>1</v>
      </c>
      <c r="M26" s="33"/>
      <c r="N26" s="40">
        <f t="shared" si="8"/>
        <v>2.3517746366807549E-2</v>
      </c>
      <c r="O26" s="32">
        <f t="shared" si="11"/>
        <v>0</v>
      </c>
      <c r="P26" s="32">
        <f t="shared" si="12"/>
        <v>1</v>
      </c>
      <c r="Q26" s="33"/>
      <c r="R26" s="33"/>
      <c r="S26" s="33"/>
    </row>
    <row r="27" spans="1:19" ht="14.5" hidden="1" customHeight="1">
      <c r="A27">
        <v>24</v>
      </c>
      <c r="B27" s="37">
        <f t="shared" si="7"/>
        <v>0.99999999996224864</v>
      </c>
      <c r="C27" s="38">
        <f t="shared" si="1"/>
        <v>1</v>
      </c>
      <c r="D27" s="33"/>
      <c r="E27" s="33"/>
      <c r="F27" s="39">
        <f t="shared" si="2"/>
        <v>0.86466471313284265</v>
      </c>
      <c r="G27" s="36">
        <f t="shared" si="3"/>
        <v>1</v>
      </c>
      <c r="H27" s="36">
        <f t="shared" si="4"/>
        <v>0</v>
      </c>
      <c r="I27" s="36"/>
      <c r="J27" s="36">
        <f t="shared" si="5"/>
        <v>0.13533528686715735</v>
      </c>
      <c r="K27" s="36">
        <f t="shared" si="9"/>
        <v>0</v>
      </c>
      <c r="L27" s="36">
        <f t="shared" si="10"/>
        <v>1</v>
      </c>
      <c r="M27" s="33"/>
      <c r="N27" s="40">
        <f t="shared" si="8"/>
        <v>1.9907342709215171E-2</v>
      </c>
      <c r="O27" s="32">
        <f t="shared" si="11"/>
        <v>0</v>
      </c>
      <c r="P27" s="32">
        <f t="shared" si="12"/>
        <v>1</v>
      </c>
      <c r="Q27" s="33"/>
      <c r="R27" s="33"/>
      <c r="S27" s="33"/>
    </row>
    <row r="28" spans="1:19" ht="14.5" hidden="1" customHeight="1">
      <c r="A28">
        <v>25</v>
      </c>
      <c r="B28" s="37">
        <f t="shared" si="7"/>
        <v>0.999999999986112</v>
      </c>
      <c r="C28" s="38">
        <f t="shared" si="1"/>
        <v>1</v>
      </c>
      <c r="D28" s="33"/>
      <c r="E28" s="33"/>
      <c r="F28" s="39">
        <f t="shared" si="2"/>
        <v>0.87548548522595238</v>
      </c>
      <c r="G28" s="36">
        <f t="shared" si="3"/>
        <v>1</v>
      </c>
      <c r="H28" s="36">
        <f t="shared" si="4"/>
        <v>0</v>
      </c>
      <c r="I28" s="36"/>
      <c r="J28" s="36">
        <f t="shared" si="5"/>
        <v>0.12451451477404762</v>
      </c>
      <c r="K28" s="36">
        <f t="shared" si="9"/>
        <v>0</v>
      </c>
      <c r="L28" s="36">
        <f t="shared" si="10"/>
        <v>1</v>
      </c>
      <c r="M28" s="33"/>
      <c r="N28" s="40">
        <f t="shared" si="8"/>
        <v>1.6851207576070636E-2</v>
      </c>
      <c r="O28" s="32">
        <f t="shared" si="11"/>
        <v>0</v>
      </c>
      <c r="P28" s="32">
        <f t="shared" si="12"/>
        <v>1</v>
      </c>
      <c r="Q28" s="33"/>
      <c r="R28" s="33"/>
      <c r="S28" s="33"/>
    </row>
    <row r="29" spans="1:19" ht="14.5" hidden="1" customHeight="1">
      <c r="A29">
        <v>26</v>
      </c>
      <c r="B29" s="37">
        <f t="shared" si="7"/>
        <v>0.99999999999489098</v>
      </c>
      <c r="C29" s="38">
        <f t="shared" si="1"/>
        <v>1</v>
      </c>
      <c r="D29" s="33"/>
      <c r="E29" s="33"/>
      <c r="F29" s="39">
        <f t="shared" si="2"/>
        <v>0.8854412769279042</v>
      </c>
      <c r="G29" s="36">
        <f t="shared" si="3"/>
        <v>1</v>
      </c>
      <c r="H29" s="36">
        <f t="shared" si="4"/>
        <v>0</v>
      </c>
      <c r="I29" s="36"/>
      <c r="J29" s="36">
        <f t="shared" si="5"/>
        <v>0.1145587230720958</v>
      </c>
      <c r="K29" s="36">
        <f t="shared" si="9"/>
        <v>0</v>
      </c>
      <c r="L29" s="36">
        <f t="shared" si="10"/>
        <v>1</v>
      </c>
      <c r="M29" s="33"/>
      <c r="N29" s="40">
        <f t="shared" si="8"/>
        <v>1.4264223816456503E-2</v>
      </c>
      <c r="O29" s="32">
        <f t="shared" si="11"/>
        <v>0</v>
      </c>
      <c r="P29" s="32">
        <f t="shared" si="12"/>
        <v>1</v>
      </c>
      <c r="Q29" s="33"/>
      <c r="R29" s="33"/>
      <c r="S29" s="33"/>
    </row>
    <row r="30" spans="1:19" ht="14.5" hidden="1" customHeight="1">
      <c r="A30">
        <v>27</v>
      </c>
      <c r="B30" s="37">
        <f t="shared" si="7"/>
        <v>0.99999999999812039</v>
      </c>
      <c r="C30" s="38">
        <f t="shared" si="1"/>
        <v>1</v>
      </c>
      <c r="D30" s="33"/>
      <c r="E30" s="33"/>
      <c r="F30" s="39">
        <f t="shared" si="2"/>
        <v>0.89460040737066437</v>
      </c>
      <c r="G30" s="36">
        <f t="shared" si="3"/>
        <v>1</v>
      </c>
      <c r="H30" s="36">
        <f t="shared" si="4"/>
        <v>0</v>
      </c>
      <c r="I30" s="36"/>
      <c r="J30" s="36">
        <f t="shared" si="5"/>
        <v>0.10539959262933563</v>
      </c>
      <c r="K30" s="36">
        <f t="shared" si="9"/>
        <v>0</v>
      </c>
      <c r="L30" s="36">
        <f t="shared" si="10"/>
        <v>1</v>
      </c>
      <c r="M30" s="33"/>
      <c r="N30" s="40">
        <f t="shared" si="8"/>
        <v>1.207444274393577E-2</v>
      </c>
      <c r="O30" s="32">
        <f t="shared" si="11"/>
        <v>0</v>
      </c>
      <c r="P30" s="32">
        <f t="shared" si="12"/>
        <v>1</v>
      </c>
      <c r="Q30" s="33"/>
      <c r="R30" s="33"/>
      <c r="S30" s="33"/>
    </row>
    <row r="31" spans="1:19" ht="14.5" hidden="1" customHeight="1">
      <c r="A31">
        <v>28</v>
      </c>
      <c r="B31" s="37">
        <f t="shared" si="7"/>
        <v>0.99999999999930855</v>
      </c>
      <c r="C31" s="38">
        <f t="shared" si="1"/>
        <v>1</v>
      </c>
      <c r="D31" s="33"/>
      <c r="E31" s="33"/>
      <c r="F31" s="39">
        <f t="shared" si="2"/>
        <v>0.9030279516223485</v>
      </c>
      <c r="G31" s="36">
        <f t="shared" si="3"/>
        <v>1</v>
      </c>
      <c r="H31" s="36">
        <f t="shared" si="4"/>
        <v>0</v>
      </c>
      <c r="I31" s="36"/>
      <c r="J31" s="36">
        <f t="shared" si="5"/>
        <v>9.6972048377651499E-2</v>
      </c>
      <c r="K31" s="36">
        <f t="shared" si="9"/>
        <v>0</v>
      </c>
      <c r="L31" s="36">
        <f t="shared" si="10"/>
        <v>1</v>
      </c>
      <c r="M31" s="33"/>
      <c r="N31" s="40">
        <f t="shared" si="8"/>
        <v>1.0220814395436694E-2</v>
      </c>
      <c r="O31" s="32">
        <f t="shared" si="11"/>
        <v>0</v>
      </c>
      <c r="P31" s="32">
        <f t="shared" si="12"/>
        <v>1</v>
      </c>
      <c r="Q31" s="33"/>
      <c r="R31" s="33"/>
      <c r="S31" s="33"/>
    </row>
    <row r="32" spans="1:19" ht="14.5" hidden="1" customHeight="1">
      <c r="A32">
        <v>29</v>
      </c>
      <c r="B32" s="37">
        <f t="shared" si="7"/>
        <v>0.99999999999974554</v>
      </c>
      <c r="C32" s="38">
        <f t="shared" si="1"/>
        <v>1</v>
      </c>
      <c r="D32" s="33"/>
      <c r="E32" s="33"/>
      <c r="F32" s="39">
        <f t="shared" si="2"/>
        <v>0.91077866094985871</v>
      </c>
      <c r="G32" s="36">
        <f t="shared" si="3"/>
        <v>1</v>
      </c>
      <c r="H32" s="36">
        <f t="shared" si="4"/>
        <v>0</v>
      </c>
      <c r="I32" s="36"/>
      <c r="J32" s="36">
        <f t="shared" si="5"/>
        <v>8.9221339050141291E-2</v>
      </c>
      <c r="K32" s="36">
        <f t="shared" si="9"/>
        <v>0</v>
      </c>
      <c r="L32" s="36">
        <f t="shared" si="10"/>
        <v>1</v>
      </c>
      <c r="M32" s="33"/>
      <c r="N32" s="40">
        <f t="shared" si="8"/>
        <v>8.651976006689148E-3</v>
      </c>
      <c r="O32" s="32">
        <f t="shared" si="11"/>
        <v>0</v>
      </c>
      <c r="P32" s="32">
        <f t="shared" si="12"/>
        <v>1</v>
      </c>
      <c r="Q32" s="33"/>
      <c r="R32" s="33"/>
      <c r="S32" s="33"/>
    </row>
    <row r="33" spans="1:19" ht="14.5" hidden="1" customHeight="1">
      <c r="A33">
        <v>30</v>
      </c>
      <c r="B33" s="37">
        <f t="shared" si="7"/>
        <v>0.99999999999990652</v>
      </c>
      <c r="C33" s="38">
        <f t="shared" si="1"/>
        <v>1</v>
      </c>
      <c r="D33" s="33"/>
      <c r="E33" s="33"/>
      <c r="F33" s="39">
        <f t="shared" si="2"/>
        <v>0.91792198210354281</v>
      </c>
      <c r="G33" s="36">
        <f t="shared" si="3"/>
        <v>1</v>
      </c>
      <c r="H33" s="36">
        <f t="shared" si="4"/>
        <v>0</v>
      </c>
      <c r="I33" s="36"/>
      <c r="J33" s="36">
        <f t="shared" si="5"/>
        <v>8.2078017896457189E-2</v>
      </c>
      <c r="K33" s="36">
        <f t="shared" si="9"/>
        <v>0</v>
      </c>
      <c r="L33" s="36">
        <f t="shared" si="10"/>
        <v>1</v>
      </c>
      <c r="M33" s="33"/>
      <c r="N33" s="40">
        <f t="shared" si="8"/>
        <v>7.3231106633033713E-3</v>
      </c>
      <c r="O33" s="32">
        <f t="shared" si="11"/>
        <v>0</v>
      </c>
      <c r="P33" s="32">
        <f t="shared" si="12"/>
        <v>1</v>
      </c>
      <c r="Q33" s="33"/>
      <c r="R33" s="33"/>
      <c r="S33" s="33"/>
    </row>
    <row r="34" spans="1:19" ht="14.5" hidden="1" customHeight="1">
      <c r="A34">
        <v>31</v>
      </c>
      <c r="B34" s="37">
        <f t="shared" si="7"/>
        <v>0.99999999999996558</v>
      </c>
      <c r="C34" s="38">
        <f t="shared" si="1"/>
        <v>1</v>
      </c>
      <c r="D34" s="33"/>
      <c r="E34" s="33"/>
      <c r="F34" s="39">
        <f t="shared" si="2"/>
        <v>0.92447959210568176</v>
      </c>
      <c r="G34" s="36">
        <f t="shared" si="3"/>
        <v>1</v>
      </c>
      <c r="H34" s="36">
        <f t="shared" si="4"/>
        <v>0</v>
      </c>
      <c r="I34" s="36"/>
      <c r="J34" s="36">
        <f t="shared" si="5"/>
        <v>7.5520407894318242E-2</v>
      </c>
      <c r="K34" s="36">
        <f t="shared" si="9"/>
        <v>0</v>
      </c>
      <c r="L34" s="36">
        <f t="shared" si="10"/>
        <v>1</v>
      </c>
      <c r="M34" s="33"/>
      <c r="N34" s="40">
        <f t="shared" si="8"/>
        <v>6.1985653906975998E-3</v>
      </c>
      <c r="O34" s="32">
        <f t="shared" si="11"/>
        <v>0</v>
      </c>
      <c r="P34" s="32">
        <f t="shared" si="12"/>
        <v>1</v>
      </c>
      <c r="Q34" s="33"/>
      <c r="R34" s="33"/>
      <c r="S34" s="33"/>
    </row>
    <row r="35" spans="1:19" ht="14.5" hidden="1" customHeight="1">
      <c r="A35">
        <v>32</v>
      </c>
      <c r="B35" s="37">
        <f t="shared" si="7"/>
        <v>0.99999999999998734</v>
      </c>
      <c r="C35" s="38">
        <f t="shared" si="1"/>
        <v>1</v>
      </c>
      <c r="D35" s="33"/>
      <c r="E35" s="33"/>
      <c r="F35" s="39">
        <f t="shared" si="2"/>
        <v>0.93052003514512793</v>
      </c>
      <c r="G35" s="36">
        <f t="shared" si="3"/>
        <v>1</v>
      </c>
      <c r="H35" s="36">
        <f t="shared" si="4"/>
        <v>0</v>
      </c>
      <c r="I35" s="36"/>
      <c r="J35" s="36">
        <f t="shared" si="5"/>
        <v>6.9479964854872067E-2</v>
      </c>
      <c r="K35" s="36">
        <f t="shared" si="9"/>
        <v>0</v>
      </c>
      <c r="L35" s="36">
        <f t="shared" si="10"/>
        <v>1</v>
      </c>
      <c r="M35" s="33"/>
      <c r="N35" s="40">
        <f t="shared" si="8"/>
        <v>5.2471552863228342E-3</v>
      </c>
      <c r="O35" s="32">
        <f t="shared" si="11"/>
        <v>0</v>
      </c>
      <c r="P35" s="32">
        <f t="shared" si="12"/>
        <v>1</v>
      </c>
      <c r="Q35" s="33"/>
      <c r="R35" s="33"/>
      <c r="S35" s="33"/>
    </row>
    <row r="36" spans="1:19" ht="14.5" hidden="1" customHeight="1">
      <c r="A36">
        <v>33</v>
      </c>
      <c r="B36" s="37">
        <f t="shared" si="7"/>
        <v>0.99999999999999534</v>
      </c>
      <c r="C36" s="38">
        <f t="shared" si="1"/>
        <v>1</v>
      </c>
      <c r="D36" s="33"/>
      <c r="E36" s="33"/>
      <c r="F36" s="39">
        <f t="shared" si="2"/>
        <v>0.9360675089240883</v>
      </c>
      <c r="G36" s="36">
        <f t="shared" si="3"/>
        <v>1</v>
      </c>
      <c r="H36" s="36">
        <f t="shared" si="4"/>
        <v>0</v>
      </c>
      <c r="I36" s="36"/>
      <c r="J36" s="36">
        <f t="shared" si="5"/>
        <v>6.3932491075911702E-2</v>
      </c>
      <c r="K36" s="36">
        <f t="shared" si="9"/>
        <v>0</v>
      </c>
      <c r="L36" s="36">
        <f t="shared" si="10"/>
        <v>1</v>
      </c>
      <c r="M36" s="33"/>
      <c r="N36" s="40">
        <f t="shared" si="8"/>
        <v>4.4420272330387674E-3</v>
      </c>
      <c r="O36" s="32">
        <f t="shared" si="11"/>
        <v>0</v>
      </c>
      <c r="P36" s="32">
        <f t="shared" si="12"/>
        <v>1</v>
      </c>
      <c r="Q36" s="33"/>
      <c r="R36" s="33"/>
      <c r="S36" s="33"/>
    </row>
    <row r="37" spans="1:19" ht="14.5" hidden="1" customHeight="1">
      <c r="A37">
        <v>34</v>
      </c>
      <c r="B37" s="37">
        <f t="shared" si="7"/>
        <v>0.99999999999999822</v>
      </c>
      <c r="C37" s="38">
        <f t="shared" si="1"/>
        <v>1</v>
      </c>
      <c r="D37" s="33"/>
      <c r="E37" s="33"/>
      <c r="F37" s="39">
        <f t="shared" si="2"/>
        <v>0.94100785545739418</v>
      </c>
      <c r="G37" s="36">
        <f t="shared" si="3"/>
        <v>1</v>
      </c>
      <c r="H37" s="36">
        <f t="shared" si="4"/>
        <v>0</v>
      </c>
      <c r="I37" s="36"/>
      <c r="J37" s="36">
        <f t="shared" si="5"/>
        <v>5.8992144542605818E-2</v>
      </c>
      <c r="K37" s="36">
        <f t="shared" si="9"/>
        <v>0</v>
      </c>
      <c r="L37" s="36">
        <f t="shared" si="10"/>
        <v>1</v>
      </c>
      <c r="M37" s="33"/>
      <c r="N37" s="40">
        <f t="shared" si="8"/>
        <v>3.7715147545190398E-3</v>
      </c>
      <c r="O37" s="32">
        <f t="shared" si="11"/>
        <v>0</v>
      </c>
      <c r="P37" s="32">
        <f t="shared" si="12"/>
        <v>1</v>
      </c>
      <c r="Q37" s="33"/>
      <c r="R37" s="33"/>
      <c r="S37" s="33"/>
    </row>
    <row r="38" spans="1:19" ht="14.5" hidden="1" customHeight="1">
      <c r="A38">
        <v>35</v>
      </c>
      <c r="B38" s="37">
        <f t="shared" si="7"/>
        <v>0.99999999999999933</v>
      </c>
      <c r="C38" s="38">
        <f t="shared" si="1"/>
        <v>1</v>
      </c>
      <c r="D38" s="33"/>
      <c r="E38" s="33"/>
      <c r="F38" s="39">
        <f t="shared" si="2"/>
        <v>0.94563782928964657</v>
      </c>
      <c r="G38" s="36">
        <f t="shared" si="3"/>
        <v>1</v>
      </c>
      <c r="H38" s="36">
        <f t="shared" si="4"/>
        <v>0</v>
      </c>
      <c r="I38" s="36"/>
      <c r="J38" s="36">
        <f t="shared" si="5"/>
        <v>5.436217071035343E-2</v>
      </c>
      <c r="K38" s="36">
        <f t="shared" si="9"/>
        <v>0</v>
      </c>
      <c r="L38" s="36">
        <f t="shared" si="10"/>
        <v>1</v>
      </c>
      <c r="M38" s="33"/>
      <c r="N38" s="40">
        <f t="shared" si="8"/>
        <v>3.206941032194982E-3</v>
      </c>
      <c r="O38" s="32">
        <f t="shared" si="11"/>
        <v>0</v>
      </c>
      <c r="P38" s="32">
        <f t="shared" si="12"/>
        <v>1</v>
      </c>
      <c r="Q38" s="33"/>
      <c r="R38" s="33"/>
      <c r="S38" s="33"/>
    </row>
    <row r="39" spans="1:19" ht="14.5" hidden="1" customHeight="1">
      <c r="A39">
        <v>36</v>
      </c>
      <c r="B39" s="37">
        <f t="shared" si="7"/>
        <v>0.99999999999999978</v>
      </c>
      <c r="C39" s="38">
        <f t="shared" si="1"/>
        <v>1</v>
      </c>
      <c r="D39" s="33"/>
      <c r="E39" s="33"/>
      <c r="F39" s="39">
        <f t="shared" si="2"/>
        <v>0.95039371712599374</v>
      </c>
      <c r="G39" s="36">
        <f t="shared" si="3"/>
        <v>1</v>
      </c>
      <c r="H39" s="36">
        <f t="shared" si="4"/>
        <v>0</v>
      </c>
      <c r="I39" s="36"/>
      <c r="J39" s="36">
        <f t="shared" si="5"/>
        <v>4.9606282874006258E-2</v>
      </c>
      <c r="K39" s="36">
        <f t="shared" si="9"/>
        <v>0</v>
      </c>
      <c r="L39" s="36">
        <f t="shared" si="10"/>
        <v>1</v>
      </c>
      <c r="M39" s="33"/>
      <c r="N39" s="40">
        <f t="shared" si="8"/>
        <v>2.6967052179028101E-3</v>
      </c>
      <c r="O39" s="32">
        <f t="shared" si="11"/>
        <v>0</v>
      </c>
      <c r="P39" s="32">
        <f t="shared" si="12"/>
        <v>1</v>
      </c>
      <c r="Q39" s="33"/>
      <c r="R39" s="33"/>
      <c r="S39" s="33"/>
    </row>
    <row r="40" spans="1:19" ht="14.5" hidden="1" customHeight="1">
      <c r="A40">
        <v>37</v>
      </c>
      <c r="B40" s="37">
        <f t="shared" si="7"/>
        <v>1</v>
      </c>
      <c r="C40" s="38">
        <f t="shared" si="1"/>
        <v>1</v>
      </c>
      <c r="D40" s="33"/>
      <c r="E40" s="33"/>
      <c r="F40" s="39">
        <f t="shared" si="2"/>
        <v>1</v>
      </c>
      <c r="G40" s="36">
        <f t="shared" si="3"/>
        <v>1</v>
      </c>
      <c r="H40" s="36">
        <f t="shared" si="4"/>
        <v>0</v>
      </c>
      <c r="I40" s="36"/>
      <c r="J40" s="36">
        <f t="shared" si="5"/>
        <v>0</v>
      </c>
      <c r="K40" s="36">
        <f t="shared" si="9"/>
        <v>0</v>
      </c>
      <c r="L40" s="36">
        <f t="shared" si="10"/>
        <v>1</v>
      </c>
      <c r="M40" s="33"/>
      <c r="N40" s="40">
        <f t="shared" si="8"/>
        <v>0</v>
      </c>
      <c r="O40" s="32">
        <f t="shared" si="11"/>
        <v>0</v>
      </c>
      <c r="P40" s="32">
        <f t="shared" si="12"/>
        <v>1</v>
      </c>
      <c r="Q40" s="33"/>
      <c r="R40" s="33"/>
      <c r="S40" s="33"/>
    </row>
    <row r="41" spans="1:19" ht="14.5" hidden="1" customHeight="1">
      <c r="A41">
        <v>38</v>
      </c>
      <c r="B41" s="37">
        <f t="shared" si="7"/>
        <v>1</v>
      </c>
      <c r="C41" s="38">
        <f t="shared" si="1"/>
        <v>1</v>
      </c>
      <c r="D41" s="33"/>
      <c r="E41" s="33"/>
      <c r="F41" s="39">
        <f t="shared" si="2"/>
        <v>1</v>
      </c>
      <c r="G41" s="36">
        <f t="shared" si="3"/>
        <v>1</v>
      </c>
      <c r="H41" s="36">
        <f t="shared" si="4"/>
        <v>0</v>
      </c>
      <c r="I41" s="36"/>
      <c r="J41" s="36">
        <f t="shared" si="5"/>
        <v>0</v>
      </c>
      <c r="K41" s="36">
        <f t="shared" si="9"/>
        <v>0</v>
      </c>
      <c r="L41" s="36">
        <f t="shared" si="10"/>
        <v>1</v>
      </c>
      <c r="M41" s="33"/>
      <c r="N41" s="40">
        <f t="shared" si="8"/>
        <v>0</v>
      </c>
      <c r="O41" s="32">
        <f t="shared" si="11"/>
        <v>0</v>
      </c>
      <c r="P41" s="32">
        <f t="shared" si="12"/>
        <v>1</v>
      </c>
      <c r="Q41" s="33"/>
      <c r="R41" s="33"/>
      <c r="S41" s="33"/>
    </row>
    <row r="42" spans="1:19" ht="14.5" hidden="1" customHeight="1">
      <c r="A42">
        <v>39</v>
      </c>
      <c r="B42" s="37">
        <f t="shared" si="7"/>
        <v>1</v>
      </c>
      <c r="C42" s="38">
        <f t="shared" si="1"/>
        <v>1</v>
      </c>
      <c r="D42" s="33"/>
      <c r="E42" s="33"/>
      <c r="F42" s="39">
        <f t="shared" si="2"/>
        <v>1</v>
      </c>
      <c r="G42" s="36">
        <f t="shared" si="3"/>
        <v>1</v>
      </c>
      <c r="H42" s="36">
        <f t="shared" si="4"/>
        <v>0</v>
      </c>
      <c r="I42" s="36"/>
      <c r="J42" s="36">
        <f t="shared" si="5"/>
        <v>0</v>
      </c>
      <c r="K42" s="36">
        <f t="shared" si="9"/>
        <v>0</v>
      </c>
      <c r="L42" s="36">
        <f t="shared" si="10"/>
        <v>1</v>
      </c>
      <c r="M42" s="33"/>
      <c r="N42" s="40">
        <f t="shared" si="8"/>
        <v>0</v>
      </c>
      <c r="O42" s="32">
        <f t="shared" si="11"/>
        <v>0</v>
      </c>
      <c r="P42" s="32">
        <f t="shared" si="12"/>
        <v>1</v>
      </c>
      <c r="Q42" s="33"/>
      <c r="R42" s="33"/>
      <c r="S42" s="33"/>
    </row>
    <row r="43" spans="1:19" ht="14.5" hidden="1" customHeight="1">
      <c r="A43">
        <v>40</v>
      </c>
      <c r="B43" s="37">
        <f t="shared" si="7"/>
        <v>1</v>
      </c>
      <c r="C43" s="38">
        <f t="shared" si="1"/>
        <v>1</v>
      </c>
      <c r="D43" s="33"/>
      <c r="E43" s="33"/>
      <c r="F43" s="39">
        <f t="shared" si="2"/>
        <v>1</v>
      </c>
      <c r="G43" s="36">
        <f t="shared" si="3"/>
        <v>1</v>
      </c>
      <c r="H43" s="36">
        <f t="shared" si="4"/>
        <v>0</v>
      </c>
      <c r="I43" s="36"/>
      <c r="J43" s="36">
        <f t="shared" si="5"/>
        <v>0</v>
      </c>
      <c r="K43" s="36">
        <f t="shared" si="9"/>
        <v>0</v>
      </c>
      <c r="L43" s="36">
        <f t="shared" si="10"/>
        <v>1</v>
      </c>
      <c r="M43" s="33"/>
      <c r="N43" s="40">
        <f t="shared" si="8"/>
        <v>0</v>
      </c>
      <c r="O43" s="32">
        <f t="shared" si="11"/>
        <v>0</v>
      </c>
      <c r="P43" s="32">
        <f t="shared" si="12"/>
        <v>1</v>
      </c>
      <c r="Q43" s="33"/>
      <c r="R43" s="33"/>
      <c r="S43" s="33"/>
    </row>
    <row r="44" spans="1:19" ht="14.5" hidden="1" customHeight="1">
      <c r="A44">
        <v>41</v>
      </c>
      <c r="B44" s="37">
        <f t="shared" si="7"/>
        <v>1</v>
      </c>
      <c r="C44" s="38">
        <f t="shared" si="1"/>
        <v>1</v>
      </c>
      <c r="D44" s="33"/>
      <c r="E44" s="33"/>
      <c r="F44" s="39">
        <f t="shared" si="2"/>
        <v>1</v>
      </c>
      <c r="G44" s="36">
        <f t="shared" si="3"/>
        <v>1</v>
      </c>
      <c r="H44" s="36">
        <f t="shared" si="4"/>
        <v>0</v>
      </c>
      <c r="I44" s="36"/>
      <c r="J44" s="36">
        <f t="shared" si="5"/>
        <v>0</v>
      </c>
      <c r="K44" s="36">
        <f t="shared" si="9"/>
        <v>0</v>
      </c>
      <c r="L44" s="36">
        <f t="shared" si="10"/>
        <v>1</v>
      </c>
      <c r="M44" s="33"/>
      <c r="N44" s="40">
        <f t="shared" si="8"/>
        <v>0</v>
      </c>
      <c r="O44" s="32">
        <f t="shared" si="11"/>
        <v>0</v>
      </c>
      <c r="P44" s="32">
        <f t="shared" si="12"/>
        <v>1</v>
      </c>
      <c r="Q44" s="33"/>
      <c r="R44" s="33"/>
      <c r="S44" s="33"/>
    </row>
    <row r="45" spans="1:19" ht="14.5" hidden="1" customHeight="1">
      <c r="A45">
        <v>42</v>
      </c>
      <c r="B45" s="37">
        <f t="shared" si="7"/>
        <v>1</v>
      </c>
      <c r="C45" s="38">
        <f t="shared" si="1"/>
        <v>1</v>
      </c>
      <c r="D45" s="33"/>
      <c r="E45" s="33"/>
      <c r="F45" s="39">
        <f t="shared" si="2"/>
        <v>1</v>
      </c>
      <c r="G45" s="36">
        <f t="shared" si="3"/>
        <v>1</v>
      </c>
      <c r="H45" s="36">
        <f t="shared" si="4"/>
        <v>0</v>
      </c>
      <c r="I45" s="36"/>
      <c r="J45" s="36">
        <f t="shared" si="5"/>
        <v>0</v>
      </c>
      <c r="K45" s="36">
        <f t="shared" si="9"/>
        <v>0</v>
      </c>
      <c r="L45" s="36">
        <f t="shared" si="10"/>
        <v>1</v>
      </c>
      <c r="M45" s="33"/>
      <c r="N45" s="40">
        <f t="shared" si="8"/>
        <v>0</v>
      </c>
      <c r="O45" s="32">
        <f t="shared" si="11"/>
        <v>0</v>
      </c>
      <c r="P45" s="32">
        <f t="shared" si="12"/>
        <v>1</v>
      </c>
      <c r="Q45" s="33"/>
      <c r="R45" s="33"/>
      <c r="S45" s="33"/>
    </row>
    <row r="46" spans="1:19" ht="14.5" hidden="1" customHeight="1">
      <c r="A46">
        <v>43</v>
      </c>
      <c r="B46" s="37">
        <f t="shared" si="7"/>
        <v>1</v>
      </c>
      <c r="C46" s="38">
        <f t="shared" si="1"/>
        <v>1</v>
      </c>
      <c r="D46" s="33"/>
      <c r="E46" s="33"/>
      <c r="F46" s="39">
        <f t="shared" si="2"/>
        <v>1</v>
      </c>
      <c r="G46" s="36">
        <f t="shared" si="3"/>
        <v>1</v>
      </c>
      <c r="H46" s="36">
        <f t="shared" si="4"/>
        <v>0</v>
      </c>
      <c r="I46" s="36"/>
      <c r="J46" s="36">
        <f t="shared" si="5"/>
        <v>0</v>
      </c>
      <c r="K46" s="36">
        <f t="shared" si="9"/>
        <v>0</v>
      </c>
      <c r="L46" s="36">
        <f t="shared" si="10"/>
        <v>1</v>
      </c>
      <c r="M46" s="33"/>
      <c r="N46" s="40">
        <f t="shared" si="8"/>
        <v>0</v>
      </c>
      <c r="O46" s="32">
        <f t="shared" si="11"/>
        <v>0</v>
      </c>
      <c r="P46" s="32">
        <f t="shared" si="12"/>
        <v>1</v>
      </c>
      <c r="Q46" s="33"/>
      <c r="R46" s="33"/>
      <c r="S46" s="33"/>
    </row>
    <row r="47" spans="1:19" ht="14.5" hidden="1" customHeight="1">
      <c r="A47">
        <v>44</v>
      </c>
      <c r="B47" s="37">
        <f t="shared" si="7"/>
        <v>1</v>
      </c>
      <c r="C47" s="38">
        <f t="shared" si="1"/>
        <v>1</v>
      </c>
      <c r="D47" s="33"/>
      <c r="E47" s="33"/>
      <c r="F47" s="39">
        <f t="shared" si="2"/>
        <v>1</v>
      </c>
      <c r="G47" s="36">
        <f t="shared" si="3"/>
        <v>1</v>
      </c>
      <c r="H47" s="36">
        <f t="shared" si="4"/>
        <v>0</v>
      </c>
      <c r="I47" s="36"/>
      <c r="J47" s="36">
        <f t="shared" si="5"/>
        <v>0</v>
      </c>
      <c r="K47" s="36">
        <f t="shared" si="9"/>
        <v>0</v>
      </c>
      <c r="L47" s="36">
        <f t="shared" si="10"/>
        <v>1</v>
      </c>
      <c r="M47" s="33"/>
      <c r="N47" s="40">
        <f t="shared" si="8"/>
        <v>0</v>
      </c>
      <c r="O47" s="32">
        <f t="shared" si="11"/>
        <v>0</v>
      </c>
      <c r="P47" s="32">
        <f t="shared" si="12"/>
        <v>1</v>
      </c>
      <c r="Q47" s="33"/>
      <c r="R47" s="33"/>
      <c r="S47" s="33"/>
    </row>
    <row r="48" spans="1:19" ht="14.5" hidden="1" customHeight="1">
      <c r="A48">
        <v>45</v>
      </c>
      <c r="B48" s="37">
        <f t="shared" si="7"/>
        <v>1</v>
      </c>
      <c r="C48" s="38">
        <f t="shared" si="1"/>
        <v>1</v>
      </c>
      <c r="D48" s="33"/>
      <c r="E48" s="33"/>
      <c r="F48" s="39">
        <f t="shared" si="2"/>
        <v>1</v>
      </c>
      <c r="G48" s="36">
        <f t="shared" si="3"/>
        <v>1</v>
      </c>
      <c r="H48" s="36">
        <f t="shared" si="4"/>
        <v>0</v>
      </c>
      <c r="I48" s="36"/>
      <c r="J48" s="36">
        <f t="shared" si="5"/>
        <v>0</v>
      </c>
      <c r="K48" s="36">
        <f t="shared" si="9"/>
        <v>0</v>
      </c>
      <c r="L48" s="36">
        <f t="shared" si="10"/>
        <v>1</v>
      </c>
      <c r="M48" s="33"/>
      <c r="N48" s="40">
        <f t="shared" si="8"/>
        <v>0</v>
      </c>
      <c r="O48" s="32">
        <f t="shared" si="11"/>
        <v>0</v>
      </c>
      <c r="P48" s="32">
        <f t="shared" si="12"/>
        <v>1</v>
      </c>
      <c r="Q48" s="33"/>
      <c r="R48" s="33"/>
      <c r="S48" s="33"/>
    </row>
    <row r="49" spans="1:19" ht="14.5" hidden="1" customHeight="1">
      <c r="A49">
        <v>46</v>
      </c>
      <c r="B49" s="37">
        <f t="shared" si="7"/>
        <v>1</v>
      </c>
      <c r="C49" s="38">
        <f t="shared" si="1"/>
        <v>1</v>
      </c>
      <c r="D49" s="33"/>
      <c r="E49" s="33"/>
      <c r="F49" s="39">
        <f t="shared" si="2"/>
        <v>1</v>
      </c>
      <c r="G49" s="36">
        <f t="shared" si="3"/>
        <v>1</v>
      </c>
      <c r="H49" s="36">
        <f t="shared" si="4"/>
        <v>0</v>
      </c>
      <c r="I49" s="36"/>
      <c r="J49" s="36">
        <f t="shared" si="5"/>
        <v>0</v>
      </c>
      <c r="K49" s="36">
        <f t="shared" si="9"/>
        <v>0</v>
      </c>
      <c r="L49" s="36">
        <f t="shared" si="10"/>
        <v>1</v>
      </c>
      <c r="M49" s="33"/>
      <c r="N49" s="40">
        <f t="shared" si="8"/>
        <v>0</v>
      </c>
      <c r="O49" s="32">
        <f t="shared" si="11"/>
        <v>0</v>
      </c>
      <c r="P49" s="32">
        <f t="shared" si="12"/>
        <v>1</v>
      </c>
      <c r="Q49" s="33"/>
      <c r="R49" s="33"/>
      <c r="S49" s="33"/>
    </row>
    <row r="50" spans="1:19" ht="14.5" hidden="1" customHeight="1">
      <c r="A50">
        <v>47</v>
      </c>
      <c r="B50" s="37">
        <f t="shared" si="7"/>
        <v>1</v>
      </c>
      <c r="C50" s="38">
        <f t="shared" si="1"/>
        <v>1</v>
      </c>
      <c r="D50" s="33"/>
      <c r="E50" s="33"/>
      <c r="F50" s="39">
        <f t="shared" si="2"/>
        <v>1</v>
      </c>
      <c r="G50" s="36">
        <f t="shared" si="3"/>
        <v>1</v>
      </c>
      <c r="H50" s="36">
        <f t="shared" si="4"/>
        <v>0</v>
      </c>
      <c r="I50" s="36"/>
      <c r="J50" s="36">
        <f t="shared" si="5"/>
        <v>0</v>
      </c>
      <c r="K50" s="36">
        <f t="shared" si="9"/>
        <v>0</v>
      </c>
      <c r="L50" s="36">
        <f t="shared" si="10"/>
        <v>1</v>
      </c>
      <c r="M50" s="33"/>
      <c r="N50" s="40">
        <f t="shared" si="8"/>
        <v>0</v>
      </c>
      <c r="O50" s="32">
        <f t="shared" si="11"/>
        <v>0</v>
      </c>
      <c r="P50" s="32">
        <f t="shared" si="12"/>
        <v>1</v>
      </c>
      <c r="Q50" s="33"/>
      <c r="R50" s="33"/>
      <c r="S50" s="33"/>
    </row>
    <row r="51" spans="1:19" ht="14.5" hidden="1" customHeight="1">
      <c r="A51">
        <v>48</v>
      </c>
      <c r="B51" s="37">
        <f t="shared" si="7"/>
        <v>1</v>
      </c>
      <c r="C51" s="38">
        <f t="shared" si="1"/>
        <v>1</v>
      </c>
      <c r="D51" s="33"/>
      <c r="E51" s="33"/>
      <c r="F51" s="39">
        <f t="shared" si="2"/>
        <v>1</v>
      </c>
      <c r="G51" s="36">
        <f t="shared" si="3"/>
        <v>1</v>
      </c>
      <c r="H51" s="36">
        <f t="shared" si="4"/>
        <v>0</v>
      </c>
      <c r="I51" s="36"/>
      <c r="J51" s="36">
        <f t="shared" si="5"/>
        <v>0</v>
      </c>
      <c r="K51" s="36">
        <f t="shared" si="9"/>
        <v>0</v>
      </c>
      <c r="L51" s="36">
        <f t="shared" si="10"/>
        <v>1</v>
      </c>
      <c r="M51" s="33"/>
      <c r="N51" s="40">
        <f t="shared" si="8"/>
        <v>0</v>
      </c>
      <c r="O51" s="32">
        <f t="shared" si="11"/>
        <v>0</v>
      </c>
      <c r="P51" s="32">
        <f t="shared" si="12"/>
        <v>1</v>
      </c>
      <c r="Q51" s="33"/>
      <c r="R51" s="33"/>
      <c r="S51" s="33"/>
    </row>
    <row r="52" spans="1:19" ht="14.5" hidden="1" customHeight="1">
      <c r="A52">
        <v>49</v>
      </c>
      <c r="B52" s="37">
        <f t="shared" si="7"/>
        <v>1</v>
      </c>
      <c r="C52" s="38">
        <f t="shared" si="1"/>
        <v>1</v>
      </c>
      <c r="D52" s="33"/>
      <c r="E52" s="33"/>
      <c r="F52" s="39">
        <f t="shared" si="2"/>
        <v>1</v>
      </c>
      <c r="G52" s="36">
        <f t="shared" si="3"/>
        <v>1</v>
      </c>
      <c r="H52" s="36">
        <f t="shared" si="4"/>
        <v>0</v>
      </c>
      <c r="I52" s="36"/>
      <c r="J52" s="36">
        <f t="shared" si="5"/>
        <v>0</v>
      </c>
      <c r="K52" s="36">
        <f t="shared" si="9"/>
        <v>0</v>
      </c>
      <c r="L52" s="36">
        <f t="shared" si="10"/>
        <v>1</v>
      </c>
      <c r="M52" s="33"/>
      <c r="N52" s="40">
        <f t="shared" si="8"/>
        <v>0</v>
      </c>
      <c r="O52" s="32">
        <f t="shared" si="11"/>
        <v>0</v>
      </c>
      <c r="P52" s="32">
        <f t="shared" si="12"/>
        <v>1</v>
      </c>
      <c r="Q52" s="33"/>
      <c r="R52" s="33"/>
      <c r="S52" s="33"/>
    </row>
    <row r="53" spans="1:19" ht="14.5" hidden="1" customHeight="1">
      <c r="A53">
        <v>50</v>
      </c>
      <c r="B53" s="37">
        <f t="shared" si="7"/>
        <v>1</v>
      </c>
      <c r="C53" s="38">
        <f t="shared" si="1"/>
        <v>1</v>
      </c>
      <c r="D53" s="33"/>
      <c r="E53" s="33"/>
      <c r="F53" s="39">
        <f t="shared" si="2"/>
        <v>1</v>
      </c>
      <c r="G53" s="36">
        <f t="shared" si="3"/>
        <v>1</v>
      </c>
      <c r="H53" s="36">
        <f t="shared" si="4"/>
        <v>0</v>
      </c>
      <c r="I53" s="36"/>
      <c r="J53" s="36">
        <f t="shared" si="5"/>
        <v>0</v>
      </c>
      <c r="K53" s="36">
        <f t="shared" si="9"/>
        <v>0</v>
      </c>
      <c r="L53" s="36">
        <f t="shared" si="10"/>
        <v>1</v>
      </c>
      <c r="M53" s="33"/>
      <c r="N53" s="40">
        <f t="shared" si="8"/>
        <v>0</v>
      </c>
      <c r="O53" s="32">
        <f t="shared" si="11"/>
        <v>0</v>
      </c>
      <c r="P53" s="32">
        <f t="shared" si="12"/>
        <v>1</v>
      </c>
      <c r="Q53" s="33"/>
      <c r="R53" s="33"/>
      <c r="S53" s="33"/>
    </row>
    <row r="54" spans="1:19" ht="14.5" hidden="1" customHeight="1">
      <c r="A54">
        <v>51</v>
      </c>
      <c r="B54" s="37">
        <f t="shared" si="7"/>
        <v>1</v>
      </c>
      <c r="C54" s="38">
        <f t="shared" si="1"/>
        <v>1</v>
      </c>
      <c r="D54" s="33"/>
      <c r="E54" s="33"/>
      <c r="F54" s="39">
        <f t="shared" si="2"/>
        <v>1</v>
      </c>
      <c r="G54" s="36">
        <f t="shared" si="3"/>
        <v>1</v>
      </c>
      <c r="H54" s="36">
        <f t="shared" si="4"/>
        <v>0</v>
      </c>
      <c r="I54" s="36"/>
      <c r="J54" s="36">
        <f t="shared" si="5"/>
        <v>0</v>
      </c>
      <c r="K54" s="36">
        <f t="shared" si="9"/>
        <v>0</v>
      </c>
      <c r="L54" s="36">
        <f t="shared" si="10"/>
        <v>1</v>
      </c>
      <c r="M54" s="33"/>
      <c r="N54" s="40">
        <f t="shared" si="8"/>
        <v>0</v>
      </c>
      <c r="O54" s="32">
        <f t="shared" si="11"/>
        <v>0</v>
      </c>
      <c r="P54" s="32">
        <f t="shared" si="12"/>
        <v>1</v>
      </c>
      <c r="Q54" s="33"/>
      <c r="R54" s="33"/>
      <c r="S54" s="33"/>
    </row>
    <row r="55" spans="1:19" ht="14.5" hidden="1" customHeight="1">
      <c r="A55">
        <v>52</v>
      </c>
      <c r="B55" s="37">
        <f t="shared" si="7"/>
        <v>1</v>
      </c>
      <c r="C55" s="38">
        <f t="shared" si="1"/>
        <v>1</v>
      </c>
      <c r="D55" s="33"/>
      <c r="E55" s="33"/>
      <c r="F55" s="39">
        <f t="shared" si="2"/>
        <v>1</v>
      </c>
      <c r="G55" s="36">
        <f t="shared" si="3"/>
        <v>1</v>
      </c>
      <c r="H55" s="36">
        <f t="shared" si="4"/>
        <v>0</v>
      </c>
      <c r="I55" s="36"/>
      <c r="J55" s="36">
        <f t="shared" si="5"/>
        <v>0</v>
      </c>
      <c r="K55" s="36">
        <f t="shared" si="9"/>
        <v>0</v>
      </c>
      <c r="L55" s="36">
        <f t="shared" si="10"/>
        <v>1</v>
      </c>
      <c r="M55" s="33"/>
      <c r="N55" s="40">
        <f t="shared" si="8"/>
        <v>0</v>
      </c>
      <c r="O55" s="32">
        <f t="shared" si="11"/>
        <v>0</v>
      </c>
      <c r="P55" s="32">
        <f t="shared" si="12"/>
        <v>1</v>
      </c>
      <c r="Q55" s="33"/>
      <c r="R55" s="33"/>
      <c r="S55" s="33"/>
    </row>
    <row r="56" spans="1:19" ht="14.5" hidden="1" customHeight="1">
      <c r="A56">
        <v>53</v>
      </c>
      <c r="B56" s="37">
        <f t="shared" si="7"/>
        <v>1</v>
      </c>
      <c r="C56" s="38">
        <f t="shared" si="1"/>
        <v>1</v>
      </c>
      <c r="D56" s="33"/>
      <c r="E56" s="33"/>
      <c r="F56" s="39">
        <f t="shared" si="2"/>
        <v>1</v>
      </c>
      <c r="G56" s="36">
        <f t="shared" si="3"/>
        <v>1</v>
      </c>
      <c r="H56" s="36">
        <f t="shared" si="4"/>
        <v>0</v>
      </c>
      <c r="I56" s="36"/>
      <c r="J56" s="36">
        <f t="shared" si="5"/>
        <v>0</v>
      </c>
      <c r="K56" s="36">
        <f t="shared" si="9"/>
        <v>0</v>
      </c>
      <c r="L56" s="36">
        <f t="shared" si="10"/>
        <v>1</v>
      </c>
      <c r="M56" s="33"/>
      <c r="N56" s="40">
        <f t="shared" si="8"/>
        <v>0</v>
      </c>
      <c r="O56" s="32">
        <f t="shared" si="11"/>
        <v>0</v>
      </c>
      <c r="P56" s="32">
        <f t="shared" si="12"/>
        <v>1</v>
      </c>
      <c r="Q56" s="33"/>
      <c r="R56" s="33"/>
      <c r="S56" s="33"/>
    </row>
    <row r="57" spans="1:19" ht="14.5" hidden="1" customHeight="1">
      <c r="A57">
        <v>54</v>
      </c>
      <c r="B57" s="37">
        <f t="shared" si="7"/>
        <v>1</v>
      </c>
      <c r="C57" s="38">
        <f t="shared" si="1"/>
        <v>1</v>
      </c>
      <c r="D57" s="33"/>
      <c r="E57" s="33"/>
      <c r="F57" s="39">
        <f t="shared" si="2"/>
        <v>1</v>
      </c>
      <c r="G57" s="36">
        <f t="shared" si="3"/>
        <v>1</v>
      </c>
      <c r="H57" s="36">
        <f t="shared" si="4"/>
        <v>0</v>
      </c>
      <c r="I57" s="36"/>
      <c r="J57" s="36">
        <f t="shared" si="5"/>
        <v>0</v>
      </c>
      <c r="K57" s="36">
        <f t="shared" si="9"/>
        <v>0</v>
      </c>
      <c r="L57" s="36">
        <f t="shared" si="10"/>
        <v>1</v>
      </c>
      <c r="M57" s="33"/>
      <c r="N57" s="40">
        <f t="shared" si="8"/>
        <v>0</v>
      </c>
      <c r="O57" s="32">
        <f t="shared" si="11"/>
        <v>0</v>
      </c>
      <c r="P57" s="32">
        <f t="shared" si="12"/>
        <v>1</v>
      </c>
      <c r="Q57" s="33"/>
      <c r="R57" s="33"/>
      <c r="S57" s="33"/>
    </row>
    <row r="58" spans="1:19" ht="14.5" hidden="1" customHeight="1">
      <c r="A58">
        <v>55</v>
      </c>
      <c r="B58" s="37">
        <f t="shared" si="7"/>
        <v>1</v>
      </c>
      <c r="C58" s="38">
        <f t="shared" si="1"/>
        <v>1</v>
      </c>
      <c r="D58" s="33"/>
      <c r="E58" s="33"/>
      <c r="F58" s="39">
        <f t="shared" si="2"/>
        <v>1</v>
      </c>
      <c r="G58" s="36">
        <f t="shared" si="3"/>
        <v>1</v>
      </c>
      <c r="H58" s="36">
        <f t="shared" si="4"/>
        <v>0</v>
      </c>
      <c r="I58" s="36"/>
      <c r="J58" s="36">
        <f t="shared" si="5"/>
        <v>0</v>
      </c>
      <c r="K58" s="36">
        <f t="shared" si="9"/>
        <v>0</v>
      </c>
      <c r="L58" s="36">
        <f t="shared" si="10"/>
        <v>1</v>
      </c>
      <c r="M58" s="33"/>
      <c r="N58" s="40">
        <f t="shared" si="8"/>
        <v>0</v>
      </c>
      <c r="O58" s="32">
        <f t="shared" si="11"/>
        <v>0</v>
      </c>
      <c r="P58" s="32">
        <f t="shared" si="12"/>
        <v>1</v>
      </c>
      <c r="Q58" s="33"/>
      <c r="R58" s="33"/>
      <c r="S58" s="33"/>
    </row>
    <row r="59" spans="1:19" ht="14.5" hidden="1" customHeight="1">
      <c r="A59">
        <v>56</v>
      </c>
      <c r="B59" s="37">
        <f t="shared" si="7"/>
        <v>1</v>
      </c>
      <c r="C59" s="38">
        <f t="shared" si="1"/>
        <v>1</v>
      </c>
      <c r="D59" s="33"/>
      <c r="E59" s="33"/>
      <c r="F59" s="39">
        <f t="shared" si="2"/>
        <v>1</v>
      </c>
      <c r="G59" s="36">
        <f t="shared" si="3"/>
        <v>1</v>
      </c>
      <c r="H59" s="36">
        <f t="shared" si="4"/>
        <v>0</v>
      </c>
      <c r="I59" s="36"/>
      <c r="J59" s="36">
        <f t="shared" si="5"/>
        <v>0</v>
      </c>
      <c r="K59" s="36">
        <f t="shared" si="9"/>
        <v>0</v>
      </c>
      <c r="L59" s="36">
        <f t="shared" si="10"/>
        <v>1</v>
      </c>
      <c r="M59" s="33"/>
      <c r="N59" s="40">
        <f t="shared" si="8"/>
        <v>0</v>
      </c>
      <c r="O59" s="32">
        <f t="shared" si="11"/>
        <v>0</v>
      </c>
      <c r="P59" s="32">
        <f t="shared" si="12"/>
        <v>1</v>
      </c>
      <c r="Q59" s="33"/>
      <c r="R59" s="33"/>
      <c r="S59" s="33"/>
    </row>
    <row r="60" spans="1:19" ht="14.5" hidden="1" customHeight="1">
      <c r="A60">
        <v>57</v>
      </c>
      <c r="B60" s="37">
        <f t="shared" si="7"/>
        <v>1</v>
      </c>
      <c r="C60" s="38">
        <f t="shared" si="1"/>
        <v>1</v>
      </c>
      <c r="D60" s="33"/>
      <c r="E60" s="33"/>
      <c r="F60" s="39">
        <f t="shared" si="2"/>
        <v>1</v>
      </c>
      <c r="G60" s="36">
        <f t="shared" si="3"/>
        <v>1</v>
      </c>
      <c r="H60" s="36">
        <f t="shared" si="4"/>
        <v>0</v>
      </c>
      <c r="I60" s="36"/>
      <c r="J60" s="36">
        <f t="shared" si="5"/>
        <v>0</v>
      </c>
      <c r="K60" s="36">
        <f t="shared" si="9"/>
        <v>0</v>
      </c>
      <c r="L60" s="36">
        <f t="shared" si="10"/>
        <v>1</v>
      </c>
      <c r="M60" s="33"/>
      <c r="N60" s="40">
        <f t="shared" si="8"/>
        <v>0</v>
      </c>
      <c r="O60" s="32">
        <f t="shared" si="11"/>
        <v>0</v>
      </c>
      <c r="P60" s="32">
        <f t="shared" si="12"/>
        <v>1</v>
      </c>
      <c r="Q60" s="33"/>
      <c r="R60" s="33"/>
      <c r="S60" s="33"/>
    </row>
    <row r="61" spans="1:19" ht="14.5" hidden="1" customHeight="1">
      <c r="A61">
        <v>58</v>
      </c>
      <c r="B61" s="37">
        <f t="shared" si="7"/>
        <v>1</v>
      </c>
      <c r="C61" s="38">
        <f t="shared" si="1"/>
        <v>1</v>
      </c>
      <c r="D61" s="33"/>
      <c r="E61" s="33"/>
      <c r="F61" s="39">
        <f t="shared" si="2"/>
        <v>1</v>
      </c>
      <c r="G61" s="36">
        <f t="shared" si="3"/>
        <v>1</v>
      </c>
      <c r="H61" s="36">
        <f t="shared" si="4"/>
        <v>0</v>
      </c>
      <c r="I61" s="36"/>
      <c r="J61" s="36">
        <f t="shared" si="5"/>
        <v>0</v>
      </c>
      <c r="K61" s="36">
        <f t="shared" si="9"/>
        <v>0</v>
      </c>
      <c r="L61" s="36">
        <f t="shared" si="10"/>
        <v>1</v>
      </c>
      <c r="M61" s="33"/>
      <c r="N61" s="40">
        <f t="shared" si="8"/>
        <v>0</v>
      </c>
      <c r="O61" s="32">
        <f t="shared" si="11"/>
        <v>0</v>
      </c>
      <c r="P61" s="32">
        <f t="shared" si="12"/>
        <v>1</v>
      </c>
      <c r="Q61" s="33"/>
      <c r="R61" s="33"/>
      <c r="S61" s="33"/>
    </row>
    <row r="62" spans="1:19" ht="14.5" hidden="1" customHeight="1">
      <c r="A62">
        <v>59</v>
      </c>
      <c r="B62" s="37">
        <f t="shared" si="7"/>
        <v>1</v>
      </c>
      <c r="C62" s="38">
        <f t="shared" si="1"/>
        <v>1</v>
      </c>
      <c r="D62" s="33"/>
      <c r="E62" s="33"/>
      <c r="F62" s="39">
        <f t="shared" si="2"/>
        <v>1</v>
      </c>
      <c r="G62" s="36">
        <f t="shared" si="3"/>
        <v>1</v>
      </c>
      <c r="H62" s="36">
        <f t="shared" si="4"/>
        <v>0</v>
      </c>
      <c r="I62" s="36"/>
      <c r="J62" s="36">
        <f t="shared" si="5"/>
        <v>0</v>
      </c>
      <c r="K62" s="36">
        <f t="shared" si="9"/>
        <v>0</v>
      </c>
      <c r="L62" s="36">
        <f t="shared" si="10"/>
        <v>1</v>
      </c>
      <c r="M62" s="33"/>
      <c r="N62" s="40">
        <f t="shared" si="8"/>
        <v>0</v>
      </c>
      <c r="O62" s="32">
        <f t="shared" si="11"/>
        <v>0</v>
      </c>
      <c r="P62" s="32">
        <f t="shared" si="12"/>
        <v>1</v>
      </c>
      <c r="Q62" s="33"/>
      <c r="R62" s="33"/>
      <c r="S62" s="33"/>
    </row>
    <row r="63" spans="1:19" ht="14.5" hidden="1" customHeight="1">
      <c r="A63">
        <v>60</v>
      </c>
      <c r="B63" s="37">
        <f t="shared" si="7"/>
        <v>1</v>
      </c>
      <c r="C63" s="38">
        <f t="shared" si="1"/>
        <v>1</v>
      </c>
      <c r="D63" s="33"/>
      <c r="E63" s="33"/>
      <c r="F63" s="39">
        <f t="shared" si="2"/>
        <v>1</v>
      </c>
      <c r="G63" s="36">
        <f t="shared" si="3"/>
        <v>1</v>
      </c>
      <c r="H63" s="36">
        <f t="shared" si="4"/>
        <v>0</v>
      </c>
      <c r="I63" s="36"/>
      <c r="J63" s="36">
        <f t="shared" si="5"/>
        <v>0</v>
      </c>
      <c r="K63" s="36">
        <f t="shared" si="9"/>
        <v>0</v>
      </c>
      <c r="L63" s="36">
        <f t="shared" si="10"/>
        <v>1</v>
      </c>
      <c r="M63" s="33"/>
      <c r="N63" s="40">
        <f t="shared" si="8"/>
        <v>0</v>
      </c>
      <c r="O63" s="32">
        <f t="shared" si="11"/>
        <v>0</v>
      </c>
      <c r="P63" s="32">
        <f t="shared" si="12"/>
        <v>1</v>
      </c>
      <c r="Q63" s="33"/>
      <c r="R63" s="33"/>
      <c r="S63" s="33"/>
    </row>
    <row r="64" spans="1:19" ht="14.5" hidden="1" customHeight="1">
      <c r="A64">
        <v>61</v>
      </c>
      <c r="B64" s="37">
        <f t="shared" si="7"/>
        <v>1</v>
      </c>
      <c r="C64" s="38">
        <f t="shared" si="1"/>
        <v>1</v>
      </c>
      <c r="D64" s="33"/>
      <c r="E64" s="33"/>
      <c r="F64" s="39">
        <f t="shared" si="2"/>
        <v>1</v>
      </c>
      <c r="G64" s="36">
        <f t="shared" si="3"/>
        <v>1</v>
      </c>
      <c r="H64" s="36">
        <f t="shared" si="4"/>
        <v>0</v>
      </c>
      <c r="I64" s="36"/>
      <c r="J64" s="36">
        <f t="shared" si="5"/>
        <v>0</v>
      </c>
      <c r="K64" s="36">
        <f t="shared" si="9"/>
        <v>0</v>
      </c>
      <c r="L64" s="36">
        <f t="shared" si="10"/>
        <v>1</v>
      </c>
      <c r="M64" s="33"/>
      <c r="N64" s="40">
        <f t="shared" si="8"/>
        <v>0</v>
      </c>
      <c r="O64" s="32">
        <f t="shared" si="11"/>
        <v>0</v>
      </c>
      <c r="P64" s="32">
        <f t="shared" si="12"/>
        <v>1</v>
      </c>
      <c r="Q64" s="33"/>
      <c r="R64" s="33"/>
      <c r="S64" s="33"/>
    </row>
    <row r="65" spans="1:19" ht="14.5" hidden="1" customHeight="1">
      <c r="A65">
        <v>62</v>
      </c>
      <c r="B65" s="37">
        <f t="shared" si="7"/>
        <v>1</v>
      </c>
      <c r="C65" s="38">
        <f t="shared" si="1"/>
        <v>1</v>
      </c>
      <c r="D65" s="33"/>
      <c r="E65" s="33"/>
      <c r="F65" s="39">
        <f t="shared" si="2"/>
        <v>1</v>
      </c>
      <c r="G65" s="36">
        <f t="shared" si="3"/>
        <v>1</v>
      </c>
      <c r="H65" s="36">
        <f t="shared" si="4"/>
        <v>0</v>
      </c>
      <c r="I65" s="36"/>
      <c r="J65" s="36">
        <f t="shared" si="5"/>
        <v>0</v>
      </c>
      <c r="K65" s="36">
        <f t="shared" si="9"/>
        <v>0</v>
      </c>
      <c r="L65" s="36">
        <f t="shared" si="10"/>
        <v>1</v>
      </c>
      <c r="M65" s="33"/>
      <c r="N65" s="40">
        <f t="shared" si="8"/>
        <v>0</v>
      </c>
      <c r="O65" s="32">
        <f t="shared" si="11"/>
        <v>0</v>
      </c>
      <c r="P65" s="32">
        <f t="shared" si="12"/>
        <v>1</v>
      </c>
      <c r="Q65" s="33"/>
      <c r="R65" s="33"/>
      <c r="S65" s="33"/>
    </row>
    <row r="66" spans="1:19" ht="14.5" hidden="1" customHeight="1">
      <c r="A66">
        <v>63</v>
      </c>
      <c r="B66" s="37">
        <f t="shared" si="7"/>
        <v>1</v>
      </c>
      <c r="C66" s="38">
        <f t="shared" si="1"/>
        <v>1</v>
      </c>
      <c r="D66" s="33"/>
      <c r="E66" s="33"/>
      <c r="F66" s="39">
        <f t="shared" si="2"/>
        <v>1</v>
      </c>
      <c r="G66" s="36">
        <f t="shared" si="3"/>
        <v>1</v>
      </c>
      <c r="H66" s="36">
        <f t="shared" si="4"/>
        <v>0</v>
      </c>
      <c r="I66" s="36"/>
      <c r="J66" s="36">
        <f t="shared" si="5"/>
        <v>0</v>
      </c>
      <c r="K66" s="36">
        <f t="shared" si="9"/>
        <v>0</v>
      </c>
      <c r="L66" s="36">
        <f t="shared" si="10"/>
        <v>1</v>
      </c>
      <c r="M66" s="33"/>
      <c r="N66" s="40">
        <f t="shared" si="8"/>
        <v>0</v>
      </c>
      <c r="O66" s="32">
        <f t="shared" si="11"/>
        <v>0</v>
      </c>
      <c r="P66" s="32">
        <f t="shared" si="12"/>
        <v>1</v>
      </c>
      <c r="Q66" s="33"/>
      <c r="R66" s="33"/>
      <c r="S66" s="33"/>
    </row>
    <row r="67" spans="1:19" ht="14.5" hidden="1" customHeight="1">
      <c r="A67">
        <v>64</v>
      </c>
      <c r="B67" s="37">
        <f t="shared" si="7"/>
        <v>1</v>
      </c>
      <c r="C67" s="38">
        <f t="shared" si="1"/>
        <v>1</v>
      </c>
      <c r="D67" s="33"/>
      <c r="E67" s="33"/>
      <c r="F67" s="39">
        <f t="shared" si="2"/>
        <v>1</v>
      </c>
      <c r="G67" s="36">
        <f t="shared" si="3"/>
        <v>1</v>
      </c>
      <c r="H67" s="36">
        <f t="shared" si="4"/>
        <v>0</v>
      </c>
      <c r="I67" s="36"/>
      <c r="J67" s="36">
        <f t="shared" si="5"/>
        <v>0</v>
      </c>
      <c r="K67" s="36">
        <f t="shared" si="9"/>
        <v>0</v>
      </c>
      <c r="L67" s="36">
        <f t="shared" si="10"/>
        <v>1</v>
      </c>
      <c r="M67" s="33"/>
      <c r="N67" s="40">
        <f t="shared" si="8"/>
        <v>0</v>
      </c>
      <c r="O67" s="32">
        <f t="shared" si="11"/>
        <v>0</v>
      </c>
      <c r="P67" s="32">
        <f t="shared" si="12"/>
        <v>1</v>
      </c>
      <c r="Q67" s="33"/>
      <c r="R67" s="33"/>
      <c r="S67" s="33"/>
    </row>
    <row r="68" spans="1:19" ht="14.5" hidden="1" customHeight="1">
      <c r="A68">
        <v>65</v>
      </c>
      <c r="B68" s="37">
        <f t="shared" si="7"/>
        <v>1</v>
      </c>
      <c r="C68" s="38">
        <f t="shared" ref="C68:C131" si="13">IF((EXP(A68)/1000)&gt;1,1,EXP(A68)/1000)</f>
        <v>1</v>
      </c>
      <c r="D68" s="33"/>
      <c r="E68" s="33"/>
      <c r="F68" s="39">
        <f t="shared" ref="F68:F131" si="14">1-(1-B68)^(1/12)</f>
        <v>1</v>
      </c>
      <c r="G68" s="36">
        <f t="shared" ref="G68:G131" si="15">1-(1-C68)^(1/12)</f>
        <v>1</v>
      </c>
      <c r="H68" s="36">
        <f t="shared" ref="H68:H131" si="16">1-(1-D68)^(1/12)</f>
        <v>0</v>
      </c>
      <c r="I68" s="36"/>
      <c r="J68" s="36">
        <f t="shared" ref="J68:J131" si="17">1-F68</f>
        <v>0</v>
      </c>
      <c r="K68" s="36">
        <f t="shared" si="9"/>
        <v>0</v>
      </c>
      <c r="L68" s="36">
        <f t="shared" si="10"/>
        <v>1</v>
      </c>
      <c r="M68" s="33"/>
      <c r="N68" s="40">
        <f t="shared" si="8"/>
        <v>0</v>
      </c>
      <c r="O68" s="32">
        <f t="shared" si="11"/>
        <v>0</v>
      </c>
      <c r="P68" s="32">
        <f t="shared" si="12"/>
        <v>1</v>
      </c>
      <c r="Q68" s="33"/>
      <c r="R68" s="33"/>
      <c r="S68" s="33"/>
    </row>
    <row r="69" spans="1:19" ht="14.5" hidden="1" customHeight="1">
      <c r="A69">
        <v>66</v>
      </c>
      <c r="B69" s="37">
        <f t="shared" ref="B69:B132" si="18">1/(1+EXP(-A69))</f>
        <v>1</v>
      </c>
      <c r="C69" s="38">
        <f t="shared" si="13"/>
        <v>1</v>
      </c>
      <c r="D69" s="33"/>
      <c r="E69" s="33"/>
      <c r="F69" s="39">
        <f t="shared" si="14"/>
        <v>1</v>
      </c>
      <c r="G69" s="36">
        <f t="shared" si="15"/>
        <v>1</v>
      </c>
      <c r="H69" s="36">
        <f t="shared" si="16"/>
        <v>0</v>
      </c>
      <c r="I69" s="36"/>
      <c r="J69" s="36">
        <f t="shared" si="17"/>
        <v>0</v>
      </c>
      <c r="K69" s="36">
        <f t="shared" si="9"/>
        <v>0</v>
      </c>
      <c r="L69" s="36">
        <f t="shared" si="10"/>
        <v>1</v>
      </c>
      <c r="M69" s="33"/>
      <c r="N69" s="40">
        <f t="shared" ref="N69:N132" si="19">J69*J68</f>
        <v>0</v>
      </c>
      <c r="O69" s="32">
        <f t="shared" si="11"/>
        <v>0</v>
      </c>
      <c r="P69" s="32">
        <f t="shared" si="12"/>
        <v>1</v>
      </c>
      <c r="Q69" s="33"/>
      <c r="R69" s="33"/>
      <c r="S69" s="33"/>
    </row>
    <row r="70" spans="1:19" ht="14.5" hidden="1" customHeight="1">
      <c r="A70">
        <v>67</v>
      </c>
      <c r="B70" s="37">
        <f t="shared" si="18"/>
        <v>1</v>
      </c>
      <c r="C70" s="38">
        <f t="shared" si="13"/>
        <v>1</v>
      </c>
      <c r="D70" s="33"/>
      <c r="E70" s="33"/>
      <c r="F70" s="39">
        <f t="shared" si="14"/>
        <v>1</v>
      </c>
      <c r="G70" s="36">
        <f t="shared" si="15"/>
        <v>1</v>
      </c>
      <c r="H70" s="36">
        <f t="shared" si="16"/>
        <v>0</v>
      </c>
      <c r="I70" s="36"/>
      <c r="J70" s="36">
        <f t="shared" si="17"/>
        <v>0</v>
      </c>
      <c r="K70" s="36">
        <f t="shared" si="9"/>
        <v>0</v>
      </c>
      <c r="L70" s="36">
        <f t="shared" si="10"/>
        <v>1</v>
      </c>
      <c r="M70" s="33"/>
      <c r="N70" s="40">
        <f t="shared" si="19"/>
        <v>0</v>
      </c>
      <c r="O70" s="32">
        <f t="shared" si="11"/>
        <v>0</v>
      </c>
      <c r="P70" s="32">
        <f t="shared" si="12"/>
        <v>1</v>
      </c>
      <c r="Q70" s="33"/>
      <c r="R70" s="33"/>
      <c r="S70" s="33"/>
    </row>
    <row r="71" spans="1:19" ht="14.5" hidden="1" customHeight="1">
      <c r="A71">
        <v>68</v>
      </c>
      <c r="B71" s="37">
        <f t="shared" si="18"/>
        <v>1</v>
      </c>
      <c r="C71" s="38">
        <f t="shared" si="13"/>
        <v>1</v>
      </c>
      <c r="D71" s="33"/>
      <c r="E71" s="33"/>
      <c r="F71" s="39">
        <f t="shared" si="14"/>
        <v>1</v>
      </c>
      <c r="G71" s="36">
        <f t="shared" si="15"/>
        <v>1</v>
      </c>
      <c r="H71" s="36">
        <f t="shared" si="16"/>
        <v>0</v>
      </c>
      <c r="I71" s="36"/>
      <c r="J71" s="36">
        <f t="shared" si="17"/>
        <v>0</v>
      </c>
      <c r="K71" s="36">
        <f t="shared" si="9"/>
        <v>0</v>
      </c>
      <c r="L71" s="36">
        <f t="shared" si="10"/>
        <v>1</v>
      </c>
      <c r="M71" s="33"/>
      <c r="N71" s="40">
        <f t="shared" si="19"/>
        <v>0</v>
      </c>
      <c r="O71" s="32">
        <f t="shared" si="11"/>
        <v>0</v>
      </c>
      <c r="P71" s="32">
        <f t="shared" si="12"/>
        <v>1</v>
      </c>
      <c r="Q71" s="33"/>
      <c r="R71" s="33"/>
      <c r="S71" s="33"/>
    </row>
    <row r="72" spans="1:19" ht="14.5" hidden="1" customHeight="1">
      <c r="A72">
        <v>69</v>
      </c>
      <c r="B72" s="37">
        <f t="shared" si="18"/>
        <v>1</v>
      </c>
      <c r="C72" s="38">
        <f t="shared" si="13"/>
        <v>1</v>
      </c>
      <c r="D72" s="33"/>
      <c r="E72" s="33"/>
      <c r="F72" s="39">
        <f t="shared" si="14"/>
        <v>1</v>
      </c>
      <c r="G72" s="36">
        <f t="shared" si="15"/>
        <v>1</v>
      </c>
      <c r="H72" s="36">
        <f t="shared" si="16"/>
        <v>0</v>
      </c>
      <c r="I72" s="36"/>
      <c r="J72" s="36">
        <f t="shared" si="17"/>
        <v>0</v>
      </c>
      <c r="K72" s="36">
        <f t="shared" si="9"/>
        <v>0</v>
      </c>
      <c r="L72" s="36">
        <f t="shared" si="10"/>
        <v>1</v>
      </c>
      <c r="M72" s="33"/>
      <c r="N72" s="40">
        <f t="shared" si="19"/>
        <v>0</v>
      </c>
      <c r="O72" s="32">
        <f t="shared" si="11"/>
        <v>0</v>
      </c>
      <c r="P72" s="32">
        <f t="shared" si="12"/>
        <v>1</v>
      </c>
      <c r="Q72" s="33"/>
      <c r="R72" s="33"/>
      <c r="S72" s="33"/>
    </row>
    <row r="73" spans="1:19" ht="14.5" hidden="1" customHeight="1">
      <c r="A73">
        <v>70</v>
      </c>
      <c r="B73" s="37">
        <f t="shared" si="18"/>
        <v>1</v>
      </c>
      <c r="C73" s="38">
        <f t="shared" si="13"/>
        <v>1</v>
      </c>
      <c r="D73" s="33"/>
      <c r="E73" s="33"/>
      <c r="F73" s="39">
        <f t="shared" si="14"/>
        <v>1</v>
      </c>
      <c r="G73" s="36">
        <f t="shared" si="15"/>
        <v>1</v>
      </c>
      <c r="H73" s="36">
        <f t="shared" si="16"/>
        <v>0</v>
      </c>
      <c r="I73" s="36"/>
      <c r="J73" s="36">
        <f t="shared" si="17"/>
        <v>0</v>
      </c>
      <c r="K73" s="36">
        <f t="shared" si="9"/>
        <v>0</v>
      </c>
      <c r="L73" s="36">
        <f t="shared" si="10"/>
        <v>1</v>
      </c>
      <c r="M73" s="33"/>
      <c r="N73" s="40">
        <f t="shared" si="19"/>
        <v>0</v>
      </c>
      <c r="O73" s="32">
        <f t="shared" si="11"/>
        <v>0</v>
      </c>
      <c r="P73" s="32">
        <f t="shared" si="12"/>
        <v>1</v>
      </c>
      <c r="Q73" s="33"/>
      <c r="R73" s="33"/>
      <c r="S73" s="33"/>
    </row>
    <row r="74" spans="1:19" ht="14.5" hidden="1" customHeight="1">
      <c r="A74">
        <v>71</v>
      </c>
      <c r="B74" s="37">
        <f t="shared" si="18"/>
        <v>1</v>
      </c>
      <c r="C74" s="38">
        <f t="shared" si="13"/>
        <v>1</v>
      </c>
      <c r="D74" s="33"/>
      <c r="E74" s="33"/>
      <c r="F74" s="39">
        <f t="shared" si="14"/>
        <v>1</v>
      </c>
      <c r="G74" s="36">
        <f t="shared" si="15"/>
        <v>1</v>
      </c>
      <c r="H74" s="36">
        <f t="shared" si="16"/>
        <v>0</v>
      </c>
      <c r="I74" s="36"/>
      <c r="J74" s="36">
        <f t="shared" si="17"/>
        <v>0</v>
      </c>
      <c r="K74" s="36">
        <f t="shared" si="9"/>
        <v>0</v>
      </c>
      <c r="L74" s="36">
        <f t="shared" si="10"/>
        <v>1</v>
      </c>
      <c r="M74" s="33"/>
      <c r="N74" s="40">
        <f t="shared" si="19"/>
        <v>0</v>
      </c>
      <c r="O74" s="32">
        <f t="shared" si="11"/>
        <v>0</v>
      </c>
      <c r="P74" s="32">
        <f t="shared" si="12"/>
        <v>1</v>
      </c>
      <c r="Q74" s="33"/>
      <c r="R74" s="33"/>
      <c r="S74" s="33"/>
    </row>
    <row r="75" spans="1:19" ht="14.5" hidden="1" customHeight="1">
      <c r="A75">
        <v>72</v>
      </c>
      <c r="B75" s="37">
        <f t="shared" si="18"/>
        <v>1</v>
      </c>
      <c r="C75" s="38">
        <f t="shared" si="13"/>
        <v>1</v>
      </c>
      <c r="D75" s="33"/>
      <c r="E75" s="33"/>
      <c r="F75" s="39">
        <f t="shared" si="14"/>
        <v>1</v>
      </c>
      <c r="G75" s="36">
        <f t="shared" si="15"/>
        <v>1</v>
      </c>
      <c r="H75" s="36">
        <f t="shared" si="16"/>
        <v>0</v>
      </c>
      <c r="I75" s="36"/>
      <c r="J75" s="36">
        <f t="shared" si="17"/>
        <v>0</v>
      </c>
      <c r="K75" s="36">
        <f t="shared" si="9"/>
        <v>0</v>
      </c>
      <c r="L75" s="36">
        <f t="shared" si="10"/>
        <v>1</v>
      </c>
      <c r="M75" s="33"/>
      <c r="N75" s="40">
        <f t="shared" si="19"/>
        <v>0</v>
      </c>
      <c r="O75" s="32">
        <f t="shared" si="11"/>
        <v>0</v>
      </c>
      <c r="P75" s="32">
        <f t="shared" si="12"/>
        <v>1</v>
      </c>
      <c r="Q75" s="33"/>
      <c r="R75" s="33"/>
      <c r="S75" s="33"/>
    </row>
    <row r="76" spans="1:19" ht="14.5" hidden="1" customHeight="1">
      <c r="A76">
        <v>73</v>
      </c>
      <c r="B76" s="37">
        <f t="shared" si="18"/>
        <v>1</v>
      </c>
      <c r="C76" s="38">
        <f t="shared" si="13"/>
        <v>1</v>
      </c>
      <c r="D76" s="33"/>
      <c r="E76" s="33"/>
      <c r="F76" s="39">
        <f t="shared" si="14"/>
        <v>1</v>
      </c>
      <c r="G76" s="36">
        <f t="shared" si="15"/>
        <v>1</v>
      </c>
      <c r="H76" s="36">
        <f t="shared" si="16"/>
        <v>0</v>
      </c>
      <c r="I76" s="36"/>
      <c r="J76" s="36">
        <f t="shared" si="17"/>
        <v>0</v>
      </c>
      <c r="K76" s="36">
        <f t="shared" si="9"/>
        <v>0</v>
      </c>
      <c r="L76" s="36">
        <f t="shared" si="10"/>
        <v>1</v>
      </c>
      <c r="M76" s="33"/>
      <c r="N76" s="40">
        <f t="shared" si="19"/>
        <v>0</v>
      </c>
      <c r="O76" s="32">
        <f t="shared" si="11"/>
        <v>0</v>
      </c>
      <c r="P76" s="32">
        <f t="shared" si="12"/>
        <v>1</v>
      </c>
      <c r="Q76" s="33"/>
      <c r="R76" s="33"/>
      <c r="S76" s="33"/>
    </row>
    <row r="77" spans="1:19" ht="14.5" hidden="1" customHeight="1">
      <c r="A77">
        <v>74</v>
      </c>
      <c r="B77" s="37">
        <f t="shared" si="18"/>
        <v>1</v>
      </c>
      <c r="C77" s="38">
        <f t="shared" si="13"/>
        <v>1</v>
      </c>
      <c r="D77" s="33"/>
      <c r="E77" s="33"/>
      <c r="F77" s="39">
        <f t="shared" si="14"/>
        <v>1</v>
      </c>
      <c r="G77" s="36">
        <f t="shared" si="15"/>
        <v>1</v>
      </c>
      <c r="H77" s="36">
        <f t="shared" si="16"/>
        <v>0</v>
      </c>
      <c r="I77" s="36"/>
      <c r="J77" s="36">
        <f t="shared" si="17"/>
        <v>0</v>
      </c>
      <c r="K77" s="36">
        <f t="shared" si="9"/>
        <v>0</v>
      </c>
      <c r="L77" s="36">
        <f t="shared" si="10"/>
        <v>1</v>
      </c>
      <c r="M77" s="33"/>
      <c r="N77" s="40">
        <f t="shared" si="19"/>
        <v>0</v>
      </c>
      <c r="O77" s="32">
        <f t="shared" si="11"/>
        <v>0</v>
      </c>
      <c r="P77" s="32">
        <f t="shared" si="12"/>
        <v>1</v>
      </c>
      <c r="Q77" s="33"/>
      <c r="R77" s="33"/>
      <c r="S77" s="33"/>
    </row>
    <row r="78" spans="1:19" ht="14.5" hidden="1" customHeight="1">
      <c r="A78">
        <v>75</v>
      </c>
      <c r="B78" s="37">
        <f t="shared" si="18"/>
        <v>1</v>
      </c>
      <c r="C78" s="38">
        <f t="shared" si="13"/>
        <v>1</v>
      </c>
      <c r="D78" s="33"/>
      <c r="E78" s="33"/>
      <c r="F78" s="39">
        <f t="shared" si="14"/>
        <v>1</v>
      </c>
      <c r="G78" s="36">
        <f t="shared" si="15"/>
        <v>1</v>
      </c>
      <c r="H78" s="36">
        <f t="shared" si="16"/>
        <v>0</v>
      </c>
      <c r="I78" s="36"/>
      <c r="J78" s="36">
        <f t="shared" si="17"/>
        <v>0</v>
      </c>
      <c r="K78" s="36">
        <f t="shared" si="9"/>
        <v>0</v>
      </c>
      <c r="L78" s="36">
        <f t="shared" si="10"/>
        <v>1</v>
      </c>
      <c r="M78" s="33"/>
      <c r="N78" s="40">
        <f t="shared" si="19"/>
        <v>0</v>
      </c>
      <c r="O78" s="32">
        <f t="shared" si="11"/>
        <v>0</v>
      </c>
      <c r="P78" s="32">
        <f t="shared" si="12"/>
        <v>1</v>
      </c>
      <c r="Q78" s="33"/>
      <c r="R78" s="33"/>
      <c r="S78" s="33"/>
    </row>
    <row r="79" spans="1:19" ht="14.5" hidden="1" customHeight="1">
      <c r="A79">
        <v>76</v>
      </c>
      <c r="B79" s="37">
        <f t="shared" si="18"/>
        <v>1</v>
      </c>
      <c r="C79" s="38">
        <f t="shared" si="13"/>
        <v>1</v>
      </c>
      <c r="D79" s="33"/>
      <c r="E79" s="33"/>
      <c r="F79" s="39">
        <f t="shared" si="14"/>
        <v>1</v>
      </c>
      <c r="G79" s="36">
        <f t="shared" si="15"/>
        <v>1</v>
      </c>
      <c r="H79" s="36">
        <f t="shared" si="16"/>
        <v>0</v>
      </c>
      <c r="I79" s="36"/>
      <c r="J79" s="36">
        <f t="shared" si="17"/>
        <v>0</v>
      </c>
      <c r="K79" s="36">
        <f t="shared" si="9"/>
        <v>0</v>
      </c>
      <c r="L79" s="36">
        <f t="shared" si="10"/>
        <v>1</v>
      </c>
      <c r="M79" s="33"/>
      <c r="N79" s="40">
        <f t="shared" si="19"/>
        <v>0</v>
      </c>
      <c r="O79" s="32">
        <f t="shared" si="11"/>
        <v>0</v>
      </c>
      <c r="P79" s="32">
        <f t="shared" si="12"/>
        <v>1</v>
      </c>
      <c r="Q79" s="33"/>
      <c r="R79" s="33"/>
      <c r="S79" s="33"/>
    </row>
    <row r="80" spans="1:19" ht="14.5" hidden="1" customHeight="1">
      <c r="A80">
        <v>77</v>
      </c>
      <c r="B80" s="37">
        <f t="shared" si="18"/>
        <v>1</v>
      </c>
      <c r="C80" s="38">
        <f t="shared" si="13"/>
        <v>1</v>
      </c>
      <c r="D80" s="33"/>
      <c r="E80" s="33"/>
      <c r="F80" s="39">
        <f t="shared" si="14"/>
        <v>1</v>
      </c>
      <c r="G80" s="36">
        <f t="shared" si="15"/>
        <v>1</v>
      </c>
      <c r="H80" s="36">
        <f t="shared" si="16"/>
        <v>0</v>
      </c>
      <c r="I80" s="36"/>
      <c r="J80" s="36">
        <f t="shared" si="17"/>
        <v>0</v>
      </c>
      <c r="K80" s="36">
        <f t="shared" si="9"/>
        <v>0</v>
      </c>
      <c r="L80" s="36">
        <f t="shared" si="10"/>
        <v>1</v>
      </c>
      <c r="M80" s="33"/>
      <c r="N80" s="40">
        <f t="shared" si="19"/>
        <v>0</v>
      </c>
      <c r="O80" s="32">
        <f t="shared" si="11"/>
        <v>0</v>
      </c>
      <c r="P80" s="32">
        <f t="shared" si="12"/>
        <v>1</v>
      </c>
      <c r="Q80" s="33"/>
      <c r="R80" s="33"/>
      <c r="S80" s="33"/>
    </row>
    <row r="81" spans="1:19" ht="14.5" hidden="1" customHeight="1">
      <c r="A81">
        <v>78</v>
      </c>
      <c r="B81" s="37">
        <f t="shared" si="18"/>
        <v>1</v>
      </c>
      <c r="C81" s="38">
        <f t="shared" si="13"/>
        <v>1</v>
      </c>
      <c r="D81" s="33"/>
      <c r="E81" s="33"/>
      <c r="F81" s="39">
        <f t="shared" si="14"/>
        <v>1</v>
      </c>
      <c r="G81" s="36">
        <f t="shared" si="15"/>
        <v>1</v>
      </c>
      <c r="H81" s="36">
        <f t="shared" si="16"/>
        <v>0</v>
      </c>
      <c r="I81" s="36"/>
      <c r="J81" s="36">
        <f t="shared" si="17"/>
        <v>0</v>
      </c>
      <c r="K81" s="36">
        <f t="shared" si="9"/>
        <v>0</v>
      </c>
      <c r="L81" s="36">
        <f t="shared" si="10"/>
        <v>1</v>
      </c>
      <c r="M81" s="33"/>
      <c r="N81" s="40">
        <f t="shared" si="19"/>
        <v>0</v>
      </c>
      <c r="O81" s="32">
        <f t="shared" si="11"/>
        <v>0</v>
      </c>
      <c r="P81" s="32">
        <f t="shared" si="12"/>
        <v>1</v>
      </c>
      <c r="Q81" s="33"/>
      <c r="R81" s="33"/>
      <c r="S81" s="33"/>
    </row>
    <row r="82" spans="1:19" ht="14.5" hidden="1" customHeight="1">
      <c r="A82">
        <v>79</v>
      </c>
      <c r="B82" s="37">
        <f t="shared" si="18"/>
        <v>1</v>
      </c>
      <c r="C82" s="38">
        <f t="shared" si="13"/>
        <v>1</v>
      </c>
      <c r="D82" s="33"/>
      <c r="E82" s="33"/>
      <c r="F82" s="39">
        <f t="shared" si="14"/>
        <v>1</v>
      </c>
      <c r="G82" s="36">
        <f t="shared" si="15"/>
        <v>1</v>
      </c>
      <c r="H82" s="36">
        <f t="shared" si="16"/>
        <v>0</v>
      </c>
      <c r="I82" s="36"/>
      <c r="J82" s="36">
        <f t="shared" si="17"/>
        <v>0</v>
      </c>
      <c r="K82" s="36">
        <f t="shared" si="9"/>
        <v>0</v>
      </c>
      <c r="L82" s="36">
        <f t="shared" si="10"/>
        <v>1</v>
      </c>
      <c r="M82" s="33"/>
      <c r="N82" s="40">
        <f t="shared" si="19"/>
        <v>0</v>
      </c>
      <c r="O82" s="32">
        <f t="shared" si="11"/>
        <v>0</v>
      </c>
      <c r="P82" s="32">
        <f t="shared" si="12"/>
        <v>1</v>
      </c>
      <c r="Q82" s="33"/>
      <c r="R82" s="33"/>
      <c r="S82" s="33"/>
    </row>
    <row r="83" spans="1:19" ht="14.5" hidden="1" customHeight="1">
      <c r="A83">
        <v>80</v>
      </c>
      <c r="B83" s="37">
        <f t="shared" si="18"/>
        <v>1</v>
      </c>
      <c r="C83" s="38">
        <f t="shared" si="13"/>
        <v>1</v>
      </c>
      <c r="D83" s="33"/>
      <c r="E83" s="33"/>
      <c r="F83" s="39">
        <f t="shared" si="14"/>
        <v>1</v>
      </c>
      <c r="G83" s="36">
        <f t="shared" si="15"/>
        <v>1</v>
      </c>
      <c r="H83" s="36">
        <f t="shared" si="16"/>
        <v>0</v>
      </c>
      <c r="I83" s="36"/>
      <c r="J83" s="36">
        <f t="shared" si="17"/>
        <v>0</v>
      </c>
      <c r="K83" s="36">
        <f t="shared" ref="K83:K146" si="20">1-G83</f>
        <v>0</v>
      </c>
      <c r="L83" s="36">
        <f t="shared" ref="L83:L146" si="21">1-H83</f>
        <v>1</v>
      </c>
      <c r="M83" s="33"/>
      <c r="N83" s="40">
        <f t="shared" si="19"/>
        <v>0</v>
      </c>
      <c r="O83" s="32">
        <f t="shared" si="11"/>
        <v>0</v>
      </c>
      <c r="P83" s="32">
        <f t="shared" si="12"/>
        <v>1</v>
      </c>
      <c r="Q83" s="33"/>
      <c r="R83" s="33"/>
      <c r="S83" s="33"/>
    </row>
    <row r="84" spans="1:19" ht="14.5" hidden="1" customHeight="1">
      <c r="A84">
        <v>81</v>
      </c>
      <c r="B84" s="37">
        <f t="shared" si="18"/>
        <v>1</v>
      </c>
      <c r="C84" s="38">
        <f t="shared" si="13"/>
        <v>1</v>
      </c>
      <c r="D84" s="33"/>
      <c r="E84" s="33"/>
      <c r="F84" s="39">
        <f t="shared" si="14"/>
        <v>1</v>
      </c>
      <c r="G84" s="36">
        <f t="shared" si="15"/>
        <v>1</v>
      </c>
      <c r="H84" s="36">
        <f t="shared" si="16"/>
        <v>0</v>
      </c>
      <c r="I84" s="36"/>
      <c r="J84" s="36">
        <f t="shared" si="17"/>
        <v>0</v>
      </c>
      <c r="K84" s="36">
        <f t="shared" si="20"/>
        <v>0</v>
      </c>
      <c r="L84" s="36">
        <f t="shared" si="21"/>
        <v>1</v>
      </c>
      <c r="M84" s="33"/>
      <c r="N84" s="40">
        <f t="shared" si="19"/>
        <v>0</v>
      </c>
      <c r="O84" s="32">
        <f t="shared" ref="O84:O147" si="22">K84*K83</f>
        <v>0</v>
      </c>
      <c r="P84" s="32">
        <f t="shared" ref="P84:P147" si="23">L84*L83</f>
        <v>1</v>
      </c>
      <c r="Q84" s="33"/>
      <c r="R84" s="33"/>
      <c r="S84" s="33"/>
    </row>
    <row r="85" spans="1:19" ht="14.5" hidden="1" customHeight="1">
      <c r="A85">
        <v>82</v>
      </c>
      <c r="B85" s="37">
        <f t="shared" si="18"/>
        <v>1</v>
      </c>
      <c r="C85" s="38">
        <f t="shared" si="13"/>
        <v>1</v>
      </c>
      <c r="D85" s="33"/>
      <c r="E85" s="33"/>
      <c r="F85" s="39">
        <f t="shared" si="14"/>
        <v>1</v>
      </c>
      <c r="G85" s="36">
        <f t="shared" si="15"/>
        <v>1</v>
      </c>
      <c r="H85" s="36">
        <f t="shared" si="16"/>
        <v>0</v>
      </c>
      <c r="I85" s="36"/>
      <c r="J85" s="36">
        <f t="shared" si="17"/>
        <v>0</v>
      </c>
      <c r="K85" s="36">
        <f t="shared" si="20"/>
        <v>0</v>
      </c>
      <c r="L85" s="36">
        <f t="shared" si="21"/>
        <v>1</v>
      </c>
      <c r="M85" s="33"/>
      <c r="N85" s="40">
        <f t="shared" si="19"/>
        <v>0</v>
      </c>
      <c r="O85" s="32">
        <f t="shared" si="22"/>
        <v>0</v>
      </c>
      <c r="P85" s="32">
        <f t="shared" si="23"/>
        <v>1</v>
      </c>
      <c r="Q85" s="33"/>
      <c r="R85" s="33"/>
      <c r="S85" s="33"/>
    </row>
    <row r="86" spans="1:19" ht="14.5" hidden="1" customHeight="1">
      <c r="A86">
        <v>83</v>
      </c>
      <c r="B86" s="37">
        <f t="shared" si="18"/>
        <v>1</v>
      </c>
      <c r="C86" s="38">
        <f t="shared" si="13"/>
        <v>1</v>
      </c>
      <c r="D86" s="33"/>
      <c r="E86" s="33"/>
      <c r="F86" s="39">
        <f t="shared" si="14"/>
        <v>1</v>
      </c>
      <c r="G86" s="36">
        <f t="shared" si="15"/>
        <v>1</v>
      </c>
      <c r="H86" s="36">
        <f t="shared" si="16"/>
        <v>0</v>
      </c>
      <c r="I86" s="36"/>
      <c r="J86" s="36">
        <f t="shared" si="17"/>
        <v>0</v>
      </c>
      <c r="K86" s="36">
        <f t="shared" si="20"/>
        <v>0</v>
      </c>
      <c r="L86" s="36">
        <f t="shared" si="21"/>
        <v>1</v>
      </c>
      <c r="M86" s="33"/>
      <c r="N86" s="40">
        <f t="shared" si="19"/>
        <v>0</v>
      </c>
      <c r="O86" s="32">
        <f t="shared" si="22"/>
        <v>0</v>
      </c>
      <c r="P86" s="32">
        <f t="shared" si="23"/>
        <v>1</v>
      </c>
      <c r="Q86" s="33"/>
      <c r="R86" s="33"/>
      <c r="S86" s="33"/>
    </row>
    <row r="87" spans="1:19" ht="14.5" hidden="1" customHeight="1">
      <c r="A87">
        <v>84</v>
      </c>
      <c r="B87" s="37">
        <f t="shared" si="18"/>
        <v>1</v>
      </c>
      <c r="C87" s="38">
        <f t="shared" si="13"/>
        <v>1</v>
      </c>
      <c r="D87" s="33"/>
      <c r="E87" s="33"/>
      <c r="F87" s="39">
        <f t="shared" si="14"/>
        <v>1</v>
      </c>
      <c r="G87" s="36">
        <f t="shared" si="15"/>
        <v>1</v>
      </c>
      <c r="H87" s="36">
        <f t="shared" si="16"/>
        <v>0</v>
      </c>
      <c r="I87" s="36"/>
      <c r="J87" s="36">
        <f t="shared" si="17"/>
        <v>0</v>
      </c>
      <c r="K87" s="36">
        <f t="shared" si="20"/>
        <v>0</v>
      </c>
      <c r="L87" s="36">
        <f t="shared" si="21"/>
        <v>1</v>
      </c>
      <c r="M87" s="33"/>
      <c r="N87" s="40">
        <f t="shared" si="19"/>
        <v>0</v>
      </c>
      <c r="O87" s="32">
        <f t="shared" si="22"/>
        <v>0</v>
      </c>
      <c r="P87" s="32">
        <f t="shared" si="23"/>
        <v>1</v>
      </c>
      <c r="Q87" s="33"/>
      <c r="R87" s="33"/>
      <c r="S87" s="33"/>
    </row>
    <row r="88" spans="1:19" ht="14.5" hidden="1" customHeight="1">
      <c r="A88">
        <v>85</v>
      </c>
      <c r="B88" s="37">
        <f t="shared" si="18"/>
        <v>1</v>
      </c>
      <c r="C88" s="38">
        <f t="shared" si="13"/>
        <v>1</v>
      </c>
      <c r="D88" s="33"/>
      <c r="E88" s="33"/>
      <c r="F88" s="39">
        <f t="shared" si="14"/>
        <v>1</v>
      </c>
      <c r="G88" s="36">
        <f t="shared" si="15"/>
        <v>1</v>
      </c>
      <c r="H88" s="36">
        <f t="shared" si="16"/>
        <v>0</v>
      </c>
      <c r="I88" s="36"/>
      <c r="J88" s="36">
        <f t="shared" si="17"/>
        <v>0</v>
      </c>
      <c r="K88" s="36">
        <f t="shared" si="20"/>
        <v>0</v>
      </c>
      <c r="L88" s="36">
        <f t="shared" si="21"/>
        <v>1</v>
      </c>
      <c r="M88" s="33"/>
      <c r="N88" s="40">
        <f t="shared" si="19"/>
        <v>0</v>
      </c>
      <c r="O88" s="32">
        <f t="shared" si="22"/>
        <v>0</v>
      </c>
      <c r="P88" s="32">
        <f t="shared" si="23"/>
        <v>1</v>
      </c>
      <c r="Q88" s="33"/>
      <c r="R88" s="33"/>
      <c r="S88" s="33"/>
    </row>
    <row r="89" spans="1:19" ht="14.5" hidden="1" customHeight="1">
      <c r="A89">
        <v>86</v>
      </c>
      <c r="B89" s="37">
        <f t="shared" si="18"/>
        <v>1</v>
      </c>
      <c r="C89" s="38">
        <f t="shared" si="13"/>
        <v>1</v>
      </c>
      <c r="D89" s="33"/>
      <c r="E89" s="33"/>
      <c r="F89" s="39">
        <f t="shared" si="14"/>
        <v>1</v>
      </c>
      <c r="G89" s="36">
        <f t="shared" si="15"/>
        <v>1</v>
      </c>
      <c r="H89" s="36">
        <f t="shared" si="16"/>
        <v>0</v>
      </c>
      <c r="I89" s="36"/>
      <c r="J89" s="36">
        <f t="shared" si="17"/>
        <v>0</v>
      </c>
      <c r="K89" s="36">
        <f t="shared" si="20"/>
        <v>0</v>
      </c>
      <c r="L89" s="36">
        <f t="shared" si="21"/>
        <v>1</v>
      </c>
      <c r="M89" s="33"/>
      <c r="N89" s="40">
        <f t="shared" si="19"/>
        <v>0</v>
      </c>
      <c r="O89" s="32">
        <f t="shared" si="22"/>
        <v>0</v>
      </c>
      <c r="P89" s="32">
        <f t="shared" si="23"/>
        <v>1</v>
      </c>
      <c r="Q89" s="33"/>
      <c r="R89" s="33"/>
      <c r="S89" s="33"/>
    </row>
    <row r="90" spans="1:19" ht="14.5" hidden="1" customHeight="1">
      <c r="A90">
        <v>87</v>
      </c>
      <c r="B90" s="37">
        <f t="shared" si="18"/>
        <v>1</v>
      </c>
      <c r="C90" s="38">
        <f t="shared" si="13"/>
        <v>1</v>
      </c>
      <c r="D90" s="33"/>
      <c r="E90" s="33"/>
      <c r="F90" s="39">
        <f t="shared" si="14"/>
        <v>1</v>
      </c>
      <c r="G90" s="36">
        <f t="shared" si="15"/>
        <v>1</v>
      </c>
      <c r="H90" s="36">
        <f t="shared" si="16"/>
        <v>0</v>
      </c>
      <c r="I90" s="36"/>
      <c r="J90" s="36">
        <f t="shared" si="17"/>
        <v>0</v>
      </c>
      <c r="K90" s="36">
        <f t="shared" si="20"/>
        <v>0</v>
      </c>
      <c r="L90" s="36">
        <f t="shared" si="21"/>
        <v>1</v>
      </c>
      <c r="M90" s="33"/>
      <c r="N90" s="40">
        <f t="shared" si="19"/>
        <v>0</v>
      </c>
      <c r="O90" s="32">
        <f t="shared" si="22"/>
        <v>0</v>
      </c>
      <c r="P90" s="32">
        <f t="shared" si="23"/>
        <v>1</v>
      </c>
      <c r="Q90" s="33"/>
      <c r="R90" s="33"/>
      <c r="S90" s="33"/>
    </row>
    <row r="91" spans="1:19" ht="14.5" hidden="1" customHeight="1">
      <c r="A91">
        <v>88</v>
      </c>
      <c r="B91" s="37">
        <f t="shared" si="18"/>
        <v>1</v>
      </c>
      <c r="C91" s="38">
        <f t="shared" si="13"/>
        <v>1</v>
      </c>
      <c r="D91" s="33"/>
      <c r="E91" s="33"/>
      <c r="F91" s="39">
        <f t="shared" si="14"/>
        <v>1</v>
      </c>
      <c r="G91" s="36">
        <f t="shared" si="15"/>
        <v>1</v>
      </c>
      <c r="H91" s="36">
        <f t="shared" si="16"/>
        <v>0</v>
      </c>
      <c r="I91" s="36"/>
      <c r="J91" s="36">
        <f t="shared" si="17"/>
        <v>0</v>
      </c>
      <c r="K91" s="36">
        <f t="shared" si="20"/>
        <v>0</v>
      </c>
      <c r="L91" s="36">
        <f t="shared" si="21"/>
        <v>1</v>
      </c>
      <c r="M91" s="33"/>
      <c r="N91" s="40">
        <f t="shared" si="19"/>
        <v>0</v>
      </c>
      <c r="O91" s="32">
        <f t="shared" si="22"/>
        <v>0</v>
      </c>
      <c r="P91" s="32">
        <f t="shared" si="23"/>
        <v>1</v>
      </c>
      <c r="Q91" s="33"/>
      <c r="R91" s="33"/>
      <c r="S91" s="33"/>
    </row>
    <row r="92" spans="1:19" ht="14.5" hidden="1" customHeight="1">
      <c r="A92">
        <v>89</v>
      </c>
      <c r="B92" s="37">
        <f t="shared" si="18"/>
        <v>1</v>
      </c>
      <c r="C92" s="38">
        <f t="shared" si="13"/>
        <v>1</v>
      </c>
      <c r="D92" s="33"/>
      <c r="E92" s="33"/>
      <c r="F92" s="39">
        <f t="shared" si="14"/>
        <v>1</v>
      </c>
      <c r="G92" s="36">
        <f t="shared" si="15"/>
        <v>1</v>
      </c>
      <c r="H92" s="36">
        <f t="shared" si="16"/>
        <v>0</v>
      </c>
      <c r="I92" s="36"/>
      <c r="J92" s="36">
        <f t="shared" si="17"/>
        <v>0</v>
      </c>
      <c r="K92" s="36">
        <f t="shared" si="20"/>
        <v>0</v>
      </c>
      <c r="L92" s="36">
        <f t="shared" si="21"/>
        <v>1</v>
      </c>
      <c r="M92" s="33"/>
      <c r="N92" s="40">
        <f t="shared" si="19"/>
        <v>0</v>
      </c>
      <c r="O92" s="32">
        <f t="shared" si="22"/>
        <v>0</v>
      </c>
      <c r="P92" s="32">
        <f t="shared" si="23"/>
        <v>1</v>
      </c>
      <c r="Q92" s="33"/>
      <c r="R92" s="33"/>
      <c r="S92" s="33"/>
    </row>
    <row r="93" spans="1:19" ht="14.5" hidden="1" customHeight="1">
      <c r="A93">
        <v>90</v>
      </c>
      <c r="B93" s="37">
        <f t="shared" si="18"/>
        <v>1</v>
      </c>
      <c r="C93" s="38">
        <f t="shared" si="13"/>
        <v>1</v>
      </c>
      <c r="D93" s="33"/>
      <c r="E93" s="33"/>
      <c r="F93" s="39">
        <f t="shared" si="14"/>
        <v>1</v>
      </c>
      <c r="G93" s="36">
        <f t="shared" si="15"/>
        <v>1</v>
      </c>
      <c r="H93" s="36">
        <f t="shared" si="16"/>
        <v>0</v>
      </c>
      <c r="I93" s="36"/>
      <c r="J93" s="36">
        <f t="shared" si="17"/>
        <v>0</v>
      </c>
      <c r="K93" s="36">
        <f t="shared" si="20"/>
        <v>0</v>
      </c>
      <c r="L93" s="36">
        <f t="shared" si="21"/>
        <v>1</v>
      </c>
      <c r="M93" s="33"/>
      <c r="N93" s="40">
        <f t="shared" si="19"/>
        <v>0</v>
      </c>
      <c r="O93" s="32">
        <f t="shared" si="22"/>
        <v>0</v>
      </c>
      <c r="P93" s="32">
        <f t="shared" si="23"/>
        <v>1</v>
      </c>
      <c r="Q93" s="33"/>
      <c r="R93" s="33"/>
      <c r="S93" s="33"/>
    </row>
    <row r="94" spans="1:19" ht="14.5" hidden="1" customHeight="1">
      <c r="A94">
        <v>91</v>
      </c>
      <c r="B94" s="37">
        <f t="shared" si="18"/>
        <v>1</v>
      </c>
      <c r="C94" s="38">
        <f t="shared" si="13"/>
        <v>1</v>
      </c>
      <c r="D94" s="33"/>
      <c r="E94" s="33"/>
      <c r="F94" s="39">
        <f t="shared" si="14"/>
        <v>1</v>
      </c>
      <c r="G94" s="36">
        <f t="shared" si="15"/>
        <v>1</v>
      </c>
      <c r="H94" s="36">
        <f t="shared" si="16"/>
        <v>0</v>
      </c>
      <c r="I94" s="36"/>
      <c r="J94" s="36">
        <f t="shared" si="17"/>
        <v>0</v>
      </c>
      <c r="K94" s="36">
        <f t="shared" si="20"/>
        <v>0</v>
      </c>
      <c r="L94" s="36">
        <f t="shared" si="21"/>
        <v>1</v>
      </c>
      <c r="M94" s="33"/>
      <c r="N94" s="40">
        <f t="shared" si="19"/>
        <v>0</v>
      </c>
      <c r="O94" s="32">
        <f t="shared" si="22"/>
        <v>0</v>
      </c>
      <c r="P94" s="32">
        <f t="shared" si="23"/>
        <v>1</v>
      </c>
      <c r="Q94" s="33"/>
      <c r="R94" s="33"/>
      <c r="S94" s="33"/>
    </row>
    <row r="95" spans="1:19" ht="14.5" hidden="1" customHeight="1">
      <c r="A95">
        <v>92</v>
      </c>
      <c r="B95" s="37">
        <f t="shared" si="18"/>
        <v>1</v>
      </c>
      <c r="C95" s="38">
        <f t="shared" si="13"/>
        <v>1</v>
      </c>
      <c r="D95" s="33"/>
      <c r="E95" s="33"/>
      <c r="F95" s="39">
        <f t="shared" si="14"/>
        <v>1</v>
      </c>
      <c r="G95" s="36">
        <f t="shared" si="15"/>
        <v>1</v>
      </c>
      <c r="H95" s="36">
        <f t="shared" si="16"/>
        <v>0</v>
      </c>
      <c r="I95" s="36"/>
      <c r="J95" s="36">
        <f t="shared" si="17"/>
        <v>0</v>
      </c>
      <c r="K95" s="36">
        <f t="shared" si="20"/>
        <v>0</v>
      </c>
      <c r="L95" s="36">
        <f t="shared" si="21"/>
        <v>1</v>
      </c>
      <c r="M95" s="33"/>
      <c r="N95" s="40">
        <f t="shared" si="19"/>
        <v>0</v>
      </c>
      <c r="O95" s="32">
        <f t="shared" si="22"/>
        <v>0</v>
      </c>
      <c r="P95" s="32">
        <f t="shared" si="23"/>
        <v>1</v>
      </c>
      <c r="Q95" s="33"/>
      <c r="R95" s="33"/>
      <c r="S95" s="33"/>
    </row>
    <row r="96" spans="1:19" ht="14.5" hidden="1" customHeight="1">
      <c r="A96">
        <v>93</v>
      </c>
      <c r="B96" s="37">
        <f t="shared" si="18"/>
        <v>1</v>
      </c>
      <c r="C96" s="38">
        <f t="shared" si="13"/>
        <v>1</v>
      </c>
      <c r="D96" s="33"/>
      <c r="E96" s="33"/>
      <c r="F96" s="39">
        <f t="shared" si="14"/>
        <v>1</v>
      </c>
      <c r="G96" s="36">
        <f t="shared" si="15"/>
        <v>1</v>
      </c>
      <c r="H96" s="36">
        <f t="shared" si="16"/>
        <v>0</v>
      </c>
      <c r="I96" s="36"/>
      <c r="J96" s="36">
        <f t="shared" si="17"/>
        <v>0</v>
      </c>
      <c r="K96" s="36">
        <f t="shared" si="20"/>
        <v>0</v>
      </c>
      <c r="L96" s="36">
        <f t="shared" si="21"/>
        <v>1</v>
      </c>
      <c r="M96" s="33"/>
      <c r="N96" s="40">
        <f t="shared" si="19"/>
        <v>0</v>
      </c>
      <c r="O96" s="32">
        <f t="shared" si="22"/>
        <v>0</v>
      </c>
      <c r="P96" s="32">
        <f t="shared" si="23"/>
        <v>1</v>
      </c>
      <c r="Q96" s="33"/>
      <c r="R96" s="33"/>
      <c r="S96" s="33"/>
    </row>
    <row r="97" spans="1:19" ht="14.5" hidden="1" customHeight="1">
      <c r="A97">
        <v>94</v>
      </c>
      <c r="B97" s="37">
        <f t="shared" si="18"/>
        <v>1</v>
      </c>
      <c r="C97" s="38">
        <f t="shared" si="13"/>
        <v>1</v>
      </c>
      <c r="D97" s="33"/>
      <c r="E97" s="33"/>
      <c r="F97" s="39">
        <f t="shared" si="14"/>
        <v>1</v>
      </c>
      <c r="G97" s="36">
        <f t="shared" si="15"/>
        <v>1</v>
      </c>
      <c r="H97" s="36">
        <f t="shared" si="16"/>
        <v>0</v>
      </c>
      <c r="I97" s="36"/>
      <c r="J97" s="36">
        <f t="shared" si="17"/>
        <v>0</v>
      </c>
      <c r="K97" s="36">
        <f t="shared" si="20"/>
        <v>0</v>
      </c>
      <c r="L97" s="36">
        <f t="shared" si="21"/>
        <v>1</v>
      </c>
      <c r="M97" s="33"/>
      <c r="N97" s="40">
        <f t="shared" si="19"/>
        <v>0</v>
      </c>
      <c r="O97" s="32">
        <f t="shared" si="22"/>
        <v>0</v>
      </c>
      <c r="P97" s="32">
        <f t="shared" si="23"/>
        <v>1</v>
      </c>
      <c r="Q97" s="33"/>
      <c r="R97" s="33"/>
      <c r="S97" s="33"/>
    </row>
    <row r="98" spans="1:19" ht="14.5" hidden="1" customHeight="1">
      <c r="A98">
        <v>95</v>
      </c>
      <c r="B98" s="37">
        <f t="shared" si="18"/>
        <v>1</v>
      </c>
      <c r="C98" s="38">
        <f t="shared" si="13"/>
        <v>1</v>
      </c>
      <c r="D98" s="33"/>
      <c r="E98" s="33"/>
      <c r="F98" s="39">
        <f t="shared" si="14"/>
        <v>1</v>
      </c>
      <c r="G98" s="36">
        <f t="shared" si="15"/>
        <v>1</v>
      </c>
      <c r="H98" s="36">
        <f t="shared" si="16"/>
        <v>0</v>
      </c>
      <c r="I98" s="36"/>
      <c r="J98" s="36">
        <f t="shared" si="17"/>
        <v>0</v>
      </c>
      <c r="K98" s="36">
        <f t="shared" si="20"/>
        <v>0</v>
      </c>
      <c r="L98" s="36">
        <f t="shared" si="21"/>
        <v>1</v>
      </c>
      <c r="M98" s="33"/>
      <c r="N98" s="40">
        <f t="shared" si="19"/>
        <v>0</v>
      </c>
      <c r="O98" s="32">
        <f t="shared" si="22"/>
        <v>0</v>
      </c>
      <c r="P98" s="32">
        <f t="shared" si="23"/>
        <v>1</v>
      </c>
      <c r="Q98" s="33"/>
      <c r="R98" s="33"/>
      <c r="S98" s="33"/>
    </row>
    <row r="99" spans="1:19" ht="14.5" hidden="1" customHeight="1">
      <c r="A99">
        <v>96</v>
      </c>
      <c r="B99" s="37">
        <f t="shared" si="18"/>
        <v>1</v>
      </c>
      <c r="C99" s="38">
        <f t="shared" si="13"/>
        <v>1</v>
      </c>
      <c r="D99" s="33"/>
      <c r="E99" s="33"/>
      <c r="F99" s="39">
        <f t="shared" si="14"/>
        <v>1</v>
      </c>
      <c r="G99" s="36">
        <f t="shared" si="15"/>
        <v>1</v>
      </c>
      <c r="H99" s="36">
        <f t="shared" si="16"/>
        <v>0</v>
      </c>
      <c r="I99" s="36"/>
      <c r="J99" s="36">
        <f t="shared" si="17"/>
        <v>0</v>
      </c>
      <c r="K99" s="36">
        <f t="shared" si="20"/>
        <v>0</v>
      </c>
      <c r="L99" s="36">
        <f t="shared" si="21"/>
        <v>1</v>
      </c>
      <c r="M99" s="33"/>
      <c r="N99" s="40">
        <f t="shared" si="19"/>
        <v>0</v>
      </c>
      <c r="O99" s="32">
        <f t="shared" si="22"/>
        <v>0</v>
      </c>
      <c r="P99" s="32">
        <f t="shared" si="23"/>
        <v>1</v>
      </c>
      <c r="Q99" s="33"/>
      <c r="R99" s="33"/>
      <c r="S99" s="33"/>
    </row>
    <row r="100" spans="1:19" ht="14.5" hidden="1" customHeight="1">
      <c r="A100">
        <v>97</v>
      </c>
      <c r="B100" s="37">
        <f t="shared" si="18"/>
        <v>1</v>
      </c>
      <c r="C100" s="38">
        <f t="shared" si="13"/>
        <v>1</v>
      </c>
      <c r="D100" s="33"/>
      <c r="E100" s="33"/>
      <c r="F100" s="39">
        <f t="shared" si="14"/>
        <v>1</v>
      </c>
      <c r="G100" s="36">
        <f t="shared" si="15"/>
        <v>1</v>
      </c>
      <c r="H100" s="36">
        <f t="shared" si="16"/>
        <v>0</v>
      </c>
      <c r="I100" s="36"/>
      <c r="J100" s="36">
        <f t="shared" si="17"/>
        <v>0</v>
      </c>
      <c r="K100" s="36">
        <f t="shared" si="20"/>
        <v>0</v>
      </c>
      <c r="L100" s="36">
        <f t="shared" si="21"/>
        <v>1</v>
      </c>
      <c r="M100" s="33"/>
      <c r="N100" s="40">
        <f t="shared" si="19"/>
        <v>0</v>
      </c>
      <c r="O100" s="32">
        <f t="shared" si="22"/>
        <v>0</v>
      </c>
      <c r="P100" s="32">
        <f t="shared" si="23"/>
        <v>1</v>
      </c>
      <c r="Q100" s="33"/>
      <c r="R100" s="33"/>
      <c r="S100" s="33"/>
    </row>
    <row r="101" spans="1:19" ht="14.5" hidden="1" customHeight="1">
      <c r="A101">
        <v>98</v>
      </c>
      <c r="B101" s="37">
        <f t="shared" si="18"/>
        <v>1</v>
      </c>
      <c r="C101" s="38">
        <f t="shared" si="13"/>
        <v>1</v>
      </c>
      <c r="D101" s="33"/>
      <c r="E101" s="33"/>
      <c r="F101" s="39">
        <f t="shared" si="14"/>
        <v>1</v>
      </c>
      <c r="G101" s="36">
        <f t="shared" si="15"/>
        <v>1</v>
      </c>
      <c r="H101" s="36">
        <f t="shared" si="16"/>
        <v>0</v>
      </c>
      <c r="I101" s="36"/>
      <c r="J101" s="36">
        <f t="shared" si="17"/>
        <v>0</v>
      </c>
      <c r="K101" s="36">
        <f t="shared" si="20"/>
        <v>0</v>
      </c>
      <c r="L101" s="36">
        <f t="shared" si="21"/>
        <v>1</v>
      </c>
      <c r="M101" s="33"/>
      <c r="N101" s="40">
        <f t="shared" si="19"/>
        <v>0</v>
      </c>
      <c r="O101" s="32">
        <f t="shared" si="22"/>
        <v>0</v>
      </c>
      <c r="P101" s="32">
        <f t="shared" si="23"/>
        <v>1</v>
      </c>
      <c r="Q101" s="33"/>
      <c r="R101" s="33"/>
      <c r="S101" s="33"/>
    </row>
    <row r="102" spans="1:19" ht="14.5" hidden="1" customHeight="1">
      <c r="A102">
        <v>99</v>
      </c>
      <c r="B102" s="37">
        <f t="shared" si="18"/>
        <v>1</v>
      </c>
      <c r="C102" s="38">
        <f t="shared" si="13"/>
        <v>1</v>
      </c>
      <c r="D102" s="33"/>
      <c r="E102" s="33"/>
      <c r="F102" s="39">
        <f t="shared" si="14"/>
        <v>1</v>
      </c>
      <c r="G102" s="36">
        <f t="shared" si="15"/>
        <v>1</v>
      </c>
      <c r="H102" s="36">
        <f t="shared" si="16"/>
        <v>0</v>
      </c>
      <c r="I102" s="36"/>
      <c r="J102" s="36">
        <f t="shared" si="17"/>
        <v>0</v>
      </c>
      <c r="K102" s="36">
        <f t="shared" si="20"/>
        <v>0</v>
      </c>
      <c r="L102" s="36">
        <f t="shared" si="21"/>
        <v>1</v>
      </c>
      <c r="M102" s="33"/>
      <c r="N102" s="40">
        <f t="shared" si="19"/>
        <v>0</v>
      </c>
      <c r="O102" s="32">
        <f t="shared" si="22"/>
        <v>0</v>
      </c>
      <c r="P102" s="32">
        <f t="shared" si="23"/>
        <v>1</v>
      </c>
      <c r="Q102" s="33"/>
      <c r="R102" s="33"/>
      <c r="S102" s="33"/>
    </row>
    <row r="103" spans="1:19" ht="14.5" hidden="1" customHeight="1">
      <c r="A103">
        <v>100</v>
      </c>
      <c r="B103" s="37">
        <f t="shared" si="18"/>
        <v>1</v>
      </c>
      <c r="C103" s="38">
        <f t="shared" si="13"/>
        <v>1</v>
      </c>
      <c r="D103" s="33"/>
      <c r="E103" s="33"/>
      <c r="F103" s="39">
        <f t="shared" si="14"/>
        <v>1</v>
      </c>
      <c r="G103" s="36">
        <f t="shared" si="15"/>
        <v>1</v>
      </c>
      <c r="H103" s="36">
        <f t="shared" si="16"/>
        <v>0</v>
      </c>
      <c r="I103" s="36"/>
      <c r="J103" s="36">
        <f t="shared" si="17"/>
        <v>0</v>
      </c>
      <c r="K103" s="36">
        <f t="shared" si="20"/>
        <v>0</v>
      </c>
      <c r="L103" s="36">
        <f t="shared" si="21"/>
        <v>1</v>
      </c>
      <c r="M103" s="33"/>
      <c r="N103" s="40">
        <f t="shared" si="19"/>
        <v>0</v>
      </c>
      <c r="O103" s="32">
        <f t="shared" si="22"/>
        <v>0</v>
      </c>
      <c r="P103" s="32">
        <f t="shared" si="23"/>
        <v>1</v>
      </c>
      <c r="Q103" s="33"/>
      <c r="R103" s="33"/>
      <c r="S103" s="33"/>
    </row>
    <row r="104" spans="1:19" ht="14.5" hidden="1" customHeight="1">
      <c r="A104">
        <v>101</v>
      </c>
      <c r="B104" s="37">
        <f t="shared" si="18"/>
        <v>1</v>
      </c>
      <c r="C104" s="38">
        <f t="shared" si="13"/>
        <v>1</v>
      </c>
      <c r="D104" s="33"/>
      <c r="E104" s="33"/>
      <c r="F104" s="39">
        <f t="shared" si="14"/>
        <v>1</v>
      </c>
      <c r="G104" s="36">
        <f t="shared" si="15"/>
        <v>1</v>
      </c>
      <c r="H104" s="36">
        <f t="shared" si="16"/>
        <v>0</v>
      </c>
      <c r="I104" s="36"/>
      <c r="J104" s="36">
        <f t="shared" si="17"/>
        <v>0</v>
      </c>
      <c r="K104" s="36">
        <f t="shared" si="20"/>
        <v>0</v>
      </c>
      <c r="L104" s="36">
        <f t="shared" si="21"/>
        <v>1</v>
      </c>
      <c r="M104" s="33"/>
      <c r="N104" s="40">
        <f t="shared" si="19"/>
        <v>0</v>
      </c>
      <c r="O104" s="32">
        <f t="shared" si="22"/>
        <v>0</v>
      </c>
      <c r="P104" s="32">
        <f t="shared" si="23"/>
        <v>1</v>
      </c>
      <c r="Q104" s="33"/>
      <c r="R104" s="33"/>
      <c r="S104" s="33"/>
    </row>
    <row r="105" spans="1:19" ht="14.5" hidden="1" customHeight="1">
      <c r="A105">
        <v>102</v>
      </c>
      <c r="B105" s="37">
        <f t="shared" si="18"/>
        <v>1</v>
      </c>
      <c r="C105" s="38">
        <f t="shared" si="13"/>
        <v>1</v>
      </c>
      <c r="D105" s="33"/>
      <c r="E105" s="33"/>
      <c r="F105" s="39">
        <f t="shared" si="14"/>
        <v>1</v>
      </c>
      <c r="G105" s="36">
        <f t="shared" si="15"/>
        <v>1</v>
      </c>
      <c r="H105" s="36">
        <f t="shared" si="16"/>
        <v>0</v>
      </c>
      <c r="I105" s="36"/>
      <c r="J105" s="36">
        <f t="shared" si="17"/>
        <v>0</v>
      </c>
      <c r="K105" s="36">
        <f t="shared" si="20"/>
        <v>0</v>
      </c>
      <c r="L105" s="36">
        <f t="shared" si="21"/>
        <v>1</v>
      </c>
      <c r="M105" s="33"/>
      <c r="N105" s="40">
        <f t="shared" si="19"/>
        <v>0</v>
      </c>
      <c r="O105" s="32">
        <f t="shared" si="22"/>
        <v>0</v>
      </c>
      <c r="P105" s="32">
        <f t="shared" si="23"/>
        <v>1</v>
      </c>
      <c r="Q105" s="33"/>
      <c r="R105" s="33"/>
      <c r="S105" s="33"/>
    </row>
    <row r="106" spans="1:19" ht="14.5" hidden="1" customHeight="1">
      <c r="A106">
        <v>103</v>
      </c>
      <c r="B106" s="37">
        <f t="shared" si="18"/>
        <v>1</v>
      </c>
      <c r="C106" s="38">
        <f t="shared" si="13"/>
        <v>1</v>
      </c>
      <c r="D106" s="33"/>
      <c r="E106" s="33"/>
      <c r="F106" s="39">
        <f t="shared" si="14"/>
        <v>1</v>
      </c>
      <c r="G106" s="36">
        <f t="shared" si="15"/>
        <v>1</v>
      </c>
      <c r="H106" s="36">
        <f t="shared" si="16"/>
        <v>0</v>
      </c>
      <c r="I106" s="36"/>
      <c r="J106" s="36">
        <f t="shared" si="17"/>
        <v>0</v>
      </c>
      <c r="K106" s="36">
        <f t="shared" si="20"/>
        <v>0</v>
      </c>
      <c r="L106" s="36">
        <f t="shared" si="21"/>
        <v>1</v>
      </c>
      <c r="M106" s="33"/>
      <c r="N106" s="40">
        <f t="shared" si="19"/>
        <v>0</v>
      </c>
      <c r="O106" s="32">
        <f t="shared" si="22"/>
        <v>0</v>
      </c>
      <c r="P106" s="32">
        <f t="shared" si="23"/>
        <v>1</v>
      </c>
      <c r="Q106" s="33"/>
      <c r="R106" s="33"/>
      <c r="S106" s="33"/>
    </row>
    <row r="107" spans="1:19" ht="14.5" hidden="1" customHeight="1">
      <c r="A107">
        <v>104</v>
      </c>
      <c r="B107" s="37">
        <f t="shared" si="18"/>
        <v>1</v>
      </c>
      <c r="C107" s="38">
        <f t="shared" si="13"/>
        <v>1</v>
      </c>
      <c r="D107" s="33"/>
      <c r="E107" s="33"/>
      <c r="F107" s="39">
        <f t="shared" si="14"/>
        <v>1</v>
      </c>
      <c r="G107" s="36">
        <f t="shared" si="15"/>
        <v>1</v>
      </c>
      <c r="H107" s="36">
        <f t="shared" si="16"/>
        <v>0</v>
      </c>
      <c r="I107" s="36"/>
      <c r="J107" s="36">
        <f t="shared" si="17"/>
        <v>0</v>
      </c>
      <c r="K107" s="36">
        <f t="shared" si="20"/>
        <v>0</v>
      </c>
      <c r="L107" s="36">
        <f t="shared" si="21"/>
        <v>1</v>
      </c>
      <c r="M107" s="33"/>
      <c r="N107" s="40">
        <f t="shared" si="19"/>
        <v>0</v>
      </c>
      <c r="O107" s="32">
        <f t="shared" si="22"/>
        <v>0</v>
      </c>
      <c r="P107" s="32">
        <f t="shared" si="23"/>
        <v>1</v>
      </c>
      <c r="Q107" s="33"/>
      <c r="R107" s="33"/>
      <c r="S107" s="33"/>
    </row>
    <row r="108" spans="1:19" ht="14.5" hidden="1" customHeight="1">
      <c r="A108">
        <v>105</v>
      </c>
      <c r="B108" s="37">
        <f t="shared" si="18"/>
        <v>1</v>
      </c>
      <c r="C108" s="38">
        <f t="shared" si="13"/>
        <v>1</v>
      </c>
      <c r="D108" s="33"/>
      <c r="E108" s="33"/>
      <c r="F108" s="39">
        <f t="shared" si="14"/>
        <v>1</v>
      </c>
      <c r="G108" s="36">
        <f t="shared" si="15"/>
        <v>1</v>
      </c>
      <c r="H108" s="36">
        <f t="shared" si="16"/>
        <v>0</v>
      </c>
      <c r="I108" s="36"/>
      <c r="J108" s="36">
        <f t="shared" si="17"/>
        <v>0</v>
      </c>
      <c r="K108" s="36">
        <f t="shared" si="20"/>
        <v>0</v>
      </c>
      <c r="L108" s="36">
        <f t="shared" si="21"/>
        <v>1</v>
      </c>
      <c r="M108" s="33"/>
      <c r="N108" s="40">
        <f t="shared" si="19"/>
        <v>0</v>
      </c>
      <c r="O108" s="32">
        <f t="shared" si="22"/>
        <v>0</v>
      </c>
      <c r="P108" s="32">
        <f t="shared" si="23"/>
        <v>1</v>
      </c>
      <c r="Q108" s="33"/>
      <c r="R108" s="33"/>
      <c r="S108" s="33"/>
    </row>
    <row r="109" spans="1:19" ht="14.5" hidden="1" customHeight="1">
      <c r="A109">
        <v>106</v>
      </c>
      <c r="B109" s="37">
        <f t="shared" si="18"/>
        <v>1</v>
      </c>
      <c r="C109" s="38">
        <f t="shared" si="13"/>
        <v>1</v>
      </c>
      <c r="D109" s="33"/>
      <c r="E109" s="33"/>
      <c r="F109" s="39">
        <f t="shared" si="14"/>
        <v>1</v>
      </c>
      <c r="G109" s="36">
        <f t="shared" si="15"/>
        <v>1</v>
      </c>
      <c r="H109" s="36">
        <f t="shared" si="16"/>
        <v>0</v>
      </c>
      <c r="I109" s="36"/>
      <c r="J109" s="36">
        <f t="shared" si="17"/>
        <v>0</v>
      </c>
      <c r="K109" s="36">
        <f t="shared" si="20"/>
        <v>0</v>
      </c>
      <c r="L109" s="36">
        <f t="shared" si="21"/>
        <v>1</v>
      </c>
      <c r="M109" s="33"/>
      <c r="N109" s="40">
        <f t="shared" si="19"/>
        <v>0</v>
      </c>
      <c r="O109" s="32">
        <f t="shared" si="22"/>
        <v>0</v>
      </c>
      <c r="P109" s="32">
        <f t="shared" si="23"/>
        <v>1</v>
      </c>
      <c r="Q109" s="33"/>
      <c r="R109" s="33"/>
      <c r="S109" s="33"/>
    </row>
    <row r="110" spans="1:19" ht="14.5" hidden="1" customHeight="1">
      <c r="A110">
        <v>107</v>
      </c>
      <c r="B110" s="37">
        <f t="shared" si="18"/>
        <v>1</v>
      </c>
      <c r="C110" s="38">
        <f t="shared" si="13"/>
        <v>1</v>
      </c>
      <c r="D110" s="33"/>
      <c r="E110" s="33"/>
      <c r="F110" s="39">
        <f t="shared" si="14"/>
        <v>1</v>
      </c>
      <c r="G110" s="36">
        <f t="shared" si="15"/>
        <v>1</v>
      </c>
      <c r="H110" s="36">
        <f t="shared" si="16"/>
        <v>0</v>
      </c>
      <c r="I110" s="36"/>
      <c r="J110" s="36">
        <f t="shared" si="17"/>
        <v>0</v>
      </c>
      <c r="K110" s="36">
        <f t="shared" si="20"/>
        <v>0</v>
      </c>
      <c r="L110" s="36">
        <f t="shared" si="21"/>
        <v>1</v>
      </c>
      <c r="M110" s="33"/>
      <c r="N110" s="40">
        <f t="shared" si="19"/>
        <v>0</v>
      </c>
      <c r="O110" s="32">
        <f t="shared" si="22"/>
        <v>0</v>
      </c>
      <c r="P110" s="32">
        <f t="shared" si="23"/>
        <v>1</v>
      </c>
      <c r="Q110" s="33"/>
      <c r="R110" s="33"/>
      <c r="S110" s="33"/>
    </row>
    <row r="111" spans="1:19" ht="14.5" hidden="1" customHeight="1">
      <c r="A111">
        <v>108</v>
      </c>
      <c r="B111" s="37">
        <f t="shared" si="18"/>
        <v>1</v>
      </c>
      <c r="C111" s="38">
        <f t="shared" si="13"/>
        <v>1</v>
      </c>
      <c r="D111" s="33"/>
      <c r="E111" s="33"/>
      <c r="F111" s="39">
        <f t="shared" si="14"/>
        <v>1</v>
      </c>
      <c r="G111" s="36">
        <f t="shared" si="15"/>
        <v>1</v>
      </c>
      <c r="H111" s="36">
        <f t="shared" si="16"/>
        <v>0</v>
      </c>
      <c r="I111" s="36"/>
      <c r="J111" s="36">
        <f t="shared" si="17"/>
        <v>0</v>
      </c>
      <c r="K111" s="36">
        <f t="shared" si="20"/>
        <v>0</v>
      </c>
      <c r="L111" s="36">
        <f t="shared" si="21"/>
        <v>1</v>
      </c>
      <c r="M111" s="33"/>
      <c r="N111" s="40">
        <f t="shared" si="19"/>
        <v>0</v>
      </c>
      <c r="O111" s="32">
        <f t="shared" si="22"/>
        <v>0</v>
      </c>
      <c r="P111" s="32">
        <f t="shared" si="23"/>
        <v>1</v>
      </c>
      <c r="Q111" s="33"/>
      <c r="R111" s="33"/>
      <c r="S111" s="33"/>
    </row>
    <row r="112" spans="1:19" ht="14.5" hidden="1" customHeight="1">
      <c r="A112">
        <v>109</v>
      </c>
      <c r="B112" s="37">
        <f t="shared" si="18"/>
        <v>1</v>
      </c>
      <c r="C112" s="38">
        <f t="shared" si="13"/>
        <v>1</v>
      </c>
      <c r="D112" s="33"/>
      <c r="E112" s="33"/>
      <c r="F112" s="39">
        <f t="shared" si="14"/>
        <v>1</v>
      </c>
      <c r="G112" s="36">
        <f t="shared" si="15"/>
        <v>1</v>
      </c>
      <c r="H112" s="36">
        <f t="shared" si="16"/>
        <v>0</v>
      </c>
      <c r="I112" s="36"/>
      <c r="J112" s="36">
        <f t="shared" si="17"/>
        <v>0</v>
      </c>
      <c r="K112" s="36">
        <f t="shared" si="20"/>
        <v>0</v>
      </c>
      <c r="L112" s="36">
        <f t="shared" si="21"/>
        <v>1</v>
      </c>
      <c r="M112" s="33"/>
      <c r="N112" s="40">
        <f t="shared" si="19"/>
        <v>0</v>
      </c>
      <c r="O112" s="32">
        <f t="shared" si="22"/>
        <v>0</v>
      </c>
      <c r="P112" s="32">
        <f t="shared" si="23"/>
        <v>1</v>
      </c>
      <c r="Q112" s="33"/>
      <c r="R112" s="33"/>
      <c r="S112" s="33"/>
    </row>
    <row r="113" spans="1:19" ht="14.5" hidden="1" customHeight="1">
      <c r="A113">
        <v>110</v>
      </c>
      <c r="B113" s="37">
        <f t="shared" si="18"/>
        <v>1</v>
      </c>
      <c r="C113" s="38">
        <f t="shared" si="13"/>
        <v>1</v>
      </c>
      <c r="D113" s="33"/>
      <c r="E113" s="33"/>
      <c r="F113" s="39">
        <f t="shared" si="14"/>
        <v>1</v>
      </c>
      <c r="G113" s="36">
        <f t="shared" si="15"/>
        <v>1</v>
      </c>
      <c r="H113" s="36">
        <f t="shared" si="16"/>
        <v>0</v>
      </c>
      <c r="I113" s="36"/>
      <c r="J113" s="36">
        <f t="shared" si="17"/>
        <v>0</v>
      </c>
      <c r="K113" s="36">
        <f t="shared" si="20"/>
        <v>0</v>
      </c>
      <c r="L113" s="36">
        <f t="shared" si="21"/>
        <v>1</v>
      </c>
      <c r="M113" s="33"/>
      <c r="N113" s="40">
        <f t="shared" si="19"/>
        <v>0</v>
      </c>
      <c r="O113" s="32">
        <f t="shared" si="22"/>
        <v>0</v>
      </c>
      <c r="P113" s="32">
        <f t="shared" si="23"/>
        <v>1</v>
      </c>
      <c r="Q113" s="33"/>
      <c r="R113" s="33"/>
      <c r="S113" s="33"/>
    </row>
    <row r="114" spans="1:19" ht="14.5" hidden="1" customHeight="1">
      <c r="A114">
        <v>111</v>
      </c>
      <c r="B114" s="37">
        <f t="shared" si="18"/>
        <v>1</v>
      </c>
      <c r="C114" s="38">
        <f t="shared" si="13"/>
        <v>1</v>
      </c>
      <c r="D114" s="33"/>
      <c r="E114" s="33"/>
      <c r="F114" s="39">
        <f t="shared" si="14"/>
        <v>1</v>
      </c>
      <c r="G114" s="36">
        <f t="shared" si="15"/>
        <v>1</v>
      </c>
      <c r="H114" s="36">
        <f t="shared" si="16"/>
        <v>0</v>
      </c>
      <c r="I114" s="36"/>
      <c r="J114" s="36">
        <f t="shared" si="17"/>
        <v>0</v>
      </c>
      <c r="K114" s="36">
        <f t="shared" si="20"/>
        <v>0</v>
      </c>
      <c r="L114" s="36">
        <f t="shared" si="21"/>
        <v>1</v>
      </c>
      <c r="M114" s="33"/>
      <c r="N114" s="40">
        <f t="shared" si="19"/>
        <v>0</v>
      </c>
      <c r="O114" s="32">
        <f t="shared" si="22"/>
        <v>0</v>
      </c>
      <c r="P114" s="32">
        <f t="shared" si="23"/>
        <v>1</v>
      </c>
      <c r="Q114" s="33"/>
      <c r="R114" s="33"/>
      <c r="S114" s="33"/>
    </row>
    <row r="115" spans="1:19" ht="14.5" hidden="1" customHeight="1">
      <c r="A115">
        <v>112</v>
      </c>
      <c r="B115" s="37">
        <f t="shared" si="18"/>
        <v>1</v>
      </c>
      <c r="C115" s="38">
        <f t="shared" si="13"/>
        <v>1</v>
      </c>
      <c r="D115" s="33"/>
      <c r="E115" s="33"/>
      <c r="F115" s="39">
        <f t="shared" si="14"/>
        <v>1</v>
      </c>
      <c r="G115" s="36">
        <f t="shared" si="15"/>
        <v>1</v>
      </c>
      <c r="H115" s="36">
        <f t="shared" si="16"/>
        <v>0</v>
      </c>
      <c r="I115" s="36"/>
      <c r="J115" s="36">
        <f t="shared" si="17"/>
        <v>0</v>
      </c>
      <c r="K115" s="36">
        <f t="shared" si="20"/>
        <v>0</v>
      </c>
      <c r="L115" s="36">
        <f t="shared" si="21"/>
        <v>1</v>
      </c>
      <c r="M115" s="33"/>
      <c r="N115" s="40">
        <f t="shared" si="19"/>
        <v>0</v>
      </c>
      <c r="O115" s="32">
        <f t="shared" si="22"/>
        <v>0</v>
      </c>
      <c r="P115" s="32">
        <f t="shared" si="23"/>
        <v>1</v>
      </c>
      <c r="Q115" s="33"/>
      <c r="R115" s="33"/>
      <c r="S115" s="33"/>
    </row>
    <row r="116" spans="1:19" ht="14.5" hidden="1" customHeight="1">
      <c r="A116">
        <v>113</v>
      </c>
      <c r="B116" s="37">
        <f t="shared" si="18"/>
        <v>1</v>
      </c>
      <c r="C116" s="38">
        <f t="shared" si="13"/>
        <v>1</v>
      </c>
      <c r="D116" s="33"/>
      <c r="E116" s="33"/>
      <c r="F116" s="39">
        <f t="shared" si="14"/>
        <v>1</v>
      </c>
      <c r="G116" s="36">
        <f t="shared" si="15"/>
        <v>1</v>
      </c>
      <c r="H116" s="36">
        <f t="shared" si="16"/>
        <v>0</v>
      </c>
      <c r="I116" s="36"/>
      <c r="J116" s="36">
        <f t="shared" si="17"/>
        <v>0</v>
      </c>
      <c r="K116" s="36">
        <f t="shared" si="20"/>
        <v>0</v>
      </c>
      <c r="L116" s="36">
        <f t="shared" si="21"/>
        <v>1</v>
      </c>
      <c r="M116" s="33"/>
      <c r="N116" s="40">
        <f t="shared" si="19"/>
        <v>0</v>
      </c>
      <c r="O116" s="32">
        <f t="shared" si="22"/>
        <v>0</v>
      </c>
      <c r="P116" s="32">
        <f t="shared" si="23"/>
        <v>1</v>
      </c>
      <c r="Q116" s="33"/>
      <c r="R116" s="33"/>
      <c r="S116" s="33"/>
    </row>
    <row r="117" spans="1:19" ht="14.5" hidden="1" customHeight="1">
      <c r="A117">
        <v>114</v>
      </c>
      <c r="B117" s="37">
        <f t="shared" si="18"/>
        <v>1</v>
      </c>
      <c r="C117" s="38">
        <f t="shared" si="13"/>
        <v>1</v>
      </c>
      <c r="D117" s="33"/>
      <c r="E117" s="33"/>
      <c r="F117" s="39">
        <f t="shared" si="14"/>
        <v>1</v>
      </c>
      <c r="G117" s="36">
        <f t="shared" si="15"/>
        <v>1</v>
      </c>
      <c r="H117" s="36">
        <f t="shared" si="16"/>
        <v>0</v>
      </c>
      <c r="I117" s="36"/>
      <c r="J117" s="36">
        <f t="shared" si="17"/>
        <v>0</v>
      </c>
      <c r="K117" s="36">
        <f t="shared" si="20"/>
        <v>0</v>
      </c>
      <c r="L117" s="36">
        <f t="shared" si="21"/>
        <v>1</v>
      </c>
      <c r="M117" s="33"/>
      <c r="N117" s="40">
        <f t="shared" si="19"/>
        <v>0</v>
      </c>
      <c r="O117" s="32">
        <f t="shared" si="22"/>
        <v>0</v>
      </c>
      <c r="P117" s="32">
        <f t="shared" si="23"/>
        <v>1</v>
      </c>
      <c r="Q117" s="33"/>
      <c r="R117" s="33"/>
      <c r="S117" s="33"/>
    </row>
    <row r="118" spans="1:19" ht="14.5" hidden="1" customHeight="1">
      <c r="A118">
        <v>115</v>
      </c>
      <c r="B118" s="37">
        <f t="shared" si="18"/>
        <v>1</v>
      </c>
      <c r="C118" s="38">
        <f t="shared" si="13"/>
        <v>1</v>
      </c>
      <c r="D118" s="33"/>
      <c r="E118" s="33"/>
      <c r="F118" s="39">
        <f t="shared" si="14"/>
        <v>1</v>
      </c>
      <c r="G118" s="36">
        <f t="shared" si="15"/>
        <v>1</v>
      </c>
      <c r="H118" s="36">
        <f t="shared" si="16"/>
        <v>0</v>
      </c>
      <c r="I118" s="36"/>
      <c r="J118" s="36">
        <f t="shared" si="17"/>
        <v>0</v>
      </c>
      <c r="K118" s="36">
        <f t="shared" si="20"/>
        <v>0</v>
      </c>
      <c r="L118" s="36">
        <f t="shared" si="21"/>
        <v>1</v>
      </c>
      <c r="M118" s="33"/>
      <c r="N118" s="40">
        <f t="shared" si="19"/>
        <v>0</v>
      </c>
      <c r="O118" s="32">
        <f t="shared" si="22"/>
        <v>0</v>
      </c>
      <c r="P118" s="32">
        <f t="shared" si="23"/>
        <v>1</v>
      </c>
      <c r="Q118" s="33"/>
      <c r="R118" s="33"/>
      <c r="S118" s="33"/>
    </row>
    <row r="119" spans="1:19" ht="14.5" hidden="1" customHeight="1">
      <c r="A119">
        <v>116</v>
      </c>
      <c r="B119" s="37">
        <f t="shared" si="18"/>
        <v>1</v>
      </c>
      <c r="C119" s="38">
        <f t="shared" si="13"/>
        <v>1</v>
      </c>
      <c r="D119" s="33"/>
      <c r="E119" s="33"/>
      <c r="F119" s="39">
        <f t="shared" si="14"/>
        <v>1</v>
      </c>
      <c r="G119" s="36">
        <f t="shared" si="15"/>
        <v>1</v>
      </c>
      <c r="H119" s="36">
        <f t="shared" si="16"/>
        <v>0</v>
      </c>
      <c r="I119" s="36"/>
      <c r="J119" s="36">
        <f t="shared" si="17"/>
        <v>0</v>
      </c>
      <c r="K119" s="36">
        <f t="shared" si="20"/>
        <v>0</v>
      </c>
      <c r="L119" s="36">
        <f t="shared" si="21"/>
        <v>1</v>
      </c>
      <c r="M119" s="33"/>
      <c r="N119" s="40">
        <f t="shared" si="19"/>
        <v>0</v>
      </c>
      <c r="O119" s="32">
        <f t="shared" si="22"/>
        <v>0</v>
      </c>
      <c r="P119" s="32">
        <f t="shared" si="23"/>
        <v>1</v>
      </c>
      <c r="Q119" s="33"/>
      <c r="R119" s="33"/>
      <c r="S119" s="33"/>
    </row>
    <row r="120" spans="1:19" ht="14.5" hidden="1" customHeight="1">
      <c r="A120">
        <v>117</v>
      </c>
      <c r="B120" s="37">
        <f t="shared" si="18"/>
        <v>1</v>
      </c>
      <c r="C120" s="38">
        <f t="shared" si="13"/>
        <v>1</v>
      </c>
      <c r="D120" s="33"/>
      <c r="E120" s="33"/>
      <c r="F120" s="39">
        <f t="shared" si="14"/>
        <v>1</v>
      </c>
      <c r="G120" s="36">
        <f t="shared" si="15"/>
        <v>1</v>
      </c>
      <c r="H120" s="36">
        <f t="shared" si="16"/>
        <v>0</v>
      </c>
      <c r="I120" s="36"/>
      <c r="J120" s="36">
        <f t="shared" si="17"/>
        <v>0</v>
      </c>
      <c r="K120" s="36">
        <f t="shared" si="20"/>
        <v>0</v>
      </c>
      <c r="L120" s="36">
        <f t="shared" si="21"/>
        <v>1</v>
      </c>
      <c r="M120" s="33"/>
      <c r="N120" s="40">
        <f t="shared" si="19"/>
        <v>0</v>
      </c>
      <c r="O120" s="32">
        <f t="shared" si="22"/>
        <v>0</v>
      </c>
      <c r="P120" s="32">
        <f t="shared" si="23"/>
        <v>1</v>
      </c>
      <c r="Q120" s="33"/>
      <c r="R120" s="33"/>
      <c r="S120" s="33"/>
    </row>
    <row r="121" spans="1:19" ht="14.5" hidden="1" customHeight="1">
      <c r="A121">
        <v>118</v>
      </c>
      <c r="B121" s="37">
        <f t="shared" si="18"/>
        <v>1</v>
      </c>
      <c r="C121" s="38">
        <f t="shared" si="13"/>
        <v>1</v>
      </c>
      <c r="D121" s="33"/>
      <c r="E121" s="33"/>
      <c r="F121" s="39">
        <f t="shared" si="14"/>
        <v>1</v>
      </c>
      <c r="G121" s="36">
        <f t="shared" si="15"/>
        <v>1</v>
      </c>
      <c r="H121" s="36">
        <f t="shared" si="16"/>
        <v>0</v>
      </c>
      <c r="I121" s="36"/>
      <c r="J121" s="36">
        <f t="shared" si="17"/>
        <v>0</v>
      </c>
      <c r="K121" s="36">
        <f t="shared" si="20"/>
        <v>0</v>
      </c>
      <c r="L121" s="36">
        <f t="shared" si="21"/>
        <v>1</v>
      </c>
      <c r="M121" s="33"/>
      <c r="N121" s="40">
        <f t="shared" si="19"/>
        <v>0</v>
      </c>
      <c r="O121" s="32">
        <f t="shared" si="22"/>
        <v>0</v>
      </c>
      <c r="P121" s="32">
        <f t="shared" si="23"/>
        <v>1</v>
      </c>
      <c r="Q121" s="33"/>
      <c r="R121" s="33"/>
      <c r="S121" s="33"/>
    </row>
    <row r="122" spans="1:19" ht="14.5" hidden="1" customHeight="1">
      <c r="A122">
        <v>119</v>
      </c>
      <c r="B122" s="37">
        <f t="shared" si="18"/>
        <v>1</v>
      </c>
      <c r="C122" s="38">
        <f t="shared" si="13"/>
        <v>1</v>
      </c>
      <c r="D122" s="33"/>
      <c r="E122" s="33"/>
      <c r="F122" s="39">
        <f t="shared" si="14"/>
        <v>1</v>
      </c>
      <c r="G122" s="36">
        <f t="shared" si="15"/>
        <v>1</v>
      </c>
      <c r="H122" s="36">
        <f t="shared" si="16"/>
        <v>0</v>
      </c>
      <c r="I122" s="36"/>
      <c r="J122" s="36">
        <f t="shared" si="17"/>
        <v>0</v>
      </c>
      <c r="K122" s="36">
        <f t="shared" si="20"/>
        <v>0</v>
      </c>
      <c r="L122" s="36">
        <f t="shared" si="21"/>
        <v>1</v>
      </c>
      <c r="M122" s="33"/>
      <c r="N122" s="40">
        <f t="shared" si="19"/>
        <v>0</v>
      </c>
      <c r="O122" s="32">
        <f t="shared" si="22"/>
        <v>0</v>
      </c>
      <c r="P122" s="32">
        <f t="shared" si="23"/>
        <v>1</v>
      </c>
      <c r="Q122" s="33"/>
      <c r="R122" s="33"/>
      <c r="S122" s="33"/>
    </row>
    <row r="123" spans="1:19" ht="14.5" hidden="1" customHeight="1">
      <c r="A123">
        <v>120</v>
      </c>
      <c r="B123" s="37">
        <f t="shared" si="18"/>
        <v>1</v>
      </c>
      <c r="C123" s="38">
        <f t="shared" si="13"/>
        <v>1</v>
      </c>
      <c r="D123" s="33"/>
      <c r="E123" s="33"/>
      <c r="F123" s="39">
        <f t="shared" si="14"/>
        <v>1</v>
      </c>
      <c r="G123" s="36">
        <f t="shared" si="15"/>
        <v>1</v>
      </c>
      <c r="H123" s="36">
        <f t="shared" si="16"/>
        <v>0</v>
      </c>
      <c r="I123" s="36"/>
      <c r="J123" s="36">
        <f t="shared" si="17"/>
        <v>0</v>
      </c>
      <c r="K123" s="36">
        <f t="shared" si="20"/>
        <v>0</v>
      </c>
      <c r="L123" s="36">
        <f t="shared" si="21"/>
        <v>1</v>
      </c>
      <c r="M123" s="33"/>
      <c r="N123" s="40">
        <f t="shared" si="19"/>
        <v>0</v>
      </c>
      <c r="O123" s="32">
        <f t="shared" si="22"/>
        <v>0</v>
      </c>
      <c r="P123" s="32">
        <f t="shared" si="23"/>
        <v>1</v>
      </c>
      <c r="Q123" s="33"/>
      <c r="R123" s="33"/>
      <c r="S123" s="33"/>
    </row>
    <row r="124" spans="1:19" ht="14.5" hidden="1" customHeight="1">
      <c r="A124">
        <v>121</v>
      </c>
      <c r="B124" s="37">
        <f t="shared" si="18"/>
        <v>1</v>
      </c>
      <c r="C124" s="38">
        <f t="shared" si="13"/>
        <v>1</v>
      </c>
      <c r="D124" s="33"/>
      <c r="E124" s="33"/>
      <c r="F124" s="39">
        <f t="shared" si="14"/>
        <v>1</v>
      </c>
      <c r="G124" s="36">
        <f t="shared" si="15"/>
        <v>1</v>
      </c>
      <c r="H124" s="36">
        <f t="shared" si="16"/>
        <v>0</v>
      </c>
      <c r="I124" s="36"/>
      <c r="J124" s="36">
        <f t="shared" si="17"/>
        <v>0</v>
      </c>
      <c r="K124" s="36">
        <f t="shared" si="20"/>
        <v>0</v>
      </c>
      <c r="L124" s="36">
        <f t="shared" si="21"/>
        <v>1</v>
      </c>
      <c r="M124" s="33"/>
      <c r="N124" s="40">
        <f t="shared" si="19"/>
        <v>0</v>
      </c>
      <c r="O124" s="32">
        <f t="shared" si="22"/>
        <v>0</v>
      </c>
      <c r="P124" s="32">
        <f t="shared" si="23"/>
        <v>1</v>
      </c>
      <c r="Q124" s="33"/>
      <c r="R124" s="33"/>
      <c r="S124" s="33"/>
    </row>
    <row r="125" spans="1:19" ht="14.5" hidden="1" customHeight="1">
      <c r="A125">
        <v>122</v>
      </c>
      <c r="B125" s="37">
        <f t="shared" si="18"/>
        <v>1</v>
      </c>
      <c r="C125" s="38">
        <f t="shared" si="13"/>
        <v>1</v>
      </c>
      <c r="D125" s="33"/>
      <c r="E125" s="33"/>
      <c r="F125" s="39">
        <f t="shared" si="14"/>
        <v>1</v>
      </c>
      <c r="G125" s="36">
        <f t="shared" si="15"/>
        <v>1</v>
      </c>
      <c r="H125" s="36">
        <f t="shared" si="16"/>
        <v>0</v>
      </c>
      <c r="I125" s="36"/>
      <c r="J125" s="36">
        <f t="shared" si="17"/>
        <v>0</v>
      </c>
      <c r="K125" s="36">
        <f t="shared" si="20"/>
        <v>0</v>
      </c>
      <c r="L125" s="36">
        <f t="shared" si="21"/>
        <v>1</v>
      </c>
      <c r="M125" s="33"/>
      <c r="N125" s="40">
        <f t="shared" si="19"/>
        <v>0</v>
      </c>
      <c r="O125" s="32">
        <f t="shared" si="22"/>
        <v>0</v>
      </c>
      <c r="P125" s="32">
        <f t="shared" si="23"/>
        <v>1</v>
      </c>
      <c r="Q125" s="33"/>
      <c r="R125" s="33"/>
      <c r="S125" s="33"/>
    </row>
    <row r="126" spans="1:19" ht="14.5" hidden="1" customHeight="1">
      <c r="A126">
        <v>123</v>
      </c>
      <c r="B126" s="37">
        <f t="shared" si="18"/>
        <v>1</v>
      </c>
      <c r="C126" s="38">
        <f t="shared" si="13"/>
        <v>1</v>
      </c>
      <c r="D126" s="33"/>
      <c r="E126" s="33"/>
      <c r="F126" s="39">
        <f t="shared" si="14"/>
        <v>1</v>
      </c>
      <c r="G126" s="36">
        <f t="shared" si="15"/>
        <v>1</v>
      </c>
      <c r="H126" s="36">
        <f t="shared" si="16"/>
        <v>0</v>
      </c>
      <c r="I126" s="36"/>
      <c r="J126" s="36">
        <f t="shared" si="17"/>
        <v>0</v>
      </c>
      <c r="K126" s="36">
        <f t="shared" si="20"/>
        <v>0</v>
      </c>
      <c r="L126" s="36">
        <f t="shared" si="21"/>
        <v>1</v>
      </c>
      <c r="M126" s="33"/>
      <c r="N126" s="40">
        <f t="shared" si="19"/>
        <v>0</v>
      </c>
      <c r="O126" s="32">
        <f t="shared" si="22"/>
        <v>0</v>
      </c>
      <c r="P126" s="32">
        <f t="shared" si="23"/>
        <v>1</v>
      </c>
      <c r="Q126" s="33"/>
      <c r="R126" s="33"/>
      <c r="S126" s="33"/>
    </row>
    <row r="127" spans="1:19" ht="14.5" hidden="1" customHeight="1">
      <c r="A127">
        <v>124</v>
      </c>
      <c r="B127" s="37">
        <f t="shared" si="18"/>
        <v>1</v>
      </c>
      <c r="C127" s="38">
        <f t="shared" si="13"/>
        <v>1</v>
      </c>
      <c r="D127" s="33"/>
      <c r="E127" s="33"/>
      <c r="F127" s="39">
        <f t="shared" si="14"/>
        <v>1</v>
      </c>
      <c r="G127" s="36">
        <f t="shared" si="15"/>
        <v>1</v>
      </c>
      <c r="H127" s="36">
        <f t="shared" si="16"/>
        <v>0</v>
      </c>
      <c r="I127" s="36"/>
      <c r="J127" s="36">
        <f t="shared" si="17"/>
        <v>0</v>
      </c>
      <c r="K127" s="36">
        <f t="shared" si="20"/>
        <v>0</v>
      </c>
      <c r="L127" s="36">
        <f t="shared" si="21"/>
        <v>1</v>
      </c>
      <c r="M127" s="33"/>
      <c r="N127" s="40">
        <f t="shared" si="19"/>
        <v>0</v>
      </c>
      <c r="O127" s="32">
        <f t="shared" si="22"/>
        <v>0</v>
      </c>
      <c r="P127" s="32">
        <f t="shared" si="23"/>
        <v>1</v>
      </c>
      <c r="Q127" s="33"/>
      <c r="R127" s="33"/>
      <c r="S127" s="33"/>
    </row>
    <row r="128" spans="1:19" ht="14.5" hidden="1" customHeight="1">
      <c r="A128">
        <v>125</v>
      </c>
      <c r="B128" s="37">
        <f t="shared" si="18"/>
        <v>1</v>
      </c>
      <c r="C128" s="38">
        <f t="shared" si="13"/>
        <v>1</v>
      </c>
      <c r="D128" s="33"/>
      <c r="E128" s="33"/>
      <c r="F128" s="39">
        <f t="shared" si="14"/>
        <v>1</v>
      </c>
      <c r="G128" s="36">
        <f t="shared" si="15"/>
        <v>1</v>
      </c>
      <c r="H128" s="36">
        <f t="shared" si="16"/>
        <v>0</v>
      </c>
      <c r="I128" s="36"/>
      <c r="J128" s="36">
        <f t="shared" si="17"/>
        <v>0</v>
      </c>
      <c r="K128" s="36">
        <f t="shared" si="20"/>
        <v>0</v>
      </c>
      <c r="L128" s="36">
        <f t="shared" si="21"/>
        <v>1</v>
      </c>
      <c r="M128" s="33"/>
      <c r="N128" s="40">
        <f t="shared" si="19"/>
        <v>0</v>
      </c>
      <c r="O128" s="32">
        <f t="shared" si="22"/>
        <v>0</v>
      </c>
      <c r="P128" s="32">
        <f t="shared" si="23"/>
        <v>1</v>
      </c>
      <c r="Q128" s="33"/>
      <c r="R128" s="33"/>
      <c r="S128" s="33"/>
    </row>
    <row r="129" spans="1:19" ht="14.5" hidden="1" customHeight="1">
      <c r="A129">
        <v>126</v>
      </c>
      <c r="B129" s="37">
        <f t="shared" si="18"/>
        <v>1</v>
      </c>
      <c r="C129" s="38">
        <f t="shared" si="13"/>
        <v>1</v>
      </c>
      <c r="D129" s="33"/>
      <c r="E129" s="33"/>
      <c r="F129" s="39">
        <f t="shared" si="14"/>
        <v>1</v>
      </c>
      <c r="G129" s="36">
        <f t="shared" si="15"/>
        <v>1</v>
      </c>
      <c r="H129" s="36">
        <f t="shared" si="16"/>
        <v>0</v>
      </c>
      <c r="I129" s="36"/>
      <c r="J129" s="36">
        <f t="shared" si="17"/>
        <v>0</v>
      </c>
      <c r="K129" s="36">
        <f t="shared" si="20"/>
        <v>0</v>
      </c>
      <c r="L129" s="36">
        <f t="shared" si="21"/>
        <v>1</v>
      </c>
      <c r="M129" s="33"/>
      <c r="N129" s="40">
        <f t="shared" si="19"/>
        <v>0</v>
      </c>
      <c r="O129" s="32">
        <f t="shared" si="22"/>
        <v>0</v>
      </c>
      <c r="P129" s="32">
        <f t="shared" si="23"/>
        <v>1</v>
      </c>
      <c r="Q129" s="33"/>
      <c r="R129" s="33"/>
      <c r="S129" s="33"/>
    </row>
    <row r="130" spans="1:19" ht="14.5" hidden="1" customHeight="1">
      <c r="A130">
        <v>127</v>
      </c>
      <c r="B130" s="37">
        <f t="shared" si="18"/>
        <v>1</v>
      </c>
      <c r="C130" s="38">
        <f t="shared" si="13"/>
        <v>1</v>
      </c>
      <c r="D130" s="33"/>
      <c r="E130" s="33"/>
      <c r="F130" s="39">
        <f t="shared" si="14"/>
        <v>1</v>
      </c>
      <c r="G130" s="36">
        <f t="shared" si="15"/>
        <v>1</v>
      </c>
      <c r="H130" s="36">
        <f t="shared" si="16"/>
        <v>0</v>
      </c>
      <c r="I130" s="36"/>
      <c r="J130" s="36">
        <f t="shared" si="17"/>
        <v>0</v>
      </c>
      <c r="K130" s="36">
        <f t="shared" si="20"/>
        <v>0</v>
      </c>
      <c r="L130" s="36">
        <f t="shared" si="21"/>
        <v>1</v>
      </c>
      <c r="M130" s="33"/>
      <c r="N130" s="40">
        <f t="shared" si="19"/>
        <v>0</v>
      </c>
      <c r="O130" s="32">
        <f t="shared" si="22"/>
        <v>0</v>
      </c>
      <c r="P130" s="32">
        <f t="shared" si="23"/>
        <v>1</v>
      </c>
      <c r="Q130" s="33"/>
      <c r="R130" s="33"/>
      <c r="S130" s="33"/>
    </row>
    <row r="131" spans="1:19" ht="14.5" hidden="1" customHeight="1">
      <c r="A131">
        <v>128</v>
      </c>
      <c r="B131" s="37">
        <f t="shared" si="18"/>
        <v>1</v>
      </c>
      <c r="C131" s="38">
        <f t="shared" si="13"/>
        <v>1</v>
      </c>
      <c r="D131" s="33"/>
      <c r="E131" s="33"/>
      <c r="F131" s="39">
        <f t="shared" si="14"/>
        <v>1</v>
      </c>
      <c r="G131" s="36">
        <f t="shared" si="15"/>
        <v>1</v>
      </c>
      <c r="H131" s="36">
        <f t="shared" si="16"/>
        <v>0</v>
      </c>
      <c r="I131" s="36"/>
      <c r="J131" s="36">
        <f t="shared" si="17"/>
        <v>0</v>
      </c>
      <c r="K131" s="36">
        <f t="shared" si="20"/>
        <v>0</v>
      </c>
      <c r="L131" s="36">
        <f t="shared" si="21"/>
        <v>1</v>
      </c>
      <c r="M131" s="33"/>
      <c r="N131" s="40">
        <f t="shared" si="19"/>
        <v>0</v>
      </c>
      <c r="O131" s="32">
        <f t="shared" si="22"/>
        <v>0</v>
      </c>
      <c r="P131" s="32">
        <f t="shared" si="23"/>
        <v>1</v>
      </c>
      <c r="Q131" s="33"/>
      <c r="R131" s="33"/>
      <c r="S131" s="33"/>
    </row>
    <row r="132" spans="1:19" ht="14.5" hidden="1" customHeight="1">
      <c r="A132">
        <v>129</v>
      </c>
      <c r="B132" s="37">
        <f t="shared" si="18"/>
        <v>1</v>
      </c>
      <c r="C132" s="38">
        <f t="shared" ref="C132:C195" si="24">IF((EXP(A132)/1000)&gt;1,1,EXP(A132)/1000)</f>
        <v>1</v>
      </c>
      <c r="D132" s="33"/>
      <c r="E132" s="33"/>
      <c r="F132" s="39">
        <f t="shared" ref="F132:F195" si="25">1-(1-B132)^(1/12)</f>
        <v>1</v>
      </c>
      <c r="G132" s="36">
        <f t="shared" ref="G132:G195" si="26">1-(1-C132)^(1/12)</f>
        <v>1</v>
      </c>
      <c r="H132" s="36">
        <f t="shared" ref="H132:H195" si="27">1-(1-D132)^(1/12)</f>
        <v>0</v>
      </c>
      <c r="I132" s="36"/>
      <c r="J132" s="36">
        <f t="shared" ref="J132:J195" si="28">1-F132</f>
        <v>0</v>
      </c>
      <c r="K132" s="36">
        <f t="shared" si="20"/>
        <v>0</v>
      </c>
      <c r="L132" s="36">
        <f t="shared" si="21"/>
        <v>1</v>
      </c>
      <c r="M132" s="33"/>
      <c r="N132" s="40">
        <f t="shared" si="19"/>
        <v>0</v>
      </c>
      <c r="O132" s="32">
        <f t="shared" si="22"/>
        <v>0</v>
      </c>
      <c r="P132" s="32">
        <f t="shared" si="23"/>
        <v>1</v>
      </c>
      <c r="Q132" s="33"/>
      <c r="R132" s="33"/>
      <c r="S132" s="33"/>
    </row>
    <row r="133" spans="1:19" ht="14.5" hidden="1" customHeight="1">
      <c r="A133">
        <v>130</v>
      </c>
      <c r="B133" s="37">
        <f t="shared" ref="B133:B196" si="29">1/(1+EXP(-A133))</f>
        <v>1</v>
      </c>
      <c r="C133" s="38">
        <f t="shared" si="24"/>
        <v>1</v>
      </c>
      <c r="D133" s="33"/>
      <c r="E133" s="33"/>
      <c r="F133" s="39">
        <f t="shared" si="25"/>
        <v>1</v>
      </c>
      <c r="G133" s="36">
        <f t="shared" si="26"/>
        <v>1</v>
      </c>
      <c r="H133" s="36">
        <f t="shared" si="27"/>
        <v>0</v>
      </c>
      <c r="I133" s="36"/>
      <c r="J133" s="36">
        <f t="shared" si="28"/>
        <v>0</v>
      </c>
      <c r="K133" s="36">
        <f t="shared" si="20"/>
        <v>0</v>
      </c>
      <c r="L133" s="36">
        <f t="shared" si="21"/>
        <v>1</v>
      </c>
      <c r="M133" s="33"/>
      <c r="N133" s="40">
        <f t="shared" ref="N133:N196" si="30">J133*J132</f>
        <v>0</v>
      </c>
      <c r="O133" s="32">
        <f t="shared" si="22"/>
        <v>0</v>
      </c>
      <c r="P133" s="32">
        <f t="shared" si="23"/>
        <v>1</v>
      </c>
      <c r="Q133" s="33"/>
      <c r="R133" s="33"/>
      <c r="S133" s="33"/>
    </row>
    <row r="134" spans="1:19" ht="14.5" hidden="1" customHeight="1">
      <c r="A134">
        <v>131</v>
      </c>
      <c r="B134" s="37">
        <f t="shared" si="29"/>
        <v>1</v>
      </c>
      <c r="C134" s="38">
        <f t="shared" si="24"/>
        <v>1</v>
      </c>
      <c r="D134" s="33"/>
      <c r="E134" s="33"/>
      <c r="F134" s="39">
        <f t="shared" si="25"/>
        <v>1</v>
      </c>
      <c r="G134" s="36">
        <f t="shared" si="26"/>
        <v>1</v>
      </c>
      <c r="H134" s="36">
        <f t="shared" si="27"/>
        <v>0</v>
      </c>
      <c r="I134" s="36"/>
      <c r="J134" s="36">
        <f t="shared" si="28"/>
        <v>0</v>
      </c>
      <c r="K134" s="36">
        <f t="shared" si="20"/>
        <v>0</v>
      </c>
      <c r="L134" s="36">
        <f t="shared" si="21"/>
        <v>1</v>
      </c>
      <c r="M134" s="33"/>
      <c r="N134" s="40">
        <f t="shared" si="30"/>
        <v>0</v>
      </c>
      <c r="O134" s="32">
        <f t="shared" si="22"/>
        <v>0</v>
      </c>
      <c r="P134" s="32">
        <f t="shared" si="23"/>
        <v>1</v>
      </c>
      <c r="Q134" s="33"/>
      <c r="R134" s="33"/>
      <c r="S134" s="33"/>
    </row>
    <row r="135" spans="1:19" ht="14.5" hidden="1" customHeight="1">
      <c r="A135">
        <v>132</v>
      </c>
      <c r="B135" s="37">
        <f t="shared" si="29"/>
        <v>1</v>
      </c>
      <c r="C135" s="38">
        <f t="shared" si="24"/>
        <v>1</v>
      </c>
      <c r="D135" s="33"/>
      <c r="E135" s="33"/>
      <c r="F135" s="39">
        <f t="shared" si="25"/>
        <v>1</v>
      </c>
      <c r="G135" s="36">
        <f t="shared" si="26"/>
        <v>1</v>
      </c>
      <c r="H135" s="36">
        <f t="shared" si="27"/>
        <v>0</v>
      </c>
      <c r="I135" s="36"/>
      <c r="J135" s="36">
        <f t="shared" si="28"/>
        <v>0</v>
      </c>
      <c r="K135" s="36">
        <f t="shared" si="20"/>
        <v>0</v>
      </c>
      <c r="L135" s="36">
        <f t="shared" si="21"/>
        <v>1</v>
      </c>
      <c r="M135" s="33"/>
      <c r="N135" s="40">
        <f t="shared" si="30"/>
        <v>0</v>
      </c>
      <c r="O135" s="32">
        <f t="shared" si="22"/>
        <v>0</v>
      </c>
      <c r="P135" s="32">
        <f t="shared" si="23"/>
        <v>1</v>
      </c>
      <c r="Q135" s="33"/>
      <c r="R135" s="33"/>
      <c r="S135" s="33"/>
    </row>
    <row r="136" spans="1:19" ht="14.5" hidden="1" customHeight="1">
      <c r="A136">
        <v>133</v>
      </c>
      <c r="B136" s="37">
        <f t="shared" si="29"/>
        <v>1</v>
      </c>
      <c r="C136" s="38">
        <f t="shared" si="24"/>
        <v>1</v>
      </c>
      <c r="D136" s="33"/>
      <c r="E136" s="33"/>
      <c r="F136" s="39">
        <f t="shared" si="25"/>
        <v>1</v>
      </c>
      <c r="G136" s="36">
        <f t="shared" si="26"/>
        <v>1</v>
      </c>
      <c r="H136" s="36">
        <f t="shared" si="27"/>
        <v>0</v>
      </c>
      <c r="I136" s="36"/>
      <c r="J136" s="36">
        <f t="shared" si="28"/>
        <v>0</v>
      </c>
      <c r="K136" s="36">
        <f t="shared" si="20"/>
        <v>0</v>
      </c>
      <c r="L136" s="36">
        <f t="shared" si="21"/>
        <v>1</v>
      </c>
      <c r="M136" s="33"/>
      <c r="N136" s="40">
        <f t="shared" si="30"/>
        <v>0</v>
      </c>
      <c r="O136" s="32">
        <f t="shared" si="22"/>
        <v>0</v>
      </c>
      <c r="P136" s="32">
        <f t="shared" si="23"/>
        <v>1</v>
      </c>
      <c r="Q136" s="33"/>
      <c r="R136" s="33"/>
      <c r="S136" s="33"/>
    </row>
    <row r="137" spans="1:19" ht="14.5" hidden="1" customHeight="1">
      <c r="A137">
        <v>134</v>
      </c>
      <c r="B137" s="37">
        <f t="shared" si="29"/>
        <v>1</v>
      </c>
      <c r="C137" s="38">
        <f t="shared" si="24"/>
        <v>1</v>
      </c>
      <c r="D137" s="33"/>
      <c r="E137" s="33"/>
      <c r="F137" s="39">
        <f t="shared" si="25"/>
        <v>1</v>
      </c>
      <c r="G137" s="36">
        <f t="shared" si="26"/>
        <v>1</v>
      </c>
      <c r="H137" s="36">
        <f t="shared" si="27"/>
        <v>0</v>
      </c>
      <c r="I137" s="36"/>
      <c r="J137" s="36">
        <f t="shared" si="28"/>
        <v>0</v>
      </c>
      <c r="K137" s="36">
        <f t="shared" si="20"/>
        <v>0</v>
      </c>
      <c r="L137" s="36">
        <f t="shared" si="21"/>
        <v>1</v>
      </c>
      <c r="M137" s="33"/>
      <c r="N137" s="40">
        <f t="shared" si="30"/>
        <v>0</v>
      </c>
      <c r="O137" s="32">
        <f t="shared" si="22"/>
        <v>0</v>
      </c>
      <c r="P137" s="32">
        <f t="shared" si="23"/>
        <v>1</v>
      </c>
      <c r="Q137" s="33"/>
      <c r="R137" s="33"/>
      <c r="S137" s="33"/>
    </row>
    <row r="138" spans="1:19" ht="14.5" hidden="1" customHeight="1">
      <c r="A138">
        <v>135</v>
      </c>
      <c r="B138" s="37">
        <f t="shared" si="29"/>
        <v>1</v>
      </c>
      <c r="C138" s="38">
        <f t="shared" si="24"/>
        <v>1</v>
      </c>
      <c r="D138" s="33"/>
      <c r="E138" s="33"/>
      <c r="F138" s="39">
        <f t="shared" si="25"/>
        <v>1</v>
      </c>
      <c r="G138" s="36">
        <f t="shared" si="26"/>
        <v>1</v>
      </c>
      <c r="H138" s="36">
        <f t="shared" si="27"/>
        <v>0</v>
      </c>
      <c r="I138" s="36"/>
      <c r="J138" s="36">
        <f t="shared" si="28"/>
        <v>0</v>
      </c>
      <c r="K138" s="36">
        <f t="shared" si="20"/>
        <v>0</v>
      </c>
      <c r="L138" s="36">
        <f t="shared" si="21"/>
        <v>1</v>
      </c>
      <c r="M138" s="33"/>
      <c r="N138" s="40">
        <f t="shared" si="30"/>
        <v>0</v>
      </c>
      <c r="O138" s="32">
        <f t="shared" si="22"/>
        <v>0</v>
      </c>
      <c r="P138" s="32">
        <f t="shared" si="23"/>
        <v>1</v>
      </c>
      <c r="Q138" s="33"/>
      <c r="R138" s="33"/>
      <c r="S138" s="33"/>
    </row>
    <row r="139" spans="1:19" ht="14.5" hidden="1" customHeight="1">
      <c r="A139">
        <v>136</v>
      </c>
      <c r="B139" s="37">
        <f t="shared" si="29"/>
        <v>1</v>
      </c>
      <c r="C139" s="38">
        <f t="shared" si="24"/>
        <v>1</v>
      </c>
      <c r="D139" s="33"/>
      <c r="E139" s="33"/>
      <c r="F139" s="39">
        <f t="shared" si="25"/>
        <v>1</v>
      </c>
      <c r="G139" s="36">
        <f t="shared" si="26"/>
        <v>1</v>
      </c>
      <c r="H139" s="36">
        <f t="shared" si="27"/>
        <v>0</v>
      </c>
      <c r="I139" s="36"/>
      <c r="J139" s="36">
        <f t="shared" si="28"/>
        <v>0</v>
      </c>
      <c r="K139" s="36">
        <f t="shared" si="20"/>
        <v>0</v>
      </c>
      <c r="L139" s="36">
        <f t="shared" si="21"/>
        <v>1</v>
      </c>
      <c r="M139" s="33"/>
      <c r="N139" s="40">
        <f t="shared" si="30"/>
        <v>0</v>
      </c>
      <c r="O139" s="32">
        <f t="shared" si="22"/>
        <v>0</v>
      </c>
      <c r="P139" s="32">
        <f t="shared" si="23"/>
        <v>1</v>
      </c>
      <c r="Q139" s="33"/>
      <c r="R139" s="33"/>
      <c r="S139" s="33"/>
    </row>
    <row r="140" spans="1:19" ht="14.5" hidden="1" customHeight="1">
      <c r="A140">
        <v>137</v>
      </c>
      <c r="B140" s="37">
        <f t="shared" si="29"/>
        <v>1</v>
      </c>
      <c r="C140" s="38">
        <f t="shared" si="24"/>
        <v>1</v>
      </c>
      <c r="D140" s="33"/>
      <c r="E140" s="33"/>
      <c r="F140" s="39">
        <f t="shared" si="25"/>
        <v>1</v>
      </c>
      <c r="G140" s="36">
        <f t="shared" si="26"/>
        <v>1</v>
      </c>
      <c r="H140" s="36">
        <f t="shared" si="27"/>
        <v>0</v>
      </c>
      <c r="I140" s="36"/>
      <c r="J140" s="36">
        <f t="shared" si="28"/>
        <v>0</v>
      </c>
      <c r="K140" s="36">
        <f t="shared" si="20"/>
        <v>0</v>
      </c>
      <c r="L140" s="36">
        <f t="shared" si="21"/>
        <v>1</v>
      </c>
      <c r="M140" s="33"/>
      <c r="N140" s="40">
        <f t="shared" si="30"/>
        <v>0</v>
      </c>
      <c r="O140" s="32">
        <f t="shared" si="22"/>
        <v>0</v>
      </c>
      <c r="P140" s="32">
        <f t="shared" si="23"/>
        <v>1</v>
      </c>
      <c r="Q140" s="33"/>
      <c r="R140" s="33"/>
      <c r="S140" s="33"/>
    </row>
    <row r="141" spans="1:19" ht="14.5" hidden="1" customHeight="1">
      <c r="A141">
        <v>138</v>
      </c>
      <c r="B141" s="37">
        <f t="shared" si="29"/>
        <v>1</v>
      </c>
      <c r="C141" s="38">
        <f t="shared" si="24"/>
        <v>1</v>
      </c>
      <c r="D141" s="33"/>
      <c r="E141" s="33"/>
      <c r="F141" s="39">
        <f t="shared" si="25"/>
        <v>1</v>
      </c>
      <c r="G141" s="36">
        <f t="shared" si="26"/>
        <v>1</v>
      </c>
      <c r="H141" s="36">
        <f t="shared" si="27"/>
        <v>0</v>
      </c>
      <c r="I141" s="36"/>
      <c r="J141" s="36">
        <f t="shared" si="28"/>
        <v>0</v>
      </c>
      <c r="K141" s="36">
        <f t="shared" si="20"/>
        <v>0</v>
      </c>
      <c r="L141" s="36">
        <f t="shared" si="21"/>
        <v>1</v>
      </c>
      <c r="M141" s="33"/>
      <c r="N141" s="40">
        <f t="shared" si="30"/>
        <v>0</v>
      </c>
      <c r="O141" s="32">
        <f t="shared" si="22"/>
        <v>0</v>
      </c>
      <c r="P141" s="32">
        <f t="shared" si="23"/>
        <v>1</v>
      </c>
      <c r="Q141" s="33"/>
      <c r="R141" s="33"/>
      <c r="S141" s="33"/>
    </row>
    <row r="142" spans="1:19" ht="14.5" hidden="1" customHeight="1">
      <c r="A142">
        <v>139</v>
      </c>
      <c r="B142" s="37">
        <f t="shared" si="29"/>
        <v>1</v>
      </c>
      <c r="C142" s="38">
        <f t="shared" si="24"/>
        <v>1</v>
      </c>
      <c r="D142" s="33"/>
      <c r="E142" s="33"/>
      <c r="F142" s="39">
        <f t="shared" si="25"/>
        <v>1</v>
      </c>
      <c r="G142" s="36">
        <f t="shared" si="26"/>
        <v>1</v>
      </c>
      <c r="H142" s="36">
        <f t="shared" si="27"/>
        <v>0</v>
      </c>
      <c r="I142" s="36"/>
      <c r="J142" s="36">
        <f t="shared" si="28"/>
        <v>0</v>
      </c>
      <c r="K142" s="36">
        <f t="shared" si="20"/>
        <v>0</v>
      </c>
      <c r="L142" s="36">
        <f t="shared" si="21"/>
        <v>1</v>
      </c>
      <c r="M142" s="33"/>
      <c r="N142" s="40">
        <f t="shared" si="30"/>
        <v>0</v>
      </c>
      <c r="O142" s="32">
        <f t="shared" si="22"/>
        <v>0</v>
      </c>
      <c r="P142" s="32">
        <f t="shared" si="23"/>
        <v>1</v>
      </c>
      <c r="Q142" s="33"/>
      <c r="R142" s="33"/>
      <c r="S142" s="33"/>
    </row>
    <row r="143" spans="1:19" ht="14.5" hidden="1" customHeight="1">
      <c r="A143">
        <v>140</v>
      </c>
      <c r="B143" s="37">
        <f t="shared" si="29"/>
        <v>1</v>
      </c>
      <c r="C143" s="38">
        <f t="shared" si="24"/>
        <v>1</v>
      </c>
      <c r="D143" s="33"/>
      <c r="E143" s="33"/>
      <c r="F143" s="39">
        <f t="shared" si="25"/>
        <v>1</v>
      </c>
      <c r="G143" s="36">
        <f t="shared" si="26"/>
        <v>1</v>
      </c>
      <c r="H143" s="36">
        <f t="shared" si="27"/>
        <v>0</v>
      </c>
      <c r="I143" s="36"/>
      <c r="J143" s="36">
        <f t="shared" si="28"/>
        <v>0</v>
      </c>
      <c r="K143" s="36">
        <f t="shared" si="20"/>
        <v>0</v>
      </c>
      <c r="L143" s="36">
        <f t="shared" si="21"/>
        <v>1</v>
      </c>
      <c r="M143" s="33"/>
      <c r="N143" s="40">
        <f t="shared" si="30"/>
        <v>0</v>
      </c>
      <c r="O143" s="32">
        <f t="shared" si="22"/>
        <v>0</v>
      </c>
      <c r="P143" s="32">
        <f t="shared" si="23"/>
        <v>1</v>
      </c>
      <c r="Q143" s="33"/>
      <c r="R143" s="33"/>
      <c r="S143" s="33"/>
    </row>
    <row r="144" spans="1:19" ht="14.5" hidden="1" customHeight="1">
      <c r="A144">
        <v>141</v>
      </c>
      <c r="B144" s="37">
        <f t="shared" si="29"/>
        <v>1</v>
      </c>
      <c r="C144" s="38">
        <f t="shared" si="24"/>
        <v>1</v>
      </c>
      <c r="D144" s="33"/>
      <c r="E144" s="33"/>
      <c r="F144" s="39">
        <f t="shared" si="25"/>
        <v>1</v>
      </c>
      <c r="G144" s="36">
        <f t="shared" si="26"/>
        <v>1</v>
      </c>
      <c r="H144" s="36">
        <f t="shared" si="27"/>
        <v>0</v>
      </c>
      <c r="I144" s="36"/>
      <c r="J144" s="36">
        <f t="shared" si="28"/>
        <v>0</v>
      </c>
      <c r="K144" s="36">
        <f t="shared" si="20"/>
        <v>0</v>
      </c>
      <c r="L144" s="36">
        <f t="shared" si="21"/>
        <v>1</v>
      </c>
      <c r="M144" s="33"/>
      <c r="N144" s="40">
        <f t="shared" si="30"/>
        <v>0</v>
      </c>
      <c r="O144" s="32">
        <f t="shared" si="22"/>
        <v>0</v>
      </c>
      <c r="P144" s="32">
        <f t="shared" si="23"/>
        <v>1</v>
      </c>
      <c r="Q144" s="33"/>
      <c r="R144" s="33"/>
      <c r="S144" s="33"/>
    </row>
    <row r="145" spans="1:19" ht="14.5" hidden="1" customHeight="1">
      <c r="A145">
        <v>142</v>
      </c>
      <c r="B145" s="37">
        <f t="shared" si="29"/>
        <v>1</v>
      </c>
      <c r="C145" s="38">
        <f t="shared" si="24"/>
        <v>1</v>
      </c>
      <c r="D145" s="33"/>
      <c r="E145" s="33"/>
      <c r="F145" s="39">
        <f t="shared" si="25"/>
        <v>1</v>
      </c>
      <c r="G145" s="36">
        <f t="shared" si="26"/>
        <v>1</v>
      </c>
      <c r="H145" s="36">
        <f t="shared" si="27"/>
        <v>0</v>
      </c>
      <c r="I145" s="36"/>
      <c r="J145" s="36">
        <f t="shared" si="28"/>
        <v>0</v>
      </c>
      <c r="K145" s="36">
        <f t="shared" si="20"/>
        <v>0</v>
      </c>
      <c r="L145" s="36">
        <f t="shared" si="21"/>
        <v>1</v>
      </c>
      <c r="M145" s="33"/>
      <c r="N145" s="40">
        <f t="shared" si="30"/>
        <v>0</v>
      </c>
      <c r="O145" s="32">
        <f t="shared" si="22"/>
        <v>0</v>
      </c>
      <c r="P145" s="32">
        <f t="shared" si="23"/>
        <v>1</v>
      </c>
      <c r="Q145" s="33"/>
      <c r="R145" s="33"/>
      <c r="S145" s="33"/>
    </row>
    <row r="146" spans="1:19" ht="14.5" hidden="1" customHeight="1">
      <c r="A146">
        <v>143</v>
      </c>
      <c r="B146" s="37">
        <f t="shared" si="29"/>
        <v>1</v>
      </c>
      <c r="C146" s="38">
        <f t="shared" si="24"/>
        <v>1</v>
      </c>
      <c r="D146" s="33"/>
      <c r="E146" s="33"/>
      <c r="F146" s="39">
        <f t="shared" si="25"/>
        <v>1</v>
      </c>
      <c r="G146" s="36">
        <f t="shared" si="26"/>
        <v>1</v>
      </c>
      <c r="H146" s="36">
        <f t="shared" si="27"/>
        <v>0</v>
      </c>
      <c r="I146" s="36"/>
      <c r="J146" s="36">
        <f t="shared" si="28"/>
        <v>0</v>
      </c>
      <c r="K146" s="36">
        <f t="shared" si="20"/>
        <v>0</v>
      </c>
      <c r="L146" s="36">
        <f t="shared" si="21"/>
        <v>1</v>
      </c>
      <c r="M146" s="33"/>
      <c r="N146" s="40">
        <f t="shared" si="30"/>
        <v>0</v>
      </c>
      <c r="O146" s="32">
        <f t="shared" si="22"/>
        <v>0</v>
      </c>
      <c r="P146" s="32">
        <f t="shared" si="23"/>
        <v>1</v>
      </c>
      <c r="Q146" s="33"/>
      <c r="R146" s="33"/>
      <c r="S146" s="33"/>
    </row>
    <row r="147" spans="1:19" ht="14.5" hidden="1" customHeight="1">
      <c r="A147">
        <v>144</v>
      </c>
      <c r="B147" s="37">
        <f t="shared" si="29"/>
        <v>1</v>
      </c>
      <c r="C147" s="38">
        <f t="shared" si="24"/>
        <v>1</v>
      </c>
      <c r="D147" s="33"/>
      <c r="E147" s="33"/>
      <c r="F147" s="39">
        <f t="shared" si="25"/>
        <v>1</v>
      </c>
      <c r="G147" s="36">
        <f t="shared" si="26"/>
        <v>1</v>
      </c>
      <c r="H147" s="36">
        <f t="shared" si="27"/>
        <v>0</v>
      </c>
      <c r="I147" s="36"/>
      <c r="J147" s="36">
        <f t="shared" si="28"/>
        <v>0</v>
      </c>
      <c r="K147" s="36">
        <f t="shared" ref="K147:K210" si="31">1-G147</f>
        <v>0</v>
      </c>
      <c r="L147" s="36">
        <f t="shared" ref="L147:L210" si="32">1-H147</f>
        <v>1</v>
      </c>
      <c r="M147" s="33"/>
      <c r="N147" s="40">
        <f t="shared" si="30"/>
        <v>0</v>
      </c>
      <c r="O147" s="32">
        <f t="shared" si="22"/>
        <v>0</v>
      </c>
      <c r="P147" s="32">
        <f t="shared" si="23"/>
        <v>1</v>
      </c>
      <c r="Q147" s="33"/>
      <c r="R147" s="33"/>
      <c r="S147" s="33"/>
    </row>
    <row r="148" spans="1:19" ht="14.5" hidden="1" customHeight="1">
      <c r="A148">
        <v>145</v>
      </c>
      <c r="B148" s="37">
        <f t="shared" si="29"/>
        <v>1</v>
      </c>
      <c r="C148" s="38">
        <f t="shared" si="24"/>
        <v>1</v>
      </c>
      <c r="D148" s="33"/>
      <c r="E148" s="33"/>
      <c r="F148" s="39">
        <f t="shared" si="25"/>
        <v>1</v>
      </c>
      <c r="G148" s="36">
        <f t="shared" si="26"/>
        <v>1</v>
      </c>
      <c r="H148" s="36">
        <f t="shared" si="27"/>
        <v>0</v>
      </c>
      <c r="I148" s="36"/>
      <c r="J148" s="36">
        <f t="shared" si="28"/>
        <v>0</v>
      </c>
      <c r="K148" s="36">
        <f t="shared" si="31"/>
        <v>0</v>
      </c>
      <c r="L148" s="36">
        <f t="shared" si="32"/>
        <v>1</v>
      </c>
      <c r="M148" s="33"/>
      <c r="N148" s="40">
        <f t="shared" si="30"/>
        <v>0</v>
      </c>
      <c r="O148" s="32">
        <f t="shared" ref="O148:O211" si="33">K148*K147</f>
        <v>0</v>
      </c>
      <c r="P148" s="32">
        <f t="shared" ref="P148:P211" si="34">L148*L147</f>
        <v>1</v>
      </c>
      <c r="Q148" s="33"/>
      <c r="R148" s="33"/>
      <c r="S148" s="33"/>
    </row>
    <row r="149" spans="1:19" ht="14.5" hidden="1" customHeight="1">
      <c r="A149">
        <v>146</v>
      </c>
      <c r="B149" s="37">
        <f t="shared" si="29"/>
        <v>1</v>
      </c>
      <c r="C149" s="38">
        <f t="shared" si="24"/>
        <v>1</v>
      </c>
      <c r="D149" s="33"/>
      <c r="E149" s="33"/>
      <c r="F149" s="39">
        <f t="shared" si="25"/>
        <v>1</v>
      </c>
      <c r="G149" s="36">
        <f t="shared" si="26"/>
        <v>1</v>
      </c>
      <c r="H149" s="36">
        <f t="shared" si="27"/>
        <v>0</v>
      </c>
      <c r="I149" s="36"/>
      <c r="J149" s="36">
        <f t="shared" si="28"/>
        <v>0</v>
      </c>
      <c r="K149" s="36">
        <f t="shared" si="31"/>
        <v>0</v>
      </c>
      <c r="L149" s="36">
        <f t="shared" si="32"/>
        <v>1</v>
      </c>
      <c r="M149" s="33"/>
      <c r="N149" s="40">
        <f t="shared" si="30"/>
        <v>0</v>
      </c>
      <c r="O149" s="32">
        <f t="shared" si="33"/>
        <v>0</v>
      </c>
      <c r="P149" s="32">
        <f t="shared" si="34"/>
        <v>1</v>
      </c>
      <c r="Q149" s="33"/>
      <c r="R149" s="33"/>
      <c r="S149" s="33"/>
    </row>
    <row r="150" spans="1:19" ht="14.5" hidden="1" customHeight="1">
      <c r="A150">
        <v>147</v>
      </c>
      <c r="B150" s="37">
        <f t="shared" si="29"/>
        <v>1</v>
      </c>
      <c r="C150" s="38">
        <f t="shared" si="24"/>
        <v>1</v>
      </c>
      <c r="D150" s="33"/>
      <c r="E150" s="33"/>
      <c r="F150" s="39">
        <f t="shared" si="25"/>
        <v>1</v>
      </c>
      <c r="G150" s="36">
        <f t="shared" si="26"/>
        <v>1</v>
      </c>
      <c r="H150" s="36">
        <f t="shared" si="27"/>
        <v>0</v>
      </c>
      <c r="I150" s="36"/>
      <c r="J150" s="36">
        <f t="shared" si="28"/>
        <v>0</v>
      </c>
      <c r="K150" s="36">
        <f t="shared" si="31"/>
        <v>0</v>
      </c>
      <c r="L150" s="36">
        <f t="shared" si="32"/>
        <v>1</v>
      </c>
      <c r="M150" s="33"/>
      <c r="N150" s="40">
        <f t="shared" si="30"/>
        <v>0</v>
      </c>
      <c r="O150" s="32">
        <f t="shared" si="33"/>
        <v>0</v>
      </c>
      <c r="P150" s="32">
        <f t="shared" si="34"/>
        <v>1</v>
      </c>
      <c r="Q150" s="33"/>
      <c r="R150" s="33"/>
      <c r="S150" s="33"/>
    </row>
    <row r="151" spans="1:19" ht="14.5" hidden="1" customHeight="1">
      <c r="A151">
        <v>148</v>
      </c>
      <c r="B151" s="37">
        <f t="shared" si="29"/>
        <v>1</v>
      </c>
      <c r="C151" s="38">
        <f t="shared" si="24"/>
        <v>1</v>
      </c>
      <c r="D151" s="33"/>
      <c r="E151" s="33"/>
      <c r="F151" s="39">
        <f t="shared" si="25"/>
        <v>1</v>
      </c>
      <c r="G151" s="36">
        <f t="shared" si="26"/>
        <v>1</v>
      </c>
      <c r="H151" s="36">
        <f t="shared" si="27"/>
        <v>0</v>
      </c>
      <c r="I151" s="36"/>
      <c r="J151" s="36">
        <f t="shared" si="28"/>
        <v>0</v>
      </c>
      <c r="K151" s="36">
        <f t="shared" si="31"/>
        <v>0</v>
      </c>
      <c r="L151" s="36">
        <f t="shared" si="32"/>
        <v>1</v>
      </c>
      <c r="M151" s="33"/>
      <c r="N151" s="40">
        <f t="shared" si="30"/>
        <v>0</v>
      </c>
      <c r="O151" s="32">
        <f t="shared" si="33"/>
        <v>0</v>
      </c>
      <c r="P151" s="32">
        <f t="shared" si="34"/>
        <v>1</v>
      </c>
      <c r="Q151" s="33"/>
      <c r="R151" s="33"/>
      <c r="S151" s="33"/>
    </row>
    <row r="152" spans="1:19" ht="14.5" hidden="1" customHeight="1">
      <c r="A152">
        <v>149</v>
      </c>
      <c r="B152" s="37">
        <f t="shared" si="29"/>
        <v>1</v>
      </c>
      <c r="C152" s="38">
        <f t="shared" si="24"/>
        <v>1</v>
      </c>
      <c r="D152" s="33"/>
      <c r="E152" s="33"/>
      <c r="F152" s="39">
        <f t="shared" si="25"/>
        <v>1</v>
      </c>
      <c r="G152" s="36">
        <f t="shared" si="26"/>
        <v>1</v>
      </c>
      <c r="H152" s="36">
        <f t="shared" si="27"/>
        <v>0</v>
      </c>
      <c r="I152" s="36"/>
      <c r="J152" s="36">
        <f t="shared" si="28"/>
        <v>0</v>
      </c>
      <c r="K152" s="36">
        <f t="shared" si="31"/>
        <v>0</v>
      </c>
      <c r="L152" s="36">
        <f t="shared" si="32"/>
        <v>1</v>
      </c>
      <c r="M152" s="33"/>
      <c r="N152" s="40">
        <f t="shared" si="30"/>
        <v>0</v>
      </c>
      <c r="O152" s="32">
        <f t="shared" si="33"/>
        <v>0</v>
      </c>
      <c r="P152" s="32">
        <f t="shared" si="34"/>
        <v>1</v>
      </c>
      <c r="Q152" s="33"/>
      <c r="R152" s="33"/>
      <c r="S152" s="33"/>
    </row>
    <row r="153" spans="1:19" ht="14.5" hidden="1" customHeight="1">
      <c r="A153">
        <v>150</v>
      </c>
      <c r="B153" s="37">
        <f t="shared" si="29"/>
        <v>1</v>
      </c>
      <c r="C153" s="38">
        <f t="shared" si="24"/>
        <v>1</v>
      </c>
      <c r="D153" s="33"/>
      <c r="E153" s="33"/>
      <c r="F153" s="39">
        <f t="shared" si="25"/>
        <v>1</v>
      </c>
      <c r="G153" s="36">
        <f t="shared" si="26"/>
        <v>1</v>
      </c>
      <c r="H153" s="36">
        <f t="shared" si="27"/>
        <v>0</v>
      </c>
      <c r="I153" s="36"/>
      <c r="J153" s="36">
        <f t="shared" si="28"/>
        <v>0</v>
      </c>
      <c r="K153" s="36">
        <f t="shared" si="31"/>
        <v>0</v>
      </c>
      <c r="L153" s="36">
        <f t="shared" si="32"/>
        <v>1</v>
      </c>
      <c r="M153" s="33"/>
      <c r="N153" s="40">
        <f t="shared" si="30"/>
        <v>0</v>
      </c>
      <c r="O153" s="32">
        <f t="shared" si="33"/>
        <v>0</v>
      </c>
      <c r="P153" s="32">
        <f t="shared" si="34"/>
        <v>1</v>
      </c>
      <c r="Q153" s="33"/>
      <c r="R153" s="33"/>
      <c r="S153" s="33"/>
    </row>
    <row r="154" spans="1:19" ht="14.5" hidden="1" customHeight="1">
      <c r="A154">
        <v>151</v>
      </c>
      <c r="B154" s="37">
        <f t="shared" si="29"/>
        <v>1</v>
      </c>
      <c r="C154" s="38">
        <f t="shared" si="24"/>
        <v>1</v>
      </c>
      <c r="D154" s="33"/>
      <c r="E154" s="33"/>
      <c r="F154" s="39">
        <f t="shared" si="25"/>
        <v>1</v>
      </c>
      <c r="G154" s="36">
        <f t="shared" si="26"/>
        <v>1</v>
      </c>
      <c r="H154" s="36">
        <f t="shared" si="27"/>
        <v>0</v>
      </c>
      <c r="I154" s="36"/>
      <c r="J154" s="36">
        <f t="shared" si="28"/>
        <v>0</v>
      </c>
      <c r="K154" s="36">
        <f t="shared" si="31"/>
        <v>0</v>
      </c>
      <c r="L154" s="36">
        <f t="shared" si="32"/>
        <v>1</v>
      </c>
      <c r="M154" s="33"/>
      <c r="N154" s="40">
        <f t="shared" si="30"/>
        <v>0</v>
      </c>
      <c r="O154" s="32">
        <f t="shared" si="33"/>
        <v>0</v>
      </c>
      <c r="P154" s="32">
        <f t="shared" si="34"/>
        <v>1</v>
      </c>
      <c r="Q154" s="33"/>
      <c r="R154" s="33"/>
      <c r="S154" s="33"/>
    </row>
    <row r="155" spans="1:19" ht="14.5" hidden="1" customHeight="1">
      <c r="A155">
        <v>152</v>
      </c>
      <c r="B155" s="37">
        <f t="shared" si="29"/>
        <v>1</v>
      </c>
      <c r="C155" s="38">
        <f t="shared" si="24"/>
        <v>1</v>
      </c>
      <c r="D155" s="33"/>
      <c r="E155" s="33"/>
      <c r="F155" s="39">
        <f t="shared" si="25"/>
        <v>1</v>
      </c>
      <c r="G155" s="36">
        <f t="shared" si="26"/>
        <v>1</v>
      </c>
      <c r="H155" s="36">
        <f t="shared" si="27"/>
        <v>0</v>
      </c>
      <c r="I155" s="36"/>
      <c r="J155" s="36">
        <f t="shared" si="28"/>
        <v>0</v>
      </c>
      <c r="K155" s="36">
        <f t="shared" si="31"/>
        <v>0</v>
      </c>
      <c r="L155" s="36">
        <f t="shared" si="32"/>
        <v>1</v>
      </c>
      <c r="M155" s="33"/>
      <c r="N155" s="40">
        <f t="shared" si="30"/>
        <v>0</v>
      </c>
      <c r="O155" s="32">
        <f t="shared" si="33"/>
        <v>0</v>
      </c>
      <c r="P155" s="32">
        <f t="shared" si="34"/>
        <v>1</v>
      </c>
      <c r="Q155" s="33"/>
      <c r="R155" s="33"/>
      <c r="S155" s="33"/>
    </row>
    <row r="156" spans="1:19" ht="14.5" hidden="1" customHeight="1">
      <c r="A156">
        <v>153</v>
      </c>
      <c r="B156" s="37">
        <f t="shared" si="29"/>
        <v>1</v>
      </c>
      <c r="C156" s="38">
        <f t="shared" si="24"/>
        <v>1</v>
      </c>
      <c r="D156" s="33"/>
      <c r="E156" s="33"/>
      <c r="F156" s="39">
        <f t="shared" si="25"/>
        <v>1</v>
      </c>
      <c r="G156" s="36">
        <f t="shared" si="26"/>
        <v>1</v>
      </c>
      <c r="H156" s="36">
        <f t="shared" si="27"/>
        <v>0</v>
      </c>
      <c r="I156" s="36"/>
      <c r="J156" s="36">
        <f t="shared" si="28"/>
        <v>0</v>
      </c>
      <c r="K156" s="36">
        <f t="shared" si="31"/>
        <v>0</v>
      </c>
      <c r="L156" s="36">
        <f t="shared" si="32"/>
        <v>1</v>
      </c>
      <c r="M156" s="33"/>
      <c r="N156" s="40">
        <f t="shared" si="30"/>
        <v>0</v>
      </c>
      <c r="O156" s="32">
        <f t="shared" si="33"/>
        <v>0</v>
      </c>
      <c r="P156" s="32">
        <f t="shared" si="34"/>
        <v>1</v>
      </c>
      <c r="Q156" s="33"/>
      <c r="R156" s="33"/>
      <c r="S156" s="33"/>
    </row>
    <row r="157" spans="1:19" ht="14.5" hidden="1" customHeight="1">
      <c r="A157">
        <v>154</v>
      </c>
      <c r="B157" s="37">
        <f t="shared" si="29"/>
        <v>1</v>
      </c>
      <c r="C157" s="38">
        <f t="shared" si="24"/>
        <v>1</v>
      </c>
      <c r="D157" s="33"/>
      <c r="E157" s="33"/>
      <c r="F157" s="39">
        <f t="shared" si="25"/>
        <v>1</v>
      </c>
      <c r="G157" s="36">
        <f t="shared" si="26"/>
        <v>1</v>
      </c>
      <c r="H157" s="36">
        <f t="shared" si="27"/>
        <v>0</v>
      </c>
      <c r="I157" s="36"/>
      <c r="J157" s="36">
        <f t="shared" si="28"/>
        <v>0</v>
      </c>
      <c r="K157" s="36">
        <f t="shared" si="31"/>
        <v>0</v>
      </c>
      <c r="L157" s="36">
        <f t="shared" si="32"/>
        <v>1</v>
      </c>
      <c r="M157" s="33"/>
      <c r="N157" s="40">
        <f t="shared" si="30"/>
        <v>0</v>
      </c>
      <c r="O157" s="32">
        <f t="shared" si="33"/>
        <v>0</v>
      </c>
      <c r="P157" s="32">
        <f t="shared" si="34"/>
        <v>1</v>
      </c>
      <c r="Q157" s="33"/>
      <c r="R157" s="33"/>
      <c r="S157" s="33"/>
    </row>
    <row r="158" spans="1:19" ht="14.5" hidden="1" customHeight="1">
      <c r="A158">
        <v>155</v>
      </c>
      <c r="B158" s="37">
        <f t="shared" si="29"/>
        <v>1</v>
      </c>
      <c r="C158" s="38">
        <f t="shared" si="24"/>
        <v>1</v>
      </c>
      <c r="D158" s="33"/>
      <c r="E158" s="33"/>
      <c r="F158" s="39">
        <f t="shared" si="25"/>
        <v>1</v>
      </c>
      <c r="G158" s="36">
        <f t="shared" si="26"/>
        <v>1</v>
      </c>
      <c r="H158" s="36">
        <f t="shared" si="27"/>
        <v>0</v>
      </c>
      <c r="I158" s="36"/>
      <c r="J158" s="36">
        <f t="shared" si="28"/>
        <v>0</v>
      </c>
      <c r="K158" s="36">
        <f t="shared" si="31"/>
        <v>0</v>
      </c>
      <c r="L158" s="36">
        <f t="shared" si="32"/>
        <v>1</v>
      </c>
      <c r="M158" s="33"/>
      <c r="N158" s="40">
        <f t="shared" si="30"/>
        <v>0</v>
      </c>
      <c r="O158" s="32">
        <f t="shared" si="33"/>
        <v>0</v>
      </c>
      <c r="P158" s="32">
        <f t="shared" si="34"/>
        <v>1</v>
      </c>
      <c r="Q158" s="33"/>
      <c r="R158" s="33"/>
      <c r="S158" s="33"/>
    </row>
    <row r="159" spans="1:19" ht="14.5" hidden="1" customHeight="1">
      <c r="A159">
        <v>156</v>
      </c>
      <c r="B159" s="37">
        <f t="shared" si="29"/>
        <v>1</v>
      </c>
      <c r="C159" s="38">
        <f t="shared" si="24"/>
        <v>1</v>
      </c>
      <c r="D159" s="33"/>
      <c r="E159" s="33"/>
      <c r="F159" s="39">
        <f t="shared" si="25"/>
        <v>1</v>
      </c>
      <c r="G159" s="36">
        <f t="shared" si="26"/>
        <v>1</v>
      </c>
      <c r="H159" s="36">
        <f t="shared" si="27"/>
        <v>0</v>
      </c>
      <c r="I159" s="36"/>
      <c r="J159" s="36">
        <f t="shared" si="28"/>
        <v>0</v>
      </c>
      <c r="K159" s="36">
        <f t="shared" si="31"/>
        <v>0</v>
      </c>
      <c r="L159" s="36">
        <f t="shared" si="32"/>
        <v>1</v>
      </c>
      <c r="M159" s="33"/>
      <c r="N159" s="40">
        <f t="shared" si="30"/>
        <v>0</v>
      </c>
      <c r="O159" s="32">
        <f t="shared" si="33"/>
        <v>0</v>
      </c>
      <c r="P159" s="32">
        <f t="shared" si="34"/>
        <v>1</v>
      </c>
      <c r="Q159" s="33"/>
      <c r="R159" s="33"/>
      <c r="S159" s="33"/>
    </row>
    <row r="160" spans="1:19" ht="14.5" hidden="1" customHeight="1">
      <c r="A160">
        <v>157</v>
      </c>
      <c r="B160" s="37">
        <f t="shared" si="29"/>
        <v>1</v>
      </c>
      <c r="C160" s="38">
        <f t="shared" si="24"/>
        <v>1</v>
      </c>
      <c r="D160" s="33"/>
      <c r="E160" s="33"/>
      <c r="F160" s="39">
        <f t="shared" si="25"/>
        <v>1</v>
      </c>
      <c r="G160" s="36">
        <f t="shared" si="26"/>
        <v>1</v>
      </c>
      <c r="H160" s="36">
        <f t="shared" si="27"/>
        <v>0</v>
      </c>
      <c r="I160" s="36"/>
      <c r="J160" s="36">
        <f t="shared" si="28"/>
        <v>0</v>
      </c>
      <c r="K160" s="36">
        <f t="shared" si="31"/>
        <v>0</v>
      </c>
      <c r="L160" s="36">
        <f t="shared" si="32"/>
        <v>1</v>
      </c>
      <c r="M160" s="33"/>
      <c r="N160" s="40">
        <f t="shared" si="30"/>
        <v>0</v>
      </c>
      <c r="O160" s="32">
        <f t="shared" si="33"/>
        <v>0</v>
      </c>
      <c r="P160" s="32">
        <f t="shared" si="34"/>
        <v>1</v>
      </c>
      <c r="Q160" s="33"/>
      <c r="R160" s="33"/>
      <c r="S160" s="33"/>
    </row>
    <row r="161" spans="1:19" ht="14.5" hidden="1" customHeight="1">
      <c r="A161">
        <v>158</v>
      </c>
      <c r="B161" s="37">
        <f t="shared" si="29"/>
        <v>1</v>
      </c>
      <c r="C161" s="38">
        <f t="shared" si="24"/>
        <v>1</v>
      </c>
      <c r="D161" s="33"/>
      <c r="E161" s="33"/>
      <c r="F161" s="39">
        <f t="shared" si="25"/>
        <v>1</v>
      </c>
      <c r="G161" s="36">
        <f t="shared" si="26"/>
        <v>1</v>
      </c>
      <c r="H161" s="36">
        <f t="shared" si="27"/>
        <v>0</v>
      </c>
      <c r="I161" s="36"/>
      <c r="J161" s="36">
        <f t="shared" si="28"/>
        <v>0</v>
      </c>
      <c r="K161" s="36">
        <f t="shared" si="31"/>
        <v>0</v>
      </c>
      <c r="L161" s="36">
        <f t="shared" si="32"/>
        <v>1</v>
      </c>
      <c r="M161" s="33"/>
      <c r="N161" s="40">
        <f t="shared" si="30"/>
        <v>0</v>
      </c>
      <c r="O161" s="32">
        <f t="shared" si="33"/>
        <v>0</v>
      </c>
      <c r="P161" s="32">
        <f t="shared" si="34"/>
        <v>1</v>
      </c>
      <c r="Q161" s="33"/>
      <c r="R161" s="33"/>
      <c r="S161" s="33"/>
    </row>
    <row r="162" spans="1:19" ht="14.5" hidden="1" customHeight="1">
      <c r="A162">
        <v>159</v>
      </c>
      <c r="B162" s="37">
        <f t="shared" si="29"/>
        <v>1</v>
      </c>
      <c r="C162" s="38">
        <f t="shared" si="24"/>
        <v>1</v>
      </c>
      <c r="D162" s="33"/>
      <c r="E162" s="33"/>
      <c r="F162" s="39">
        <f t="shared" si="25"/>
        <v>1</v>
      </c>
      <c r="G162" s="36">
        <f t="shared" si="26"/>
        <v>1</v>
      </c>
      <c r="H162" s="36">
        <f t="shared" si="27"/>
        <v>0</v>
      </c>
      <c r="I162" s="36"/>
      <c r="J162" s="36">
        <f t="shared" si="28"/>
        <v>0</v>
      </c>
      <c r="K162" s="36">
        <f t="shared" si="31"/>
        <v>0</v>
      </c>
      <c r="L162" s="36">
        <f t="shared" si="32"/>
        <v>1</v>
      </c>
      <c r="M162" s="33"/>
      <c r="N162" s="40">
        <f t="shared" si="30"/>
        <v>0</v>
      </c>
      <c r="O162" s="32">
        <f t="shared" si="33"/>
        <v>0</v>
      </c>
      <c r="P162" s="32">
        <f t="shared" si="34"/>
        <v>1</v>
      </c>
      <c r="Q162" s="33"/>
      <c r="R162" s="33"/>
      <c r="S162" s="33"/>
    </row>
    <row r="163" spans="1:19" ht="14.5" hidden="1" customHeight="1">
      <c r="A163">
        <v>160</v>
      </c>
      <c r="B163" s="37">
        <f t="shared" si="29"/>
        <v>1</v>
      </c>
      <c r="C163" s="38">
        <f t="shared" si="24"/>
        <v>1</v>
      </c>
      <c r="D163" s="33"/>
      <c r="E163" s="33"/>
      <c r="F163" s="39">
        <f t="shared" si="25"/>
        <v>1</v>
      </c>
      <c r="G163" s="36">
        <f t="shared" si="26"/>
        <v>1</v>
      </c>
      <c r="H163" s="36">
        <f t="shared" si="27"/>
        <v>0</v>
      </c>
      <c r="I163" s="36"/>
      <c r="J163" s="36">
        <f t="shared" si="28"/>
        <v>0</v>
      </c>
      <c r="K163" s="36">
        <f t="shared" si="31"/>
        <v>0</v>
      </c>
      <c r="L163" s="36">
        <f t="shared" si="32"/>
        <v>1</v>
      </c>
      <c r="M163" s="33"/>
      <c r="N163" s="40">
        <f t="shared" si="30"/>
        <v>0</v>
      </c>
      <c r="O163" s="32">
        <f t="shared" si="33"/>
        <v>0</v>
      </c>
      <c r="P163" s="32">
        <f t="shared" si="34"/>
        <v>1</v>
      </c>
      <c r="Q163" s="33"/>
      <c r="R163" s="33"/>
      <c r="S163" s="33"/>
    </row>
    <row r="164" spans="1:19" ht="14.5" hidden="1" customHeight="1">
      <c r="A164">
        <v>161</v>
      </c>
      <c r="B164" s="37">
        <f t="shared" si="29"/>
        <v>1</v>
      </c>
      <c r="C164" s="38">
        <f t="shared" si="24"/>
        <v>1</v>
      </c>
      <c r="D164" s="33"/>
      <c r="E164" s="33"/>
      <c r="F164" s="39">
        <f t="shared" si="25"/>
        <v>1</v>
      </c>
      <c r="G164" s="36">
        <f t="shared" si="26"/>
        <v>1</v>
      </c>
      <c r="H164" s="36">
        <f t="shared" si="27"/>
        <v>0</v>
      </c>
      <c r="I164" s="36"/>
      <c r="J164" s="36">
        <f t="shared" si="28"/>
        <v>0</v>
      </c>
      <c r="K164" s="36">
        <f t="shared" si="31"/>
        <v>0</v>
      </c>
      <c r="L164" s="36">
        <f t="shared" si="32"/>
        <v>1</v>
      </c>
      <c r="M164" s="33"/>
      <c r="N164" s="40">
        <f t="shared" si="30"/>
        <v>0</v>
      </c>
      <c r="O164" s="32">
        <f t="shared" si="33"/>
        <v>0</v>
      </c>
      <c r="P164" s="32">
        <f t="shared" si="34"/>
        <v>1</v>
      </c>
      <c r="Q164" s="33"/>
      <c r="R164" s="33"/>
      <c r="S164" s="33"/>
    </row>
    <row r="165" spans="1:19" ht="14.5" hidden="1" customHeight="1">
      <c r="A165">
        <v>162</v>
      </c>
      <c r="B165" s="37">
        <f t="shared" si="29"/>
        <v>1</v>
      </c>
      <c r="C165" s="38">
        <f t="shared" si="24"/>
        <v>1</v>
      </c>
      <c r="D165" s="33"/>
      <c r="E165" s="33"/>
      <c r="F165" s="39">
        <f t="shared" si="25"/>
        <v>1</v>
      </c>
      <c r="G165" s="36">
        <f t="shared" si="26"/>
        <v>1</v>
      </c>
      <c r="H165" s="36">
        <f t="shared" si="27"/>
        <v>0</v>
      </c>
      <c r="I165" s="36"/>
      <c r="J165" s="36">
        <f t="shared" si="28"/>
        <v>0</v>
      </c>
      <c r="K165" s="36">
        <f t="shared" si="31"/>
        <v>0</v>
      </c>
      <c r="L165" s="36">
        <f t="shared" si="32"/>
        <v>1</v>
      </c>
      <c r="M165" s="33"/>
      <c r="N165" s="40">
        <f t="shared" si="30"/>
        <v>0</v>
      </c>
      <c r="O165" s="32">
        <f t="shared" si="33"/>
        <v>0</v>
      </c>
      <c r="P165" s="32">
        <f t="shared" si="34"/>
        <v>1</v>
      </c>
      <c r="Q165" s="33"/>
      <c r="R165" s="33"/>
      <c r="S165" s="33"/>
    </row>
    <row r="166" spans="1:19" ht="14.5" hidden="1" customHeight="1">
      <c r="A166">
        <v>163</v>
      </c>
      <c r="B166" s="37">
        <f t="shared" si="29"/>
        <v>1</v>
      </c>
      <c r="C166" s="38">
        <f t="shared" si="24"/>
        <v>1</v>
      </c>
      <c r="D166" s="33"/>
      <c r="E166" s="33"/>
      <c r="F166" s="39">
        <f t="shared" si="25"/>
        <v>1</v>
      </c>
      <c r="G166" s="36">
        <f t="shared" si="26"/>
        <v>1</v>
      </c>
      <c r="H166" s="36">
        <f t="shared" si="27"/>
        <v>0</v>
      </c>
      <c r="I166" s="36"/>
      <c r="J166" s="36">
        <f t="shared" si="28"/>
        <v>0</v>
      </c>
      <c r="K166" s="36">
        <f t="shared" si="31"/>
        <v>0</v>
      </c>
      <c r="L166" s="36">
        <f t="shared" si="32"/>
        <v>1</v>
      </c>
      <c r="M166" s="33"/>
      <c r="N166" s="40">
        <f t="shared" si="30"/>
        <v>0</v>
      </c>
      <c r="O166" s="32">
        <f t="shared" si="33"/>
        <v>0</v>
      </c>
      <c r="P166" s="32">
        <f t="shared" si="34"/>
        <v>1</v>
      </c>
      <c r="Q166" s="33"/>
      <c r="R166" s="33"/>
      <c r="S166" s="33"/>
    </row>
    <row r="167" spans="1:19" ht="14.5" hidden="1" customHeight="1">
      <c r="A167">
        <v>164</v>
      </c>
      <c r="B167" s="37">
        <f t="shared" si="29"/>
        <v>1</v>
      </c>
      <c r="C167" s="38">
        <f t="shared" si="24"/>
        <v>1</v>
      </c>
      <c r="D167" s="33"/>
      <c r="E167" s="33"/>
      <c r="F167" s="39">
        <f t="shared" si="25"/>
        <v>1</v>
      </c>
      <c r="G167" s="36">
        <f t="shared" si="26"/>
        <v>1</v>
      </c>
      <c r="H167" s="36">
        <f t="shared" si="27"/>
        <v>0</v>
      </c>
      <c r="I167" s="36"/>
      <c r="J167" s="36">
        <f t="shared" si="28"/>
        <v>0</v>
      </c>
      <c r="K167" s="36">
        <f t="shared" si="31"/>
        <v>0</v>
      </c>
      <c r="L167" s="36">
        <f t="shared" si="32"/>
        <v>1</v>
      </c>
      <c r="M167" s="33"/>
      <c r="N167" s="40">
        <f t="shared" si="30"/>
        <v>0</v>
      </c>
      <c r="O167" s="32">
        <f t="shared" si="33"/>
        <v>0</v>
      </c>
      <c r="P167" s="32">
        <f t="shared" si="34"/>
        <v>1</v>
      </c>
      <c r="Q167" s="33"/>
      <c r="R167" s="33"/>
      <c r="S167" s="33"/>
    </row>
    <row r="168" spans="1:19" ht="14.5" hidden="1" customHeight="1">
      <c r="A168">
        <v>165</v>
      </c>
      <c r="B168" s="37">
        <f t="shared" si="29"/>
        <v>1</v>
      </c>
      <c r="C168" s="38">
        <f t="shared" si="24"/>
        <v>1</v>
      </c>
      <c r="D168" s="33"/>
      <c r="E168" s="33"/>
      <c r="F168" s="39">
        <f t="shared" si="25"/>
        <v>1</v>
      </c>
      <c r="G168" s="36">
        <f t="shared" si="26"/>
        <v>1</v>
      </c>
      <c r="H168" s="36">
        <f t="shared" si="27"/>
        <v>0</v>
      </c>
      <c r="I168" s="36"/>
      <c r="J168" s="36">
        <f t="shared" si="28"/>
        <v>0</v>
      </c>
      <c r="K168" s="36">
        <f t="shared" si="31"/>
        <v>0</v>
      </c>
      <c r="L168" s="36">
        <f t="shared" si="32"/>
        <v>1</v>
      </c>
      <c r="M168" s="33"/>
      <c r="N168" s="40">
        <f t="shared" si="30"/>
        <v>0</v>
      </c>
      <c r="O168" s="32">
        <f t="shared" si="33"/>
        <v>0</v>
      </c>
      <c r="P168" s="32">
        <f t="shared" si="34"/>
        <v>1</v>
      </c>
      <c r="Q168" s="33"/>
      <c r="R168" s="33"/>
      <c r="S168" s="33"/>
    </row>
    <row r="169" spans="1:19" ht="14.5" hidden="1" customHeight="1">
      <c r="A169">
        <v>166</v>
      </c>
      <c r="B169" s="37">
        <f t="shared" si="29"/>
        <v>1</v>
      </c>
      <c r="C169" s="38">
        <f t="shared" si="24"/>
        <v>1</v>
      </c>
      <c r="D169" s="33"/>
      <c r="E169" s="33"/>
      <c r="F169" s="39">
        <f t="shared" si="25"/>
        <v>1</v>
      </c>
      <c r="G169" s="36">
        <f t="shared" si="26"/>
        <v>1</v>
      </c>
      <c r="H169" s="36">
        <f t="shared" si="27"/>
        <v>0</v>
      </c>
      <c r="I169" s="36"/>
      <c r="J169" s="36">
        <f t="shared" si="28"/>
        <v>0</v>
      </c>
      <c r="K169" s="36">
        <f t="shared" si="31"/>
        <v>0</v>
      </c>
      <c r="L169" s="36">
        <f t="shared" si="32"/>
        <v>1</v>
      </c>
      <c r="M169" s="33"/>
      <c r="N169" s="40">
        <f t="shared" si="30"/>
        <v>0</v>
      </c>
      <c r="O169" s="32">
        <f t="shared" si="33"/>
        <v>0</v>
      </c>
      <c r="P169" s="32">
        <f t="shared" si="34"/>
        <v>1</v>
      </c>
      <c r="Q169" s="33"/>
      <c r="R169" s="33"/>
      <c r="S169" s="33"/>
    </row>
    <row r="170" spans="1:19" ht="14.5" hidden="1" customHeight="1">
      <c r="A170">
        <v>167</v>
      </c>
      <c r="B170" s="37">
        <f t="shared" si="29"/>
        <v>1</v>
      </c>
      <c r="C170" s="38">
        <f t="shared" si="24"/>
        <v>1</v>
      </c>
      <c r="D170" s="33"/>
      <c r="E170" s="33"/>
      <c r="F170" s="39">
        <f t="shared" si="25"/>
        <v>1</v>
      </c>
      <c r="G170" s="36">
        <f t="shared" si="26"/>
        <v>1</v>
      </c>
      <c r="H170" s="36">
        <f t="shared" si="27"/>
        <v>0</v>
      </c>
      <c r="I170" s="36"/>
      <c r="J170" s="36">
        <f t="shared" si="28"/>
        <v>0</v>
      </c>
      <c r="K170" s="36">
        <f t="shared" si="31"/>
        <v>0</v>
      </c>
      <c r="L170" s="36">
        <f t="shared" si="32"/>
        <v>1</v>
      </c>
      <c r="M170" s="33"/>
      <c r="N170" s="40">
        <f t="shared" si="30"/>
        <v>0</v>
      </c>
      <c r="O170" s="32">
        <f t="shared" si="33"/>
        <v>0</v>
      </c>
      <c r="P170" s="32">
        <f t="shared" si="34"/>
        <v>1</v>
      </c>
      <c r="Q170" s="33"/>
      <c r="R170" s="33"/>
      <c r="S170" s="33"/>
    </row>
    <row r="171" spans="1:19" ht="14.5" hidden="1" customHeight="1">
      <c r="A171">
        <v>168</v>
      </c>
      <c r="B171" s="37">
        <f t="shared" si="29"/>
        <v>1</v>
      </c>
      <c r="C171" s="38">
        <f t="shared" si="24"/>
        <v>1</v>
      </c>
      <c r="D171" s="33"/>
      <c r="E171" s="33"/>
      <c r="F171" s="39">
        <f t="shared" si="25"/>
        <v>1</v>
      </c>
      <c r="G171" s="36">
        <f t="shared" si="26"/>
        <v>1</v>
      </c>
      <c r="H171" s="36">
        <f t="shared" si="27"/>
        <v>0</v>
      </c>
      <c r="I171" s="36"/>
      <c r="J171" s="36">
        <f t="shared" si="28"/>
        <v>0</v>
      </c>
      <c r="K171" s="36">
        <f t="shared" si="31"/>
        <v>0</v>
      </c>
      <c r="L171" s="36">
        <f t="shared" si="32"/>
        <v>1</v>
      </c>
      <c r="M171" s="33"/>
      <c r="N171" s="40">
        <f t="shared" si="30"/>
        <v>0</v>
      </c>
      <c r="O171" s="32">
        <f t="shared" si="33"/>
        <v>0</v>
      </c>
      <c r="P171" s="32">
        <f t="shared" si="34"/>
        <v>1</v>
      </c>
      <c r="Q171" s="33"/>
      <c r="R171" s="33"/>
      <c r="S171" s="33"/>
    </row>
    <row r="172" spans="1:19" ht="14.5" hidden="1" customHeight="1">
      <c r="A172">
        <v>169</v>
      </c>
      <c r="B172" s="37">
        <f t="shared" si="29"/>
        <v>1</v>
      </c>
      <c r="C172" s="38">
        <f t="shared" si="24"/>
        <v>1</v>
      </c>
      <c r="D172" s="33"/>
      <c r="E172" s="33"/>
      <c r="F172" s="39">
        <f t="shared" si="25"/>
        <v>1</v>
      </c>
      <c r="G172" s="36">
        <f t="shared" si="26"/>
        <v>1</v>
      </c>
      <c r="H172" s="36">
        <f t="shared" si="27"/>
        <v>0</v>
      </c>
      <c r="I172" s="36"/>
      <c r="J172" s="36">
        <f t="shared" si="28"/>
        <v>0</v>
      </c>
      <c r="K172" s="36">
        <f t="shared" si="31"/>
        <v>0</v>
      </c>
      <c r="L172" s="36">
        <f t="shared" si="32"/>
        <v>1</v>
      </c>
      <c r="M172" s="33"/>
      <c r="N172" s="40">
        <f t="shared" si="30"/>
        <v>0</v>
      </c>
      <c r="O172" s="32">
        <f t="shared" si="33"/>
        <v>0</v>
      </c>
      <c r="P172" s="32">
        <f t="shared" si="34"/>
        <v>1</v>
      </c>
      <c r="Q172" s="33"/>
      <c r="R172" s="33"/>
      <c r="S172" s="33"/>
    </row>
    <row r="173" spans="1:19" ht="14.5" hidden="1" customHeight="1">
      <c r="A173">
        <v>170</v>
      </c>
      <c r="B173" s="37">
        <f t="shared" si="29"/>
        <v>1</v>
      </c>
      <c r="C173" s="38">
        <f t="shared" si="24"/>
        <v>1</v>
      </c>
      <c r="D173" s="33"/>
      <c r="E173" s="33"/>
      <c r="F173" s="39">
        <f t="shared" si="25"/>
        <v>1</v>
      </c>
      <c r="G173" s="36">
        <f t="shared" si="26"/>
        <v>1</v>
      </c>
      <c r="H173" s="36">
        <f t="shared" si="27"/>
        <v>0</v>
      </c>
      <c r="I173" s="36"/>
      <c r="J173" s="36">
        <f t="shared" si="28"/>
        <v>0</v>
      </c>
      <c r="K173" s="36">
        <f t="shared" si="31"/>
        <v>0</v>
      </c>
      <c r="L173" s="36">
        <f t="shared" si="32"/>
        <v>1</v>
      </c>
      <c r="M173" s="33"/>
      <c r="N173" s="40">
        <f t="shared" si="30"/>
        <v>0</v>
      </c>
      <c r="O173" s="32">
        <f t="shared" si="33"/>
        <v>0</v>
      </c>
      <c r="P173" s="32">
        <f t="shared" si="34"/>
        <v>1</v>
      </c>
      <c r="Q173" s="33"/>
      <c r="R173" s="33"/>
      <c r="S173" s="33"/>
    </row>
    <row r="174" spans="1:19" ht="14.5" hidden="1" customHeight="1">
      <c r="A174">
        <v>171</v>
      </c>
      <c r="B174" s="37">
        <f t="shared" si="29"/>
        <v>1</v>
      </c>
      <c r="C174" s="38">
        <f t="shared" si="24"/>
        <v>1</v>
      </c>
      <c r="D174" s="33"/>
      <c r="E174" s="33"/>
      <c r="F174" s="39">
        <f t="shared" si="25"/>
        <v>1</v>
      </c>
      <c r="G174" s="36">
        <f t="shared" si="26"/>
        <v>1</v>
      </c>
      <c r="H174" s="36">
        <f t="shared" si="27"/>
        <v>0</v>
      </c>
      <c r="I174" s="36"/>
      <c r="J174" s="36">
        <f t="shared" si="28"/>
        <v>0</v>
      </c>
      <c r="K174" s="36">
        <f t="shared" si="31"/>
        <v>0</v>
      </c>
      <c r="L174" s="36">
        <f t="shared" si="32"/>
        <v>1</v>
      </c>
      <c r="M174" s="33"/>
      <c r="N174" s="40">
        <f t="shared" si="30"/>
        <v>0</v>
      </c>
      <c r="O174" s="32">
        <f t="shared" si="33"/>
        <v>0</v>
      </c>
      <c r="P174" s="32">
        <f t="shared" si="34"/>
        <v>1</v>
      </c>
      <c r="Q174" s="33"/>
      <c r="R174" s="33"/>
      <c r="S174" s="33"/>
    </row>
    <row r="175" spans="1:19" ht="14.5" hidden="1" customHeight="1">
      <c r="A175">
        <v>172</v>
      </c>
      <c r="B175" s="37">
        <f t="shared" si="29"/>
        <v>1</v>
      </c>
      <c r="C175" s="38">
        <f t="shared" si="24"/>
        <v>1</v>
      </c>
      <c r="D175" s="33"/>
      <c r="E175" s="33"/>
      <c r="F175" s="39">
        <f t="shared" si="25"/>
        <v>1</v>
      </c>
      <c r="G175" s="36">
        <f t="shared" si="26"/>
        <v>1</v>
      </c>
      <c r="H175" s="36">
        <f t="shared" si="27"/>
        <v>0</v>
      </c>
      <c r="I175" s="36"/>
      <c r="J175" s="36">
        <f t="shared" si="28"/>
        <v>0</v>
      </c>
      <c r="K175" s="36">
        <f t="shared" si="31"/>
        <v>0</v>
      </c>
      <c r="L175" s="36">
        <f t="shared" si="32"/>
        <v>1</v>
      </c>
      <c r="M175" s="33"/>
      <c r="N175" s="40">
        <f t="shared" si="30"/>
        <v>0</v>
      </c>
      <c r="O175" s="32">
        <f t="shared" si="33"/>
        <v>0</v>
      </c>
      <c r="P175" s="32">
        <f t="shared" si="34"/>
        <v>1</v>
      </c>
      <c r="Q175" s="33"/>
      <c r="R175" s="33"/>
      <c r="S175" s="33"/>
    </row>
    <row r="176" spans="1:19" ht="14.5" hidden="1" customHeight="1">
      <c r="A176">
        <v>173</v>
      </c>
      <c r="B176" s="37">
        <f t="shared" si="29"/>
        <v>1</v>
      </c>
      <c r="C176" s="38">
        <f t="shared" si="24"/>
        <v>1</v>
      </c>
      <c r="D176" s="33"/>
      <c r="E176" s="33"/>
      <c r="F176" s="39">
        <f t="shared" si="25"/>
        <v>1</v>
      </c>
      <c r="G176" s="36">
        <f t="shared" si="26"/>
        <v>1</v>
      </c>
      <c r="H176" s="36">
        <f t="shared" si="27"/>
        <v>0</v>
      </c>
      <c r="I176" s="36"/>
      <c r="J176" s="36">
        <f t="shared" si="28"/>
        <v>0</v>
      </c>
      <c r="K176" s="36">
        <f t="shared" si="31"/>
        <v>0</v>
      </c>
      <c r="L176" s="36">
        <f t="shared" si="32"/>
        <v>1</v>
      </c>
      <c r="M176" s="33"/>
      <c r="N176" s="40">
        <f t="shared" si="30"/>
        <v>0</v>
      </c>
      <c r="O176" s="32">
        <f t="shared" si="33"/>
        <v>0</v>
      </c>
      <c r="P176" s="32">
        <f t="shared" si="34"/>
        <v>1</v>
      </c>
      <c r="Q176" s="33"/>
      <c r="R176" s="33"/>
      <c r="S176" s="33"/>
    </row>
    <row r="177" spans="1:19" ht="14.5" hidden="1" customHeight="1">
      <c r="A177">
        <v>174</v>
      </c>
      <c r="B177" s="37">
        <f t="shared" si="29"/>
        <v>1</v>
      </c>
      <c r="C177" s="38">
        <f t="shared" si="24"/>
        <v>1</v>
      </c>
      <c r="D177" s="33"/>
      <c r="E177" s="33"/>
      <c r="F177" s="39">
        <f t="shared" si="25"/>
        <v>1</v>
      </c>
      <c r="G177" s="36">
        <f t="shared" si="26"/>
        <v>1</v>
      </c>
      <c r="H177" s="36">
        <f t="shared" si="27"/>
        <v>0</v>
      </c>
      <c r="I177" s="36"/>
      <c r="J177" s="36">
        <f t="shared" si="28"/>
        <v>0</v>
      </c>
      <c r="K177" s="36">
        <f t="shared" si="31"/>
        <v>0</v>
      </c>
      <c r="L177" s="36">
        <f t="shared" si="32"/>
        <v>1</v>
      </c>
      <c r="M177" s="33"/>
      <c r="N177" s="40">
        <f t="shared" si="30"/>
        <v>0</v>
      </c>
      <c r="O177" s="32">
        <f t="shared" si="33"/>
        <v>0</v>
      </c>
      <c r="P177" s="32">
        <f t="shared" si="34"/>
        <v>1</v>
      </c>
      <c r="Q177" s="33"/>
      <c r="R177" s="33"/>
      <c r="S177" s="33"/>
    </row>
    <row r="178" spans="1:19" ht="14.5" hidden="1" customHeight="1">
      <c r="A178">
        <v>175</v>
      </c>
      <c r="B178" s="37">
        <f t="shared" si="29"/>
        <v>1</v>
      </c>
      <c r="C178" s="38">
        <f t="shared" si="24"/>
        <v>1</v>
      </c>
      <c r="D178" s="33"/>
      <c r="E178" s="33"/>
      <c r="F178" s="39">
        <f t="shared" si="25"/>
        <v>1</v>
      </c>
      <c r="G178" s="36">
        <f t="shared" si="26"/>
        <v>1</v>
      </c>
      <c r="H178" s="36">
        <f t="shared" si="27"/>
        <v>0</v>
      </c>
      <c r="I178" s="36"/>
      <c r="J178" s="36">
        <f t="shared" si="28"/>
        <v>0</v>
      </c>
      <c r="K178" s="36">
        <f t="shared" si="31"/>
        <v>0</v>
      </c>
      <c r="L178" s="36">
        <f t="shared" si="32"/>
        <v>1</v>
      </c>
      <c r="M178" s="33"/>
      <c r="N178" s="40">
        <f t="shared" si="30"/>
        <v>0</v>
      </c>
      <c r="O178" s="32">
        <f t="shared" si="33"/>
        <v>0</v>
      </c>
      <c r="P178" s="32">
        <f t="shared" si="34"/>
        <v>1</v>
      </c>
      <c r="Q178" s="33"/>
      <c r="R178" s="33"/>
      <c r="S178" s="33"/>
    </row>
    <row r="179" spans="1:19" ht="14.5" hidden="1" customHeight="1">
      <c r="A179">
        <v>176</v>
      </c>
      <c r="B179" s="37">
        <f t="shared" si="29"/>
        <v>1</v>
      </c>
      <c r="C179" s="38">
        <f t="shared" si="24"/>
        <v>1</v>
      </c>
      <c r="D179" s="33"/>
      <c r="E179" s="33"/>
      <c r="F179" s="39">
        <f t="shared" si="25"/>
        <v>1</v>
      </c>
      <c r="G179" s="36">
        <f t="shared" si="26"/>
        <v>1</v>
      </c>
      <c r="H179" s="36">
        <f t="shared" si="27"/>
        <v>0</v>
      </c>
      <c r="I179" s="36"/>
      <c r="J179" s="36">
        <f t="shared" si="28"/>
        <v>0</v>
      </c>
      <c r="K179" s="36">
        <f t="shared" si="31"/>
        <v>0</v>
      </c>
      <c r="L179" s="36">
        <f t="shared" si="32"/>
        <v>1</v>
      </c>
      <c r="M179" s="33"/>
      <c r="N179" s="40">
        <f t="shared" si="30"/>
        <v>0</v>
      </c>
      <c r="O179" s="32">
        <f t="shared" si="33"/>
        <v>0</v>
      </c>
      <c r="P179" s="32">
        <f t="shared" si="34"/>
        <v>1</v>
      </c>
      <c r="Q179" s="33"/>
      <c r="R179" s="33"/>
      <c r="S179" s="33"/>
    </row>
    <row r="180" spans="1:19" ht="14.5" hidden="1" customHeight="1">
      <c r="A180">
        <v>177</v>
      </c>
      <c r="B180" s="37">
        <f t="shared" si="29"/>
        <v>1</v>
      </c>
      <c r="C180" s="38">
        <f t="shared" si="24"/>
        <v>1</v>
      </c>
      <c r="D180" s="33"/>
      <c r="E180" s="33"/>
      <c r="F180" s="39">
        <f t="shared" si="25"/>
        <v>1</v>
      </c>
      <c r="G180" s="36">
        <f t="shared" si="26"/>
        <v>1</v>
      </c>
      <c r="H180" s="36">
        <f t="shared" si="27"/>
        <v>0</v>
      </c>
      <c r="I180" s="36"/>
      <c r="J180" s="36">
        <f t="shared" si="28"/>
        <v>0</v>
      </c>
      <c r="K180" s="36">
        <f t="shared" si="31"/>
        <v>0</v>
      </c>
      <c r="L180" s="36">
        <f t="shared" si="32"/>
        <v>1</v>
      </c>
      <c r="M180" s="33"/>
      <c r="N180" s="40">
        <f t="shared" si="30"/>
        <v>0</v>
      </c>
      <c r="O180" s="32">
        <f t="shared" si="33"/>
        <v>0</v>
      </c>
      <c r="P180" s="32">
        <f t="shared" si="34"/>
        <v>1</v>
      </c>
      <c r="Q180" s="33"/>
      <c r="R180" s="33"/>
      <c r="S180" s="33"/>
    </row>
    <row r="181" spans="1:19" ht="14.5" hidden="1" customHeight="1">
      <c r="A181">
        <v>178</v>
      </c>
      <c r="B181" s="37">
        <f t="shared" si="29"/>
        <v>1</v>
      </c>
      <c r="C181" s="38">
        <f t="shared" si="24"/>
        <v>1</v>
      </c>
      <c r="D181" s="33"/>
      <c r="E181" s="33"/>
      <c r="F181" s="39">
        <f t="shared" si="25"/>
        <v>1</v>
      </c>
      <c r="G181" s="36">
        <f t="shared" si="26"/>
        <v>1</v>
      </c>
      <c r="H181" s="36">
        <f t="shared" si="27"/>
        <v>0</v>
      </c>
      <c r="I181" s="36"/>
      <c r="J181" s="36">
        <f t="shared" si="28"/>
        <v>0</v>
      </c>
      <c r="K181" s="36">
        <f t="shared" si="31"/>
        <v>0</v>
      </c>
      <c r="L181" s="36">
        <f t="shared" si="32"/>
        <v>1</v>
      </c>
      <c r="M181" s="33"/>
      <c r="N181" s="40">
        <f t="shared" si="30"/>
        <v>0</v>
      </c>
      <c r="O181" s="32">
        <f t="shared" si="33"/>
        <v>0</v>
      </c>
      <c r="P181" s="32">
        <f t="shared" si="34"/>
        <v>1</v>
      </c>
      <c r="Q181" s="33"/>
      <c r="R181" s="33"/>
      <c r="S181" s="33"/>
    </row>
    <row r="182" spans="1:19" ht="14.5" hidden="1" customHeight="1">
      <c r="A182">
        <v>179</v>
      </c>
      <c r="B182" s="37">
        <f t="shared" si="29"/>
        <v>1</v>
      </c>
      <c r="C182" s="38">
        <f t="shared" si="24"/>
        <v>1</v>
      </c>
      <c r="D182" s="33"/>
      <c r="E182" s="33"/>
      <c r="F182" s="39">
        <f t="shared" si="25"/>
        <v>1</v>
      </c>
      <c r="G182" s="36">
        <f t="shared" si="26"/>
        <v>1</v>
      </c>
      <c r="H182" s="36">
        <f t="shared" si="27"/>
        <v>0</v>
      </c>
      <c r="I182" s="36"/>
      <c r="J182" s="36">
        <f t="shared" si="28"/>
        <v>0</v>
      </c>
      <c r="K182" s="36">
        <f t="shared" si="31"/>
        <v>0</v>
      </c>
      <c r="L182" s="36">
        <f t="shared" si="32"/>
        <v>1</v>
      </c>
      <c r="M182" s="33"/>
      <c r="N182" s="40">
        <f t="shared" si="30"/>
        <v>0</v>
      </c>
      <c r="O182" s="32">
        <f t="shared" si="33"/>
        <v>0</v>
      </c>
      <c r="P182" s="32">
        <f t="shared" si="34"/>
        <v>1</v>
      </c>
      <c r="Q182" s="33"/>
      <c r="R182" s="33"/>
      <c r="S182" s="33"/>
    </row>
    <row r="183" spans="1:19" ht="14.5" hidden="1" customHeight="1">
      <c r="A183">
        <v>180</v>
      </c>
      <c r="B183" s="37">
        <f t="shared" si="29"/>
        <v>1</v>
      </c>
      <c r="C183" s="38">
        <f t="shared" si="24"/>
        <v>1</v>
      </c>
      <c r="D183" s="33"/>
      <c r="E183" s="33"/>
      <c r="F183" s="39">
        <f t="shared" si="25"/>
        <v>1</v>
      </c>
      <c r="G183" s="36">
        <f t="shared" si="26"/>
        <v>1</v>
      </c>
      <c r="H183" s="36">
        <f t="shared" si="27"/>
        <v>0</v>
      </c>
      <c r="I183" s="36"/>
      <c r="J183" s="36">
        <f t="shared" si="28"/>
        <v>0</v>
      </c>
      <c r="K183" s="36">
        <f t="shared" si="31"/>
        <v>0</v>
      </c>
      <c r="L183" s="36">
        <f t="shared" si="32"/>
        <v>1</v>
      </c>
      <c r="M183" s="33"/>
      <c r="N183" s="40">
        <f t="shared" si="30"/>
        <v>0</v>
      </c>
      <c r="O183" s="32">
        <f t="shared" si="33"/>
        <v>0</v>
      </c>
      <c r="P183" s="32">
        <f t="shared" si="34"/>
        <v>1</v>
      </c>
      <c r="Q183" s="33"/>
      <c r="R183" s="33"/>
      <c r="S183" s="33"/>
    </row>
    <row r="184" spans="1:19" ht="14.5" hidden="1" customHeight="1">
      <c r="A184">
        <v>181</v>
      </c>
      <c r="B184" s="37">
        <f t="shared" si="29"/>
        <v>1</v>
      </c>
      <c r="C184" s="38">
        <f t="shared" si="24"/>
        <v>1</v>
      </c>
      <c r="D184" s="33"/>
      <c r="E184" s="33"/>
      <c r="F184" s="39">
        <f t="shared" si="25"/>
        <v>1</v>
      </c>
      <c r="G184" s="36">
        <f t="shared" si="26"/>
        <v>1</v>
      </c>
      <c r="H184" s="36">
        <f t="shared" si="27"/>
        <v>0</v>
      </c>
      <c r="I184" s="36"/>
      <c r="J184" s="36">
        <f t="shared" si="28"/>
        <v>0</v>
      </c>
      <c r="K184" s="36">
        <f t="shared" si="31"/>
        <v>0</v>
      </c>
      <c r="L184" s="36">
        <f t="shared" si="32"/>
        <v>1</v>
      </c>
      <c r="M184" s="33"/>
      <c r="N184" s="40">
        <f t="shared" si="30"/>
        <v>0</v>
      </c>
      <c r="O184" s="32">
        <f t="shared" si="33"/>
        <v>0</v>
      </c>
      <c r="P184" s="32">
        <f t="shared" si="34"/>
        <v>1</v>
      </c>
      <c r="Q184" s="33"/>
      <c r="R184" s="33"/>
      <c r="S184" s="33"/>
    </row>
    <row r="185" spans="1:19" ht="14.5" hidden="1" customHeight="1">
      <c r="A185">
        <v>182</v>
      </c>
      <c r="B185" s="37">
        <f t="shared" si="29"/>
        <v>1</v>
      </c>
      <c r="C185" s="38">
        <f t="shared" si="24"/>
        <v>1</v>
      </c>
      <c r="D185" s="33"/>
      <c r="E185" s="33"/>
      <c r="F185" s="39">
        <f t="shared" si="25"/>
        <v>1</v>
      </c>
      <c r="G185" s="36">
        <f t="shared" si="26"/>
        <v>1</v>
      </c>
      <c r="H185" s="36">
        <f t="shared" si="27"/>
        <v>0</v>
      </c>
      <c r="I185" s="36"/>
      <c r="J185" s="36">
        <f t="shared" si="28"/>
        <v>0</v>
      </c>
      <c r="K185" s="36">
        <f t="shared" si="31"/>
        <v>0</v>
      </c>
      <c r="L185" s="36">
        <f t="shared" si="32"/>
        <v>1</v>
      </c>
      <c r="M185" s="33"/>
      <c r="N185" s="40">
        <f t="shared" si="30"/>
        <v>0</v>
      </c>
      <c r="O185" s="32">
        <f t="shared" si="33"/>
        <v>0</v>
      </c>
      <c r="P185" s="32">
        <f t="shared" si="34"/>
        <v>1</v>
      </c>
      <c r="Q185" s="33"/>
      <c r="R185" s="33"/>
      <c r="S185" s="33"/>
    </row>
    <row r="186" spans="1:19" ht="14.5" hidden="1" customHeight="1">
      <c r="A186">
        <v>183</v>
      </c>
      <c r="B186" s="37">
        <f t="shared" si="29"/>
        <v>1</v>
      </c>
      <c r="C186" s="38">
        <f t="shared" si="24"/>
        <v>1</v>
      </c>
      <c r="D186" s="33"/>
      <c r="E186" s="33"/>
      <c r="F186" s="39">
        <f t="shared" si="25"/>
        <v>1</v>
      </c>
      <c r="G186" s="36">
        <f t="shared" si="26"/>
        <v>1</v>
      </c>
      <c r="H186" s="36">
        <f t="shared" si="27"/>
        <v>0</v>
      </c>
      <c r="I186" s="36"/>
      <c r="J186" s="36">
        <f t="shared" si="28"/>
        <v>0</v>
      </c>
      <c r="K186" s="36">
        <f t="shared" si="31"/>
        <v>0</v>
      </c>
      <c r="L186" s="36">
        <f t="shared" si="32"/>
        <v>1</v>
      </c>
      <c r="M186" s="33"/>
      <c r="N186" s="40">
        <f t="shared" si="30"/>
        <v>0</v>
      </c>
      <c r="O186" s="32">
        <f t="shared" si="33"/>
        <v>0</v>
      </c>
      <c r="P186" s="32">
        <f t="shared" si="34"/>
        <v>1</v>
      </c>
      <c r="Q186" s="33"/>
      <c r="R186" s="33"/>
      <c r="S186" s="33"/>
    </row>
    <row r="187" spans="1:19" ht="14.5" hidden="1" customHeight="1">
      <c r="A187">
        <v>184</v>
      </c>
      <c r="B187" s="37">
        <f t="shared" si="29"/>
        <v>1</v>
      </c>
      <c r="C187" s="38">
        <f t="shared" si="24"/>
        <v>1</v>
      </c>
      <c r="D187" s="33"/>
      <c r="E187" s="33"/>
      <c r="F187" s="39">
        <f t="shared" si="25"/>
        <v>1</v>
      </c>
      <c r="G187" s="36">
        <f t="shared" si="26"/>
        <v>1</v>
      </c>
      <c r="H187" s="36">
        <f t="shared" si="27"/>
        <v>0</v>
      </c>
      <c r="I187" s="36"/>
      <c r="J187" s="36">
        <f t="shared" si="28"/>
        <v>0</v>
      </c>
      <c r="K187" s="36">
        <f t="shared" si="31"/>
        <v>0</v>
      </c>
      <c r="L187" s="36">
        <f t="shared" si="32"/>
        <v>1</v>
      </c>
      <c r="M187" s="33"/>
      <c r="N187" s="40">
        <f t="shared" si="30"/>
        <v>0</v>
      </c>
      <c r="O187" s="32">
        <f t="shared" si="33"/>
        <v>0</v>
      </c>
      <c r="P187" s="32">
        <f t="shared" si="34"/>
        <v>1</v>
      </c>
      <c r="Q187" s="33"/>
      <c r="R187" s="33"/>
      <c r="S187" s="33"/>
    </row>
    <row r="188" spans="1:19" ht="14.5" hidden="1" customHeight="1">
      <c r="A188">
        <v>185</v>
      </c>
      <c r="B188" s="37">
        <f t="shared" si="29"/>
        <v>1</v>
      </c>
      <c r="C188" s="38">
        <f t="shared" si="24"/>
        <v>1</v>
      </c>
      <c r="D188" s="33"/>
      <c r="E188" s="33"/>
      <c r="F188" s="39">
        <f t="shared" si="25"/>
        <v>1</v>
      </c>
      <c r="G188" s="36">
        <f t="shared" si="26"/>
        <v>1</v>
      </c>
      <c r="H188" s="36">
        <f t="shared" si="27"/>
        <v>0</v>
      </c>
      <c r="I188" s="36"/>
      <c r="J188" s="36">
        <f t="shared" si="28"/>
        <v>0</v>
      </c>
      <c r="K188" s="36">
        <f t="shared" si="31"/>
        <v>0</v>
      </c>
      <c r="L188" s="36">
        <f t="shared" si="32"/>
        <v>1</v>
      </c>
      <c r="M188" s="33"/>
      <c r="N188" s="40">
        <f t="shared" si="30"/>
        <v>0</v>
      </c>
      <c r="O188" s="32">
        <f t="shared" si="33"/>
        <v>0</v>
      </c>
      <c r="P188" s="32">
        <f t="shared" si="34"/>
        <v>1</v>
      </c>
      <c r="Q188" s="33"/>
      <c r="R188" s="33"/>
      <c r="S188" s="33"/>
    </row>
    <row r="189" spans="1:19" ht="14.5" hidden="1" customHeight="1">
      <c r="A189">
        <v>186</v>
      </c>
      <c r="B189" s="37">
        <f t="shared" si="29"/>
        <v>1</v>
      </c>
      <c r="C189" s="38">
        <f t="shared" si="24"/>
        <v>1</v>
      </c>
      <c r="D189" s="33"/>
      <c r="E189" s="33"/>
      <c r="F189" s="39">
        <f t="shared" si="25"/>
        <v>1</v>
      </c>
      <c r="G189" s="36">
        <f t="shared" si="26"/>
        <v>1</v>
      </c>
      <c r="H189" s="36">
        <f t="shared" si="27"/>
        <v>0</v>
      </c>
      <c r="I189" s="36"/>
      <c r="J189" s="36">
        <f t="shared" si="28"/>
        <v>0</v>
      </c>
      <c r="K189" s="36">
        <f t="shared" si="31"/>
        <v>0</v>
      </c>
      <c r="L189" s="36">
        <f t="shared" si="32"/>
        <v>1</v>
      </c>
      <c r="M189" s="33"/>
      <c r="N189" s="40">
        <f t="shared" si="30"/>
        <v>0</v>
      </c>
      <c r="O189" s="32">
        <f t="shared" si="33"/>
        <v>0</v>
      </c>
      <c r="P189" s="32">
        <f t="shared" si="34"/>
        <v>1</v>
      </c>
      <c r="Q189" s="33"/>
      <c r="R189" s="33"/>
      <c r="S189" s="33"/>
    </row>
    <row r="190" spans="1:19" ht="14.5" hidden="1" customHeight="1">
      <c r="A190">
        <v>187</v>
      </c>
      <c r="B190" s="37">
        <f t="shared" si="29"/>
        <v>1</v>
      </c>
      <c r="C190" s="38">
        <f t="shared" si="24"/>
        <v>1</v>
      </c>
      <c r="D190" s="33"/>
      <c r="E190" s="33"/>
      <c r="F190" s="39">
        <f t="shared" si="25"/>
        <v>1</v>
      </c>
      <c r="G190" s="36">
        <f t="shared" si="26"/>
        <v>1</v>
      </c>
      <c r="H190" s="36">
        <f t="shared" si="27"/>
        <v>0</v>
      </c>
      <c r="I190" s="36"/>
      <c r="J190" s="36">
        <f t="shared" si="28"/>
        <v>0</v>
      </c>
      <c r="K190" s="36">
        <f t="shared" si="31"/>
        <v>0</v>
      </c>
      <c r="L190" s="36">
        <f t="shared" si="32"/>
        <v>1</v>
      </c>
      <c r="M190" s="33"/>
      <c r="N190" s="40">
        <f t="shared" si="30"/>
        <v>0</v>
      </c>
      <c r="O190" s="32">
        <f t="shared" si="33"/>
        <v>0</v>
      </c>
      <c r="P190" s="32">
        <f t="shared" si="34"/>
        <v>1</v>
      </c>
      <c r="Q190" s="33"/>
      <c r="R190" s="33"/>
      <c r="S190" s="33"/>
    </row>
    <row r="191" spans="1:19" ht="14.5" hidden="1" customHeight="1">
      <c r="A191">
        <v>188</v>
      </c>
      <c r="B191" s="37">
        <f t="shared" si="29"/>
        <v>1</v>
      </c>
      <c r="C191" s="38">
        <f t="shared" si="24"/>
        <v>1</v>
      </c>
      <c r="D191" s="33"/>
      <c r="E191" s="33"/>
      <c r="F191" s="39">
        <f t="shared" si="25"/>
        <v>1</v>
      </c>
      <c r="G191" s="36">
        <f t="shared" si="26"/>
        <v>1</v>
      </c>
      <c r="H191" s="36">
        <f t="shared" si="27"/>
        <v>0</v>
      </c>
      <c r="I191" s="36"/>
      <c r="J191" s="36">
        <f t="shared" si="28"/>
        <v>0</v>
      </c>
      <c r="K191" s="36">
        <f t="shared" si="31"/>
        <v>0</v>
      </c>
      <c r="L191" s="36">
        <f t="shared" si="32"/>
        <v>1</v>
      </c>
      <c r="M191" s="33"/>
      <c r="N191" s="40">
        <f t="shared" si="30"/>
        <v>0</v>
      </c>
      <c r="O191" s="32">
        <f t="shared" si="33"/>
        <v>0</v>
      </c>
      <c r="P191" s="32">
        <f t="shared" si="34"/>
        <v>1</v>
      </c>
      <c r="Q191" s="33"/>
      <c r="R191" s="33"/>
      <c r="S191" s="33"/>
    </row>
    <row r="192" spans="1:19" ht="14.5" hidden="1" customHeight="1">
      <c r="A192">
        <v>189</v>
      </c>
      <c r="B192" s="37">
        <f t="shared" si="29"/>
        <v>1</v>
      </c>
      <c r="C192" s="38">
        <f t="shared" si="24"/>
        <v>1</v>
      </c>
      <c r="D192" s="33"/>
      <c r="E192" s="33"/>
      <c r="F192" s="39">
        <f t="shared" si="25"/>
        <v>1</v>
      </c>
      <c r="G192" s="36">
        <f t="shared" si="26"/>
        <v>1</v>
      </c>
      <c r="H192" s="36">
        <f t="shared" si="27"/>
        <v>0</v>
      </c>
      <c r="I192" s="36"/>
      <c r="J192" s="36">
        <f t="shared" si="28"/>
        <v>0</v>
      </c>
      <c r="K192" s="36">
        <f t="shared" si="31"/>
        <v>0</v>
      </c>
      <c r="L192" s="36">
        <f t="shared" si="32"/>
        <v>1</v>
      </c>
      <c r="M192" s="33"/>
      <c r="N192" s="40">
        <f t="shared" si="30"/>
        <v>0</v>
      </c>
      <c r="O192" s="32">
        <f t="shared" si="33"/>
        <v>0</v>
      </c>
      <c r="P192" s="32">
        <f t="shared" si="34"/>
        <v>1</v>
      </c>
      <c r="Q192" s="33"/>
      <c r="R192" s="33"/>
      <c r="S192" s="33"/>
    </row>
    <row r="193" spans="1:19" ht="14.5" hidden="1" customHeight="1">
      <c r="A193">
        <v>190</v>
      </c>
      <c r="B193" s="37">
        <f t="shared" si="29"/>
        <v>1</v>
      </c>
      <c r="C193" s="38">
        <f t="shared" si="24"/>
        <v>1</v>
      </c>
      <c r="D193" s="33"/>
      <c r="E193" s="33"/>
      <c r="F193" s="39">
        <f t="shared" si="25"/>
        <v>1</v>
      </c>
      <c r="G193" s="36">
        <f t="shared" si="26"/>
        <v>1</v>
      </c>
      <c r="H193" s="36">
        <f t="shared" si="27"/>
        <v>0</v>
      </c>
      <c r="I193" s="36"/>
      <c r="J193" s="36">
        <f t="shared" si="28"/>
        <v>0</v>
      </c>
      <c r="K193" s="36">
        <f t="shared" si="31"/>
        <v>0</v>
      </c>
      <c r="L193" s="36">
        <f t="shared" si="32"/>
        <v>1</v>
      </c>
      <c r="M193" s="33"/>
      <c r="N193" s="40">
        <f t="shared" si="30"/>
        <v>0</v>
      </c>
      <c r="O193" s="32">
        <f t="shared" si="33"/>
        <v>0</v>
      </c>
      <c r="P193" s="32">
        <f t="shared" si="34"/>
        <v>1</v>
      </c>
      <c r="Q193" s="33"/>
      <c r="R193" s="33"/>
      <c r="S193" s="33"/>
    </row>
    <row r="194" spans="1:19" ht="14.5" hidden="1" customHeight="1">
      <c r="A194">
        <v>191</v>
      </c>
      <c r="B194" s="37">
        <f t="shared" si="29"/>
        <v>1</v>
      </c>
      <c r="C194" s="38">
        <f t="shared" si="24"/>
        <v>1</v>
      </c>
      <c r="D194" s="33"/>
      <c r="E194" s="33"/>
      <c r="F194" s="39">
        <f t="shared" si="25"/>
        <v>1</v>
      </c>
      <c r="G194" s="36">
        <f t="shared" si="26"/>
        <v>1</v>
      </c>
      <c r="H194" s="36">
        <f t="shared" si="27"/>
        <v>0</v>
      </c>
      <c r="I194" s="36"/>
      <c r="J194" s="36">
        <f t="shared" si="28"/>
        <v>0</v>
      </c>
      <c r="K194" s="36">
        <f t="shared" si="31"/>
        <v>0</v>
      </c>
      <c r="L194" s="36">
        <f t="shared" si="32"/>
        <v>1</v>
      </c>
      <c r="M194" s="33"/>
      <c r="N194" s="40">
        <f t="shared" si="30"/>
        <v>0</v>
      </c>
      <c r="O194" s="32">
        <f t="shared" si="33"/>
        <v>0</v>
      </c>
      <c r="P194" s="32">
        <f t="shared" si="34"/>
        <v>1</v>
      </c>
      <c r="Q194" s="33"/>
      <c r="R194" s="33"/>
      <c r="S194" s="33"/>
    </row>
    <row r="195" spans="1:19" ht="14.5" hidden="1" customHeight="1">
      <c r="A195">
        <v>192</v>
      </c>
      <c r="B195" s="37">
        <f t="shared" si="29"/>
        <v>1</v>
      </c>
      <c r="C195" s="38">
        <f t="shared" si="24"/>
        <v>1</v>
      </c>
      <c r="D195" s="33"/>
      <c r="E195" s="33"/>
      <c r="F195" s="39">
        <f t="shared" si="25"/>
        <v>1</v>
      </c>
      <c r="G195" s="36">
        <f t="shared" si="26"/>
        <v>1</v>
      </c>
      <c r="H195" s="36">
        <f t="shared" si="27"/>
        <v>0</v>
      </c>
      <c r="I195" s="36"/>
      <c r="J195" s="36">
        <f t="shared" si="28"/>
        <v>0</v>
      </c>
      <c r="K195" s="36">
        <f t="shared" si="31"/>
        <v>0</v>
      </c>
      <c r="L195" s="36">
        <f t="shared" si="32"/>
        <v>1</v>
      </c>
      <c r="M195" s="33"/>
      <c r="N195" s="40">
        <f t="shared" si="30"/>
        <v>0</v>
      </c>
      <c r="O195" s="32">
        <f t="shared" si="33"/>
        <v>0</v>
      </c>
      <c r="P195" s="32">
        <f t="shared" si="34"/>
        <v>1</v>
      </c>
      <c r="Q195" s="33"/>
      <c r="R195" s="33"/>
      <c r="S195" s="33"/>
    </row>
    <row r="196" spans="1:19" ht="14.5" hidden="1" customHeight="1">
      <c r="A196">
        <v>193</v>
      </c>
      <c r="B196" s="37">
        <f t="shared" si="29"/>
        <v>1</v>
      </c>
      <c r="C196" s="38">
        <f t="shared" ref="C196:C259" si="35">IF((EXP(A196)/1000)&gt;1,1,EXP(A196)/1000)</f>
        <v>1</v>
      </c>
      <c r="D196" s="33"/>
      <c r="E196" s="33"/>
      <c r="F196" s="39">
        <f t="shared" ref="F196:F259" si="36">1-(1-B196)^(1/12)</f>
        <v>1</v>
      </c>
      <c r="G196" s="36">
        <f t="shared" ref="G196:G259" si="37">1-(1-C196)^(1/12)</f>
        <v>1</v>
      </c>
      <c r="H196" s="36">
        <f t="shared" ref="H196:H259" si="38">1-(1-D196)^(1/12)</f>
        <v>0</v>
      </c>
      <c r="I196" s="36"/>
      <c r="J196" s="36">
        <f t="shared" ref="J196:J259" si="39">1-F196</f>
        <v>0</v>
      </c>
      <c r="K196" s="36">
        <f t="shared" si="31"/>
        <v>0</v>
      </c>
      <c r="L196" s="36">
        <f t="shared" si="32"/>
        <v>1</v>
      </c>
      <c r="M196" s="33"/>
      <c r="N196" s="40">
        <f t="shared" si="30"/>
        <v>0</v>
      </c>
      <c r="O196" s="32">
        <f t="shared" si="33"/>
        <v>0</v>
      </c>
      <c r="P196" s="32">
        <f t="shared" si="34"/>
        <v>1</v>
      </c>
      <c r="Q196" s="33"/>
      <c r="R196" s="33"/>
      <c r="S196" s="33"/>
    </row>
    <row r="197" spans="1:19" ht="14.5" hidden="1" customHeight="1">
      <c r="A197">
        <v>194</v>
      </c>
      <c r="B197" s="37">
        <f t="shared" ref="B197:B260" si="40">1/(1+EXP(-A197))</f>
        <v>1</v>
      </c>
      <c r="C197" s="38">
        <f t="shared" si="35"/>
        <v>1</v>
      </c>
      <c r="D197" s="33"/>
      <c r="E197" s="33"/>
      <c r="F197" s="39">
        <f t="shared" si="36"/>
        <v>1</v>
      </c>
      <c r="G197" s="36">
        <f t="shared" si="37"/>
        <v>1</v>
      </c>
      <c r="H197" s="36">
        <f t="shared" si="38"/>
        <v>0</v>
      </c>
      <c r="I197" s="36"/>
      <c r="J197" s="36">
        <f t="shared" si="39"/>
        <v>0</v>
      </c>
      <c r="K197" s="36">
        <f t="shared" si="31"/>
        <v>0</v>
      </c>
      <c r="L197" s="36">
        <f t="shared" si="32"/>
        <v>1</v>
      </c>
      <c r="M197" s="33"/>
      <c r="N197" s="40">
        <f t="shared" ref="N197:N260" si="41">J197*J196</f>
        <v>0</v>
      </c>
      <c r="O197" s="32">
        <f t="shared" si="33"/>
        <v>0</v>
      </c>
      <c r="P197" s="32">
        <f t="shared" si="34"/>
        <v>1</v>
      </c>
      <c r="Q197" s="33"/>
      <c r="R197" s="33"/>
      <c r="S197" s="33"/>
    </row>
    <row r="198" spans="1:19" ht="14.5" hidden="1" customHeight="1">
      <c r="A198">
        <v>195</v>
      </c>
      <c r="B198" s="37">
        <f t="shared" si="40"/>
        <v>1</v>
      </c>
      <c r="C198" s="38">
        <f t="shared" si="35"/>
        <v>1</v>
      </c>
      <c r="D198" s="33"/>
      <c r="E198" s="33"/>
      <c r="F198" s="39">
        <f t="shared" si="36"/>
        <v>1</v>
      </c>
      <c r="G198" s="36">
        <f t="shared" si="37"/>
        <v>1</v>
      </c>
      <c r="H198" s="36">
        <f t="shared" si="38"/>
        <v>0</v>
      </c>
      <c r="I198" s="36"/>
      <c r="J198" s="36">
        <f t="shared" si="39"/>
        <v>0</v>
      </c>
      <c r="K198" s="36">
        <f t="shared" si="31"/>
        <v>0</v>
      </c>
      <c r="L198" s="36">
        <f t="shared" si="32"/>
        <v>1</v>
      </c>
      <c r="M198" s="33"/>
      <c r="N198" s="40">
        <f t="shared" si="41"/>
        <v>0</v>
      </c>
      <c r="O198" s="32">
        <f t="shared" si="33"/>
        <v>0</v>
      </c>
      <c r="P198" s="32">
        <f t="shared" si="34"/>
        <v>1</v>
      </c>
      <c r="Q198" s="33"/>
      <c r="R198" s="33"/>
      <c r="S198" s="33"/>
    </row>
    <row r="199" spans="1:19" ht="14.5" hidden="1" customHeight="1">
      <c r="A199">
        <v>196</v>
      </c>
      <c r="B199" s="37">
        <f t="shared" si="40"/>
        <v>1</v>
      </c>
      <c r="C199" s="38">
        <f t="shared" si="35"/>
        <v>1</v>
      </c>
      <c r="D199" s="33"/>
      <c r="E199" s="33"/>
      <c r="F199" s="39">
        <f t="shared" si="36"/>
        <v>1</v>
      </c>
      <c r="G199" s="36">
        <f t="shared" si="37"/>
        <v>1</v>
      </c>
      <c r="H199" s="36">
        <f t="shared" si="38"/>
        <v>0</v>
      </c>
      <c r="I199" s="36"/>
      <c r="J199" s="36">
        <f t="shared" si="39"/>
        <v>0</v>
      </c>
      <c r="K199" s="36">
        <f t="shared" si="31"/>
        <v>0</v>
      </c>
      <c r="L199" s="36">
        <f t="shared" si="32"/>
        <v>1</v>
      </c>
      <c r="M199" s="33"/>
      <c r="N199" s="40">
        <f t="shared" si="41"/>
        <v>0</v>
      </c>
      <c r="O199" s="32">
        <f t="shared" si="33"/>
        <v>0</v>
      </c>
      <c r="P199" s="32">
        <f t="shared" si="34"/>
        <v>1</v>
      </c>
      <c r="Q199" s="33"/>
      <c r="R199" s="33"/>
      <c r="S199" s="33"/>
    </row>
    <row r="200" spans="1:19" ht="14.5" hidden="1" customHeight="1">
      <c r="A200">
        <v>197</v>
      </c>
      <c r="B200" s="37">
        <f t="shared" si="40"/>
        <v>1</v>
      </c>
      <c r="C200" s="38">
        <f t="shared" si="35"/>
        <v>1</v>
      </c>
      <c r="D200" s="33"/>
      <c r="E200" s="33"/>
      <c r="F200" s="39">
        <f t="shared" si="36"/>
        <v>1</v>
      </c>
      <c r="G200" s="36">
        <f t="shared" si="37"/>
        <v>1</v>
      </c>
      <c r="H200" s="36">
        <f t="shared" si="38"/>
        <v>0</v>
      </c>
      <c r="I200" s="36"/>
      <c r="J200" s="36">
        <f t="shared" si="39"/>
        <v>0</v>
      </c>
      <c r="K200" s="36">
        <f t="shared" si="31"/>
        <v>0</v>
      </c>
      <c r="L200" s="36">
        <f t="shared" si="32"/>
        <v>1</v>
      </c>
      <c r="M200" s="33"/>
      <c r="N200" s="40">
        <f t="shared" si="41"/>
        <v>0</v>
      </c>
      <c r="O200" s="32">
        <f t="shared" si="33"/>
        <v>0</v>
      </c>
      <c r="P200" s="32">
        <f t="shared" si="34"/>
        <v>1</v>
      </c>
      <c r="Q200" s="33"/>
      <c r="R200" s="33"/>
      <c r="S200" s="33"/>
    </row>
    <row r="201" spans="1:19" ht="14.5" hidden="1" customHeight="1">
      <c r="A201">
        <v>198</v>
      </c>
      <c r="B201" s="37">
        <f t="shared" si="40"/>
        <v>1</v>
      </c>
      <c r="C201" s="38">
        <f t="shared" si="35"/>
        <v>1</v>
      </c>
      <c r="D201" s="33"/>
      <c r="E201" s="33"/>
      <c r="F201" s="39">
        <f t="shared" si="36"/>
        <v>1</v>
      </c>
      <c r="G201" s="36">
        <f t="shared" si="37"/>
        <v>1</v>
      </c>
      <c r="H201" s="36">
        <f t="shared" si="38"/>
        <v>0</v>
      </c>
      <c r="I201" s="36"/>
      <c r="J201" s="36">
        <f t="shared" si="39"/>
        <v>0</v>
      </c>
      <c r="K201" s="36">
        <f t="shared" si="31"/>
        <v>0</v>
      </c>
      <c r="L201" s="36">
        <f t="shared" si="32"/>
        <v>1</v>
      </c>
      <c r="M201" s="33"/>
      <c r="N201" s="40">
        <f t="shared" si="41"/>
        <v>0</v>
      </c>
      <c r="O201" s="32">
        <f t="shared" si="33"/>
        <v>0</v>
      </c>
      <c r="P201" s="32">
        <f t="shared" si="34"/>
        <v>1</v>
      </c>
      <c r="Q201" s="33"/>
      <c r="R201" s="33"/>
      <c r="S201" s="33"/>
    </row>
    <row r="202" spans="1:19" ht="14.5" hidden="1" customHeight="1">
      <c r="A202">
        <v>199</v>
      </c>
      <c r="B202" s="37">
        <f t="shared" si="40"/>
        <v>1</v>
      </c>
      <c r="C202" s="38">
        <f t="shared" si="35"/>
        <v>1</v>
      </c>
      <c r="D202" s="33"/>
      <c r="E202" s="33"/>
      <c r="F202" s="39">
        <f t="shared" si="36"/>
        <v>1</v>
      </c>
      <c r="G202" s="36">
        <f t="shared" si="37"/>
        <v>1</v>
      </c>
      <c r="H202" s="36">
        <f t="shared" si="38"/>
        <v>0</v>
      </c>
      <c r="I202" s="36"/>
      <c r="J202" s="36">
        <f t="shared" si="39"/>
        <v>0</v>
      </c>
      <c r="K202" s="36">
        <f t="shared" si="31"/>
        <v>0</v>
      </c>
      <c r="L202" s="36">
        <f t="shared" si="32"/>
        <v>1</v>
      </c>
      <c r="M202" s="33"/>
      <c r="N202" s="40">
        <f t="shared" si="41"/>
        <v>0</v>
      </c>
      <c r="O202" s="32">
        <f t="shared" si="33"/>
        <v>0</v>
      </c>
      <c r="P202" s="32">
        <f t="shared" si="34"/>
        <v>1</v>
      </c>
      <c r="Q202" s="33"/>
      <c r="R202" s="33"/>
      <c r="S202" s="33"/>
    </row>
    <row r="203" spans="1:19" ht="14.5" hidden="1" customHeight="1">
      <c r="A203">
        <v>200</v>
      </c>
      <c r="B203" s="37">
        <f t="shared" si="40"/>
        <v>1</v>
      </c>
      <c r="C203" s="38">
        <f t="shared" si="35"/>
        <v>1</v>
      </c>
      <c r="D203" s="33"/>
      <c r="E203" s="33"/>
      <c r="F203" s="39">
        <f t="shared" si="36"/>
        <v>1</v>
      </c>
      <c r="G203" s="36">
        <f t="shared" si="37"/>
        <v>1</v>
      </c>
      <c r="H203" s="36">
        <f t="shared" si="38"/>
        <v>0</v>
      </c>
      <c r="I203" s="36"/>
      <c r="J203" s="36">
        <f t="shared" si="39"/>
        <v>0</v>
      </c>
      <c r="K203" s="36">
        <f t="shared" si="31"/>
        <v>0</v>
      </c>
      <c r="L203" s="36">
        <f t="shared" si="32"/>
        <v>1</v>
      </c>
      <c r="M203" s="33"/>
      <c r="N203" s="40">
        <f t="shared" si="41"/>
        <v>0</v>
      </c>
      <c r="O203" s="32">
        <f t="shared" si="33"/>
        <v>0</v>
      </c>
      <c r="P203" s="32">
        <f t="shared" si="34"/>
        <v>1</v>
      </c>
      <c r="Q203" s="33"/>
      <c r="R203" s="33"/>
      <c r="S203" s="33"/>
    </row>
    <row r="204" spans="1:19" ht="14.5" hidden="1" customHeight="1">
      <c r="A204">
        <v>201</v>
      </c>
      <c r="B204" s="37">
        <f t="shared" si="40"/>
        <v>1</v>
      </c>
      <c r="C204" s="38">
        <f t="shared" si="35"/>
        <v>1</v>
      </c>
      <c r="D204" s="33"/>
      <c r="E204" s="33"/>
      <c r="F204" s="39">
        <f t="shared" si="36"/>
        <v>1</v>
      </c>
      <c r="G204" s="36">
        <f t="shared" si="37"/>
        <v>1</v>
      </c>
      <c r="H204" s="36">
        <f t="shared" si="38"/>
        <v>0</v>
      </c>
      <c r="I204" s="36"/>
      <c r="J204" s="36">
        <f t="shared" si="39"/>
        <v>0</v>
      </c>
      <c r="K204" s="36">
        <f t="shared" si="31"/>
        <v>0</v>
      </c>
      <c r="L204" s="36">
        <f t="shared" si="32"/>
        <v>1</v>
      </c>
      <c r="M204" s="33"/>
      <c r="N204" s="40">
        <f t="shared" si="41"/>
        <v>0</v>
      </c>
      <c r="O204" s="32">
        <f t="shared" si="33"/>
        <v>0</v>
      </c>
      <c r="P204" s="32">
        <f t="shared" si="34"/>
        <v>1</v>
      </c>
      <c r="Q204" s="33"/>
      <c r="R204" s="33"/>
      <c r="S204" s="33"/>
    </row>
    <row r="205" spans="1:19" ht="14.5" hidden="1" customHeight="1">
      <c r="A205">
        <v>202</v>
      </c>
      <c r="B205" s="37">
        <f t="shared" si="40"/>
        <v>1</v>
      </c>
      <c r="C205" s="38">
        <f t="shared" si="35"/>
        <v>1</v>
      </c>
      <c r="D205" s="33"/>
      <c r="E205" s="33"/>
      <c r="F205" s="39">
        <f t="shared" si="36"/>
        <v>1</v>
      </c>
      <c r="G205" s="36">
        <f t="shared" si="37"/>
        <v>1</v>
      </c>
      <c r="H205" s="36">
        <f t="shared" si="38"/>
        <v>0</v>
      </c>
      <c r="I205" s="36"/>
      <c r="J205" s="36">
        <f t="shared" si="39"/>
        <v>0</v>
      </c>
      <c r="K205" s="36">
        <f t="shared" si="31"/>
        <v>0</v>
      </c>
      <c r="L205" s="36">
        <f t="shared" si="32"/>
        <v>1</v>
      </c>
      <c r="M205" s="33"/>
      <c r="N205" s="40">
        <f t="shared" si="41"/>
        <v>0</v>
      </c>
      <c r="O205" s="32">
        <f t="shared" si="33"/>
        <v>0</v>
      </c>
      <c r="P205" s="32">
        <f t="shared" si="34"/>
        <v>1</v>
      </c>
      <c r="Q205" s="33"/>
      <c r="R205" s="33"/>
      <c r="S205" s="33"/>
    </row>
    <row r="206" spans="1:19" ht="14.5" hidden="1" customHeight="1">
      <c r="A206">
        <v>203</v>
      </c>
      <c r="B206" s="37">
        <f t="shared" si="40"/>
        <v>1</v>
      </c>
      <c r="C206" s="38">
        <f t="shared" si="35"/>
        <v>1</v>
      </c>
      <c r="D206" s="33"/>
      <c r="E206" s="33"/>
      <c r="F206" s="39">
        <f t="shared" si="36"/>
        <v>1</v>
      </c>
      <c r="G206" s="36">
        <f t="shared" si="37"/>
        <v>1</v>
      </c>
      <c r="H206" s="36">
        <f t="shared" si="38"/>
        <v>0</v>
      </c>
      <c r="I206" s="36"/>
      <c r="J206" s="36">
        <f t="shared" si="39"/>
        <v>0</v>
      </c>
      <c r="K206" s="36">
        <f t="shared" si="31"/>
        <v>0</v>
      </c>
      <c r="L206" s="36">
        <f t="shared" si="32"/>
        <v>1</v>
      </c>
      <c r="M206" s="33"/>
      <c r="N206" s="40">
        <f t="shared" si="41"/>
        <v>0</v>
      </c>
      <c r="O206" s="32">
        <f t="shared" si="33"/>
        <v>0</v>
      </c>
      <c r="P206" s="32">
        <f t="shared" si="34"/>
        <v>1</v>
      </c>
      <c r="Q206" s="33"/>
      <c r="R206" s="33"/>
      <c r="S206" s="33"/>
    </row>
    <row r="207" spans="1:19" ht="14.5" hidden="1" customHeight="1">
      <c r="A207">
        <v>204</v>
      </c>
      <c r="B207" s="37">
        <f t="shared" si="40"/>
        <v>1</v>
      </c>
      <c r="C207" s="38">
        <f t="shared" si="35"/>
        <v>1</v>
      </c>
      <c r="D207" s="33"/>
      <c r="E207" s="33"/>
      <c r="F207" s="39">
        <f t="shared" si="36"/>
        <v>1</v>
      </c>
      <c r="G207" s="36">
        <f t="shared" si="37"/>
        <v>1</v>
      </c>
      <c r="H207" s="36">
        <f t="shared" si="38"/>
        <v>0</v>
      </c>
      <c r="I207" s="36"/>
      <c r="J207" s="36">
        <f t="shared" si="39"/>
        <v>0</v>
      </c>
      <c r="K207" s="36">
        <f t="shared" si="31"/>
        <v>0</v>
      </c>
      <c r="L207" s="36">
        <f t="shared" si="32"/>
        <v>1</v>
      </c>
      <c r="M207" s="33"/>
      <c r="N207" s="40">
        <f t="shared" si="41"/>
        <v>0</v>
      </c>
      <c r="O207" s="32">
        <f t="shared" si="33"/>
        <v>0</v>
      </c>
      <c r="P207" s="32">
        <f t="shared" si="34"/>
        <v>1</v>
      </c>
      <c r="Q207" s="33"/>
      <c r="R207" s="33"/>
      <c r="S207" s="33"/>
    </row>
    <row r="208" spans="1:19" ht="14.5" hidden="1" customHeight="1">
      <c r="A208">
        <v>205</v>
      </c>
      <c r="B208" s="37">
        <f t="shared" si="40"/>
        <v>1</v>
      </c>
      <c r="C208" s="38">
        <f t="shared" si="35"/>
        <v>1</v>
      </c>
      <c r="D208" s="33"/>
      <c r="E208" s="33"/>
      <c r="F208" s="39">
        <f t="shared" si="36"/>
        <v>1</v>
      </c>
      <c r="G208" s="36">
        <f t="shared" si="37"/>
        <v>1</v>
      </c>
      <c r="H208" s="36">
        <f t="shared" si="38"/>
        <v>0</v>
      </c>
      <c r="I208" s="36"/>
      <c r="J208" s="36">
        <f t="shared" si="39"/>
        <v>0</v>
      </c>
      <c r="K208" s="36">
        <f t="shared" si="31"/>
        <v>0</v>
      </c>
      <c r="L208" s="36">
        <f t="shared" si="32"/>
        <v>1</v>
      </c>
      <c r="M208" s="33"/>
      <c r="N208" s="40">
        <f t="shared" si="41"/>
        <v>0</v>
      </c>
      <c r="O208" s="32">
        <f t="shared" si="33"/>
        <v>0</v>
      </c>
      <c r="P208" s="32">
        <f t="shared" si="34"/>
        <v>1</v>
      </c>
      <c r="Q208" s="33"/>
      <c r="R208" s="33"/>
      <c r="S208" s="33"/>
    </row>
    <row r="209" spans="1:19" ht="14.5" hidden="1" customHeight="1">
      <c r="A209">
        <v>206</v>
      </c>
      <c r="B209" s="37">
        <f t="shared" si="40"/>
        <v>1</v>
      </c>
      <c r="C209" s="38">
        <f t="shared" si="35"/>
        <v>1</v>
      </c>
      <c r="D209" s="33"/>
      <c r="E209" s="33"/>
      <c r="F209" s="39">
        <f t="shared" si="36"/>
        <v>1</v>
      </c>
      <c r="G209" s="36">
        <f t="shared" si="37"/>
        <v>1</v>
      </c>
      <c r="H209" s="36">
        <f t="shared" si="38"/>
        <v>0</v>
      </c>
      <c r="I209" s="36"/>
      <c r="J209" s="36">
        <f t="shared" si="39"/>
        <v>0</v>
      </c>
      <c r="K209" s="36">
        <f t="shared" si="31"/>
        <v>0</v>
      </c>
      <c r="L209" s="36">
        <f t="shared" si="32"/>
        <v>1</v>
      </c>
      <c r="M209" s="33"/>
      <c r="N209" s="40">
        <f t="shared" si="41"/>
        <v>0</v>
      </c>
      <c r="O209" s="32">
        <f t="shared" si="33"/>
        <v>0</v>
      </c>
      <c r="P209" s="32">
        <f t="shared" si="34"/>
        <v>1</v>
      </c>
      <c r="Q209" s="33"/>
      <c r="R209" s="33"/>
      <c r="S209" s="33"/>
    </row>
    <row r="210" spans="1:19" ht="14.5" hidden="1" customHeight="1">
      <c r="A210">
        <v>207</v>
      </c>
      <c r="B210" s="37">
        <f t="shared" si="40"/>
        <v>1</v>
      </c>
      <c r="C210" s="38">
        <f t="shared" si="35"/>
        <v>1</v>
      </c>
      <c r="D210" s="33"/>
      <c r="E210" s="33"/>
      <c r="F210" s="39">
        <f t="shared" si="36"/>
        <v>1</v>
      </c>
      <c r="G210" s="36">
        <f t="shared" si="37"/>
        <v>1</v>
      </c>
      <c r="H210" s="36">
        <f t="shared" si="38"/>
        <v>0</v>
      </c>
      <c r="I210" s="36"/>
      <c r="J210" s="36">
        <f t="shared" si="39"/>
        <v>0</v>
      </c>
      <c r="K210" s="36">
        <f t="shared" si="31"/>
        <v>0</v>
      </c>
      <c r="L210" s="36">
        <f t="shared" si="32"/>
        <v>1</v>
      </c>
      <c r="M210" s="33"/>
      <c r="N210" s="40">
        <f t="shared" si="41"/>
        <v>0</v>
      </c>
      <c r="O210" s="32">
        <f t="shared" si="33"/>
        <v>0</v>
      </c>
      <c r="P210" s="32">
        <f t="shared" si="34"/>
        <v>1</v>
      </c>
      <c r="Q210" s="33"/>
      <c r="R210" s="33"/>
      <c r="S210" s="33"/>
    </row>
    <row r="211" spans="1:19" ht="14.5" hidden="1" customHeight="1">
      <c r="A211">
        <v>208</v>
      </c>
      <c r="B211" s="37">
        <f t="shared" si="40"/>
        <v>1</v>
      </c>
      <c r="C211" s="38">
        <f t="shared" si="35"/>
        <v>1</v>
      </c>
      <c r="D211" s="33"/>
      <c r="E211" s="33"/>
      <c r="F211" s="39">
        <f t="shared" si="36"/>
        <v>1</v>
      </c>
      <c r="G211" s="36">
        <f t="shared" si="37"/>
        <v>1</v>
      </c>
      <c r="H211" s="36">
        <f t="shared" si="38"/>
        <v>0</v>
      </c>
      <c r="I211" s="36"/>
      <c r="J211" s="36">
        <f t="shared" si="39"/>
        <v>0</v>
      </c>
      <c r="K211" s="36">
        <f t="shared" ref="K211:K274" si="42">1-G211</f>
        <v>0</v>
      </c>
      <c r="L211" s="36">
        <f t="shared" ref="L211:L274" si="43">1-H211</f>
        <v>1</v>
      </c>
      <c r="M211" s="33"/>
      <c r="N211" s="40">
        <f t="shared" si="41"/>
        <v>0</v>
      </c>
      <c r="O211" s="32">
        <f t="shared" si="33"/>
        <v>0</v>
      </c>
      <c r="P211" s="32">
        <f t="shared" si="34"/>
        <v>1</v>
      </c>
      <c r="Q211" s="33"/>
      <c r="R211" s="33"/>
      <c r="S211" s="33"/>
    </row>
    <row r="212" spans="1:19" ht="14.5" hidden="1" customHeight="1">
      <c r="A212">
        <v>209</v>
      </c>
      <c r="B212" s="37">
        <f t="shared" si="40"/>
        <v>1</v>
      </c>
      <c r="C212" s="38">
        <f t="shared" si="35"/>
        <v>1</v>
      </c>
      <c r="D212" s="33"/>
      <c r="E212" s="33"/>
      <c r="F212" s="39">
        <f t="shared" si="36"/>
        <v>1</v>
      </c>
      <c r="G212" s="36">
        <f t="shared" si="37"/>
        <v>1</v>
      </c>
      <c r="H212" s="36">
        <f t="shared" si="38"/>
        <v>0</v>
      </c>
      <c r="I212" s="36"/>
      <c r="J212" s="36">
        <f t="shared" si="39"/>
        <v>0</v>
      </c>
      <c r="K212" s="36">
        <f t="shared" si="42"/>
        <v>0</v>
      </c>
      <c r="L212" s="36">
        <f t="shared" si="43"/>
        <v>1</v>
      </c>
      <c r="M212" s="33"/>
      <c r="N212" s="40">
        <f t="shared" si="41"/>
        <v>0</v>
      </c>
      <c r="O212" s="32">
        <f t="shared" ref="O212:O275" si="44">K212*K211</f>
        <v>0</v>
      </c>
      <c r="P212" s="32">
        <f t="shared" ref="P212:P275" si="45">L212*L211</f>
        <v>1</v>
      </c>
      <c r="Q212" s="33"/>
      <c r="R212" s="33"/>
      <c r="S212" s="33"/>
    </row>
    <row r="213" spans="1:19" ht="14.5" hidden="1" customHeight="1">
      <c r="A213">
        <v>210</v>
      </c>
      <c r="B213" s="37">
        <f t="shared" si="40"/>
        <v>1</v>
      </c>
      <c r="C213" s="38">
        <f t="shared" si="35"/>
        <v>1</v>
      </c>
      <c r="D213" s="33"/>
      <c r="E213" s="33"/>
      <c r="F213" s="39">
        <f t="shared" si="36"/>
        <v>1</v>
      </c>
      <c r="G213" s="36">
        <f t="shared" si="37"/>
        <v>1</v>
      </c>
      <c r="H213" s="36">
        <f t="shared" si="38"/>
        <v>0</v>
      </c>
      <c r="I213" s="36"/>
      <c r="J213" s="36">
        <f t="shared" si="39"/>
        <v>0</v>
      </c>
      <c r="K213" s="36">
        <f t="shared" si="42"/>
        <v>0</v>
      </c>
      <c r="L213" s="36">
        <f t="shared" si="43"/>
        <v>1</v>
      </c>
      <c r="M213" s="33"/>
      <c r="N213" s="40">
        <f t="shared" si="41"/>
        <v>0</v>
      </c>
      <c r="O213" s="32">
        <f t="shared" si="44"/>
        <v>0</v>
      </c>
      <c r="P213" s="32">
        <f t="shared" si="45"/>
        <v>1</v>
      </c>
      <c r="Q213" s="33"/>
      <c r="R213" s="33"/>
      <c r="S213" s="33"/>
    </row>
    <row r="214" spans="1:19" ht="14.5" hidden="1" customHeight="1">
      <c r="A214">
        <v>211</v>
      </c>
      <c r="B214" s="37">
        <f t="shared" si="40"/>
        <v>1</v>
      </c>
      <c r="C214" s="38">
        <f t="shared" si="35"/>
        <v>1</v>
      </c>
      <c r="D214" s="33"/>
      <c r="E214" s="33"/>
      <c r="F214" s="39">
        <f t="shared" si="36"/>
        <v>1</v>
      </c>
      <c r="G214" s="36">
        <f t="shared" si="37"/>
        <v>1</v>
      </c>
      <c r="H214" s="36">
        <f t="shared" si="38"/>
        <v>0</v>
      </c>
      <c r="I214" s="36"/>
      <c r="J214" s="36">
        <f t="shared" si="39"/>
        <v>0</v>
      </c>
      <c r="K214" s="36">
        <f t="shared" si="42"/>
        <v>0</v>
      </c>
      <c r="L214" s="36">
        <f t="shared" si="43"/>
        <v>1</v>
      </c>
      <c r="M214" s="33"/>
      <c r="N214" s="40">
        <f t="shared" si="41"/>
        <v>0</v>
      </c>
      <c r="O214" s="32">
        <f t="shared" si="44"/>
        <v>0</v>
      </c>
      <c r="P214" s="32">
        <f t="shared" si="45"/>
        <v>1</v>
      </c>
      <c r="Q214" s="33"/>
      <c r="R214" s="33"/>
      <c r="S214" s="33"/>
    </row>
    <row r="215" spans="1:19" ht="14.5" hidden="1" customHeight="1">
      <c r="A215">
        <v>212</v>
      </c>
      <c r="B215" s="37">
        <f t="shared" si="40"/>
        <v>1</v>
      </c>
      <c r="C215" s="38">
        <f t="shared" si="35"/>
        <v>1</v>
      </c>
      <c r="D215" s="33"/>
      <c r="E215" s="33"/>
      <c r="F215" s="39">
        <f t="shared" si="36"/>
        <v>1</v>
      </c>
      <c r="G215" s="36">
        <f t="shared" si="37"/>
        <v>1</v>
      </c>
      <c r="H215" s="36">
        <f t="shared" si="38"/>
        <v>0</v>
      </c>
      <c r="I215" s="36"/>
      <c r="J215" s="36">
        <f t="shared" si="39"/>
        <v>0</v>
      </c>
      <c r="K215" s="36">
        <f t="shared" si="42"/>
        <v>0</v>
      </c>
      <c r="L215" s="36">
        <f t="shared" si="43"/>
        <v>1</v>
      </c>
      <c r="M215" s="33"/>
      <c r="N215" s="40">
        <f t="shared" si="41"/>
        <v>0</v>
      </c>
      <c r="O215" s="32">
        <f t="shared" si="44"/>
        <v>0</v>
      </c>
      <c r="P215" s="32">
        <f t="shared" si="45"/>
        <v>1</v>
      </c>
      <c r="Q215" s="33"/>
      <c r="R215" s="33"/>
      <c r="S215" s="33"/>
    </row>
    <row r="216" spans="1:19" ht="14.5" hidden="1" customHeight="1">
      <c r="A216">
        <v>213</v>
      </c>
      <c r="B216" s="37">
        <f t="shared" si="40"/>
        <v>1</v>
      </c>
      <c r="C216" s="38">
        <f t="shared" si="35"/>
        <v>1</v>
      </c>
      <c r="D216" s="33"/>
      <c r="E216" s="33"/>
      <c r="F216" s="39">
        <f t="shared" si="36"/>
        <v>1</v>
      </c>
      <c r="G216" s="36">
        <f t="shared" si="37"/>
        <v>1</v>
      </c>
      <c r="H216" s="36">
        <f t="shared" si="38"/>
        <v>0</v>
      </c>
      <c r="I216" s="36"/>
      <c r="J216" s="36">
        <f t="shared" si="39"/>
        <v>0</v>
      </c>
      <c r="K216" s="36">
        <f t="shared" si="42"/>
        <v>0</v>
      </c>
      <c r="L216" s="36">
        <f t="shared" si="43"/>
        <v>1</v>
      </c>
      <c r="M216" s="33"/>
      <c r="N216" s="40">
        <f t="shared" si="41"/>
        <v>0</v>
      </c>
      <c r="O216" s="32">
        <f t="shared" si="44"/>
        <v>0</v>
      </c>
      <c r="P216" s="32">
        <f t="shared" si="45"/>
        <v>1</v>
      </c>
      <c r="Q216" s="33"/>
      <c r="R216" s="33"/>
      <c r="S216" s="33"/>
    </row>
    <row r="217" spans="1:19" ht="14.5" hidden="1" customHeight="1">
      <c r="A217">
        <v>214</v>
      </c>
      <c r="B217" s="37">
        <f t="shared" si="40"/>
        <v>1</v>
      </c>
      <c r="C217" s="38">
        <f t="shared" si="35"/>
        <v>1</v>
      </c>
      <c r="D217" s="33"/>
      <c r="E217" s="33"/>
      <c r="F217" s="39">
        <f t="shared" si="36"/>
        <v>1</v>
      </c>
      <c r="G217" s="36">
        <f t="shared" si="37"/>
        <v>1</v>
      </c>
      <c r="H217" s="36">
        <f t="shared" si="38"/>
        <v>0</v>
      </c>
      <c r="I217" s="36"/>
      <c r="J217" s="36">
        <f t="shared" si="39"/>
        <v>0</v>
      </c>
      <c r="K217" s="36">
        <f t="shared" si="42"/>
        <v>0</v>
      </c>
      <c r="L217" s="36">
        <f t="shared" si="43"/>
        <v>1</v>
      </c>
      <c r="M217" s="33"/>
      <c r="N217" s="40">
        <f t="shared" si="41"/>
        <v>0</v>
      </c>
      <c r="O217" s="32">
        <f t="shared" si="44"/>
        <v>0</v>
      </c>
      <c r="P217" s="32">
        <f t="shared" si="45"/>
        <v>1</v>
      </c>
      <c r="Q217" s="33"/>
      <c r="R217" s="33"/>
      <c r="S217" s="33"/>
    </row>
    <row r="218" spans="1:19" ht="14.5" hidden="1" customHeight="1">
      <c r="A218">
        <v>215</v>
      </c>
      <c r="B218" s="37">
        <f t="shared" si="40"/>
        <v>1</v>
      </c>
      <c r="C218" s="38">
        <f t="shared" si="35"/>
        <v>1</v>
      </c>
      <c r="D218" s="33"/>
      <c r="E218" s="33"/>
      <c r="F218" s="39">
        <f t="shared" si="36"/>
        <v>1</v>
      </c>
      <c r="G218" s="36">
        <f t="shared" si="37"/>
        <v>1</v>
      </c>
      <c r="H218" s="36">
        <f t="shared" si="38"/>
        <v>0</v>
      </c>
      <c r="I218" s="36"/>
      <c r="J218" s="36">
        <f t="shared" si="39"/>
        <v>0</v>
      </c>
      <c r="K218" s="36">
        <f t="shared" si="42"/>
        <v>0</v>
      </c>
      <c r="L218" s="36">
        <f t="shared" si="43"/>
        <v>1</v>
      </c>
      <c r="M218" s="33"/>
      <c r="N218" s="40">
        <f t="shared" si="41"/>
        <v>0</v>
      </c>
      <c r="O218" s="32">
        <f t="shared" si="44"/>
        <v>0</v>
      </c>
      <c r="P218" s="32">
        <f t="shared" si="45"/>
        <v>1</v>
      </c>
      <c r="Q218" s="33"/>
      <c r="R218" s="33"/>
      <c r="S218" s="33"/>
    </row>
    <row r="219" spans="1:19" ht="14.5" hidden="1" customHeight="1">
      <c r="A219">
        <v>216</v>
      </c>
      <c r="B219" s="37">
        <f t="shared" si="40"/>
        <v>1</v>
      </c>
      <c r="C219" s="38">
        <f t="shared" si="35"/>
        <v>1</v>
      </c>
      <c r="D219" s="33"/>
      <c r="E219" s="33"/>
      <c r="F219" s="39">
        <f t="shared" si="36"/>
        <v>1</v>
      </c>
      <c r="G219" s="36">
        <f t="shared" si="37"/>
        <v>1</v>
      </c>
      <c r="H219" s="36">
        <f t="shared" si="38"/>
        <v>0</v>
      </c>
      <c r="I219" s="36"/>
      <c r="J219" s="36">
        <f t="shared" si="39"/>
        <v>0</v>
      </c>
      <c r="K219" s="36">
        <f t="shared" si="42"/>
        <v>0</v>
      </c>
      <c r="L219" s="36">
        <f t="shared" si="43"/>
        <v>1</v>
      </c>
      <c r="M219" s="33"/>
      <c r="N219" s="40">
        <f t="shared" si="41"/>
        <v>0</v>
      </c>
      <c r="O219" s="32">
        <f t="shared" si="44"/>
        <v>0</v>
      </c>
      <c r="P219" s="32">
        <f t="shared" si="45"/>
        <v>1</v>
      </c>
      <c r="Q219" s="33"/>
      <c r="R219" s="33"/>
      <c r="S219" s="33"/>
    </row>
    <row r="220" spans="1:19" ht="14.5" hidden="1" customHeight="1">
      <c r="A220">
        <v>217</v>
      </c>
      <c r="B220" s="37">
        <f t="shared" si="40"/>
        <v>1</v>
      </c>
      <c r="C220" s="38">
        <f t="shared" si="35"/>
        <v>1</v>
      </c>
      <c r="D220" s="33"/>
      <c r="E220" s="33"/>
      <c r="F220" s="39">
        <f t="shared" si="36"/>
        <v>1</v>
      </c>
      <c r="G220" s="36">
        <f t="shared" si="37"/>
        <v>1</v>
      </c>
      <c r="H220" s="36">
        <f t="shared" si="38"/>
        <v>0</v>
      </c>
      <c r="I220" s="36"/>
      <c r="J220" s="36">
        <f t="shared" si="39"/>
        <v>0</v>
      </c>
      <c r="K220" s="36">
        <f t="shared" si="42"/>
        <v>0</v>
      </c>
      <c r="L220" s="36">
        <f t="shared" si="43"/>
        <v>1</v>
      </c>
      <c r="M220" s="33"/>
      <c r="N220" s="40">
        <f t="shared" si="41"/>
        <v>0</v>
      </c>
      <c r="O220" s="32">
        <f t="shared" si="44"/>
        <v>0</v>
      </c>
      <c r="P220" s="32">
        <f t="shared" si="45"/>
        <v>1</v>
      </c>
      <c r="Q220" s="33"/>
      <c r="R220" s="33"/>
      <c r="S220" s="33"/>
    </row>
    <row r="221" spans="1:19" ht="14.5" hidden="1" customHeight="1">
      <c r="A221">
        <v>218</v>
      </c>
      <c r="B221" s="37">
        <f t="shared" si="40"/>
        <v>1</v>
      </c>
      <c r="C221" s="38">
        <f t="shared" si="35"/>
        <v>1</v>
      </c>
      <c r="D221" s="33"/>
      <c r="E221" s="33"/>
      <c r="F221" s="39">
        <f t="shared" si="36"/>
        <v>1</v>
      </c>
      <c r="G221" s="36">
        <f t="shared" si="37"/>
        <v>1</v>
      </c>
      <c r="H221" s="36">
        <f t="shared" si="38"/>
        <v>0</v>
      </c>
      <c r="I221" s="36"/>
      <c r="J221" s="36">
        <f t="shared" si="39"/>
        <v>0</v>
      </c>
      <c r="K221" s="36">
        <f t="shared" si="42"/>
        <v>0</v>
      </c>
      <c r="L221" s="36">
        <f t="shared" si="43"/>
        <v>1</v>
      </c>
      <c r="M221" s="33"/>
      <c r="N221" s="40">
        <f t="shared" si="41"/>
        <v>0</v>
      </c>
      <c r="O221" s="32">
        <f t="shared" si="44"/>
        <v>0</v>
      </c>
      <c r="P221" s="32">
        <f t="shared" si="45"/>
        <v>1</v>
      </c>
      <c r="Q221" s="33"/>
      <c r="R221" s="33"/>
      <c r="S221" s="33"/>
    </row>
    <row r="222" spans="1:19" ht="14.5" hidden="1" customHeight="1">
      <c r="A222">
        <v>219</v>
      </c>
      <c r="B222" s="37">
        <f t="shared" si="40"/>
        <v>1</v>
      </c>
      <c r="C222" s="38">
        <f t="shared" si="35"/>
        <v>1</v>
      </c>
      <c r="D222" s="33"/>
      <c r="E222" s="33"/>
      <c r="F222" s="39">
        <f t="shared" si="36"/>
        <v>1</v>
      </c>
      <c r="G222" s="36">
        <f t="shared" si="37"/>
        <v>1</v>
      </c>
      <c r="H222" s="36">
        <f t="shared" si="38"/>
        <v>0</v>
      </c>
      <c r="I222" s="36"/>
      <c r="J222" s="36">
        <f t="shared" si="39"/>
        <v>0</v>
      </c>
      <c r="K222" s="36">
        <f t="shared" si="42"/>
        <v>0</v>
      </c>
      <c r="L222" s="36">
        <f t="shared" si="43"/>
        <v>1</v>
      </c>
      <c r="M222" s="33"/>
      <c r="N222" s="40">
        <f t="shared" si="41"/>
        <v>0</v>
      </c>
      <c r="O222" s="32">
        <f t="shared" si="44"/>
        <v>0</v>
      </c>
      <c r="P222" s="32">
        <f t="shared" si="45"/>
        <v>1</v>
      </c>
      <c r="Q222" s="33"/>
      <c r="R222" s="33"/>
      <c r="S222" s="33"/>
    </row>
    <row r="223" spans="1:19" ht="14.5" hidden="1" customHeight="1">
      <c r="A223">
        <v>220</v>
      </c>
      <c r="B223" s="37">
        <f t="shared" si="40"/>
        <v>1</v>
      </c>
      <c r="C223" s="38">
        <f t="shared" si="35"/>
        <v>1</v>
      </c>
      <c r="D223" s="33"/>
      <c r="E223" s="33"/>
      <c r="F223" s="39">
        <f t="shared" si="36"/>
        <v>1</v>
      </c>
      <c r="G223" s="36">
        <f t="shared" si="37"/>
        <v>1</v>
      </c>
      <c r="H223" s="36">
        <f t="shared" si="38"/>
        <v>0</v>
      </c>
      <c r="I223" s="36"/>
      <c r="J223" s="36">
        <f t="shared" si="39"/>
        <v>0</v>
      </c>
      <c r="K223" s="36">
        <f t="shared" si="42"/>
        <v>0</v>
      </c>
      <c r="L223" s="36">
        <f t="shared" si="43"/>
        <v>1</v>
      </c>
      <c r="M223" s="33"/>
      <c r="N223" s="40">
        <f t="shared" si="41"/>
        <v>0</v>
      </c>
      <c r="O223" s="32">
        <f t="shared" si="44"/>
        <v>0</v>
      </c>
      <c r="P223" s="32">
        <f t="shared" si="45"/>
        <v>1</v>
      </c>
      <c r="Q223" s="33"/>
      <c r="R223" s="33"/>
      <c r="S223" s="33"/>
    </row>
    <row r="224" spans="1:19" ht="14.5" hidden="1" customHeight="1">
      <c r="A224">
        <v>221</v>
      </c>
      <c r="B224" s="37">
        <f t="shared" si="40"/>
        <v>1</v>
      </c>
      <c r="C224" s="38">
        <f t="shared" si="35"/>
        <v>1</v>
      </c>
      <c r="D224" s="33"/>
      <c r="E224" s="33"/>
      <c r="F224" s="39">
        <f t="shared" si="36"/>
        <v>1</v>
      </c>
      <c r="G224" s="36">
        <f t="shared" si="37"/>
        <v>1</v>
      </c>
      <c r="H224" s="36">
        <f t="shared" si="38"/>
        <v>0</v>
      </c>
      <c r="I224" s="36"/>
      <c r="J224" s="36">
        <f t="shared" si="39"/>
        <v>0</v>
      </c>
      <c r="K224" s="36">
        <f t="shared" si="42"/>
        <v>0</v>
      </c>
      <c r="L224" s="36">
        <f t="shared" si="43"/>
        <v>1</v>
      </c>
      <c r="M224" s="33"/>
      <c r="N224" s="40">
        <f t="shared" si="41"/>
        <v>0</v>
      </c>
      <c r="O224" s="32">
        <f t="shared" si="44"/>
        <v>0</v>
      </c>
      <c r="P224" s="32">
        <f t="shared" si="45"/>
        <v>1</v>
      </c>
      <c r="Q224" s="33"/>
      <c r="R224" s="33"/>
      <c r="S224" s="33"/>
    </row>
    <row r="225" spans="1:19" ht="14.5" hidden="1" customHeight="1">
      <c r="A225">
        <v>222</v>
      </c>
      <c r="B225" s="37">
        <f t="shared" si="40"/>
        <v>1</v>
      </c>
      <c r="C225" s="38">
        <f t="shared" si="35"/>
        <v>1</v>
      </c>
      <c r="D225" s="33"/>
      <c r="E225" s="33"/>
      <c r="F225" s="39">
        <f t="shared" si="36"/>
        <v>1</v>
      </c>
      <c r="G225" s="36">
        <f t="shared" si="37"/>
        <v>1</v>
      </c>
      <c r="H225" s="36">
        <f t="shared" si="38"/>
        <v>0</v>
      </c>
      <c r="I225" s="36"/>
      <c r="J225" s="36">
        <f t="shared" si="39"/>
        <v>0</v>
      </c>
      <c r="K225" s="36">
        <f t="shared" si="42"/>
        <v>0</v>
      </c>
      <c r="L225" s="36">
        <f t="shared" si="43"/>
        <v>1</v>
      </c>
      <c r="M225" s="33"/>
      <c r="N225" s="40">
        <f t="shared" si="41"/>
        <v>0</v>
      </c>
      <c r="O225" s="32">
        <f t="shared" si="44"/>
        <v>0</v>
      </c>
      <c r="P225" s="32">
        <f t="shared" si="45"/>
        <v>1</v>
      </c>
      <c r="Q225" s="33"/>
      <c r="R225" s="33"/>
      <c r="S225" s="33"/>
    </row>
    <row r="226" spans="1:19" ht="14.5" hidden="1" customHeight="1">
      <c r="A226">
        <v>223</v>
      </c>
      <c r="B226" s="37">
        <f t="shared" si="40"/>
        <v>1</v>
      </c>
      <c r="C226" s="38">
        <f t="shared" si="35"/>
        <v>1</v>
      </c>
      <c r="D226" s="33"/>
      <c r="E226" s="33"/>
      <c r="F226" s="39">
        <f t="shared" si="36"/>
        <v>1</v>
      </c>
      <c r="G226" s="36">
        <f t="shared" si="37"/>
        <v>1</v>
      </c>
      <c r="H226" s="36">
        <f t="shared" si="38"/>
        <v>0</v>
      </c>
      <c r="I226" s="36"/>
      <c r="J226" s="36">
        <f t="shared" si="39"/>
        <v>0</v>
      </c>
      <c r="K226" s="36">
        <f t="shared" si="42"/>
        <v>0</v>
      </c>
      <c r="L226" s="36">
        <f t="shared" si="43"/>
        <v>1</v>
      </c>
      <c r="M226" s="33"/>
      <c r="N226" s="40">
        <f t="shared" si="41"/>
        <v>0</v>
      </c>
      <c r="O226" s="32">
        <f t="shared" si="44"/>
        <v>0</v>
      </c>
      <c r="P226" s="32">
        <f t="shared" si="45"/>
        <v>1</v>
      </c>
      <c r="Q226" s="33"/>
      <c r="R226" s="33"/>
      <c r="S226" s="33"/>
    </row>
    <row r="227" spans="1:19" ht="14.5" hidden="1" customHeight="1">
      <c r="A227">
        <v>224</v>
      </c>
      <c r="B227" s="37">
        <f t="shared" si="40"/>
        <v>1</v>
      </c>
      <c r="C227" s="38">
        <f t="shared" si="35"/>
        <v>1</v>
      </c>
      <c r="D227" s="33"/>
      <c r="E227" s="33"/>
      <c r="F227" s="39">
        <f t="shared" si="36"/>
        <v>1</v>
      </c>
      <c r="G227" s="36">
        <f t="shared" si="37"/>
        <v>1</v>
      </c>
      <c r="H227" s="36">
        <f t="shared" si="38"/>
        <v>0</v>
      </c>
      <c r="I227" s="36"/>
      <c r="J227" s="36">
        <f t="shared" si="39"/>
        <v>0</v>
      </c>
      <c r="K227" s="36">
        <f t="shared" si="42"/>
        <v>0</v>
      </c>
      <c r="L227" s="36">
        <f t="shared" si="43"/>
        <v>1</v>
      </c>
      <c r="M227" s="33"/>
      <c r="N227" s="40">
        <f t="shared" si="41"/>
        <v>0</v>
      </c>
      <c r="O227" s="32">
        <f t="shared" si="44"/>
        <v>0</v>
      </c>
      <c r="P227" s="32">
        <f t="shared" si="45"/>
        <v>1</v>
      </c>
      <c r="Q227" s="33"/>
      <c r="R227" s="33"/>
      <c r="S227" s="33"/>
    </row>
    <row r="228" spans="1:19" ht="14.5" hidden="1" customHeight="1">
      <c r="A228">
        <v>225</v>
      </c>
      <c r="B228" s="37">
        <f t="shared" si="40"/>
        <v>1</v>
      </c>
      <c r="C228" s="38">
        <f t="shared" si="35"/>
        <v>1</v>
      </c>
      <c r="D228" s="33"/>
      <c r="E228" s="33"/>
      <c r="F228" s="39">
        <f t="shared" si="36"/>
        <v>1</v>
      </c>
      <c r="G228" s="36">
        <f t="shared" si="37"/>
        <v>1</v>
      </c>
      <c r="H228" s="36">
        <f t="shared" si="38"/>
        <v>0</v>
      </c>
      <c r="I228" s="36"/>
      <c r="J228" s="36">
        <f t="shared" si="39"/>
        <v>0</v>
      </c>
      <c r="K228" s="36">
        <f t="shared" si="42"/>
        <v>0</v>
      </c>
      <c r="L228" s="36">
        <f t="shared" si="43"/>
        <v>1</v>
      </c>
      <c r="M228" s="33"/>
      <c r="N228" s="40">
        <f t="shared" si="41"/>
        <v>0</v>
      </c>
      <c r="O228" s="32">
        <f t="shared" si="44"/>
        <v>0</v>
      </c>
      <c r="P228" s="32">
        <f t="shared" si="45"/>
        <v>1</v>
      </c>
      <c r="Q228" s="33"/>
      <c r="R228" s="33"/>
      <c r="S228" s="33"/>
    </row>
    <row r="229" spans="1:19" ht="14.5" hidden="1" customHeight="1">
      <c r="A229">
        <v>226</v>
      </c>
      <c r="B229" s="37">
        <f t="shared" si="40"/>
        <v>1</v>
      </c>
      <c r="C229" s="38">
        <f t="shared" si="35"/>
        <v>1</v>
      </c>
      <c r="D229" s="33"/>
      <c r="E229" s="33"/>
      <c r="F229" s="39">
        <f t="shared" si="36"/>
        <v>1</v>
      </c>
      <c r="G229" s="36">
        <f t="shared" si="37"/>
        <v>1</v>
      </c>
      <c r="H229" s="36">
        <f t="shared" si="38"/>
        <v>0</v>
      </c>
      <c r="I229" s="36"/>
      <c r="J229" s="36">
        <f t="shared" si="39"/>
        <v>0</v>
      </c>
      <c r="K229" s="36">
        <f t="shared" si="42"/>
        <v>0</v>
      </c>
      <c r="L229" s="36">
        <f t="shared" si="43"/>
        <v>1</v>
      </c>
      <c r="M229" s="33"/>
      <c r="N229" s="40">
        <f t="shared" si="41"/>
        <v>0</v>
      </c>
      <c r="O229" s="32">
        <f t="shared" si="44"/>
        <v>0</v>
      </c>
      <c r="P229" s="32">
        <f t="shared" si="45"/>
        <v>1</v>
      </c>
      <c r="Q229" s="33"/>
      <c r="R229" s="33"/>
      <c r="S229" s="33"/>
    </row>
    <row r="230" spans="1:19" ht="14.5" hidden="1" customHeight="1">
      <c r="A230">
        <v>227</v>
      </c>
      <c r="B230" s="37">
        <f t="shared" si="40"/>
        <v>1</v>
      </c>
      <c r="C230" s="38">
        <f t="shared" si="35"/>
        <v>1</v>
      </c>
      <c r="D230" s="33"/>
      <c r="E230" s="33"/>
      <c r="F230" s="39">
        <f t="shared" si="36"/>
        <v>1</v>
      </c>
      <c r="G230" s="36">
        <f t="shared" si="37"/>
        <v>1</v>
      </c>
      <c r="H230" s="36">
        <f t="shared" si="38"/>
        <v>0</v>
      </c>
      <c r="I230" s="36"/>
      <c r="J230" s="36">
        <f t="shared" si="39"/>
        <v>0</v>
      </c>
      <c r="K230" s="36">
        <f t="shared" si="42"/>
        <v>0</v>
      </c>
      <c r="L230" s="36">
        <f t="shared" si="43"/>
        <v>1</v>
      </c>
      <c r="M230" s="33"/>
      <c r="N230" s="40">
        <f t="shared" si="41"/>
        <v>0</v>
      </c>
      <c r="O230" s="32">
        <f t="shared" si="44"/>
        <v>0</v>
      </c>
      <c r="P230" s="32">
        <f t="shared" si="45"/>
        <v>1</v>
      </c>
      <c r="Q230" s="33"/>
      <c r="R230" s="33"/>
      <c r="S230" s="33"/>
    </row>
    <row r="231" spans="1:19" ht="14.5" hidden="1" customHeight="1">
      <c r="A231">
        <v>228</v>
      </c>
      <c r="B231" s="37">
        <f t="shared" si="40"/>
        <v>1</v>
      </c>
      <c r="C231" s="38">
        <f t="shared" si="35"/>
        <v>1</v>
      </c>
      <c r="D231" s="33"/>
      <c r="E231" s="33"/>
      <c r="F231" s="39">
        <f t="shared" si="36"/>
        <v>1</v>
      </c>
      <c r="G231" s="36">
        <f t="shared" si="37"/>
        <v>1</v>
      </c>
      <c r="H231" s="36">
        <f t="shared" si="38"/>
        <v>0</v>
      </c>
      <c r="I231" s="36"/>
      <c r="J231" s="36">
        <f t="shared" si="39"/>
        <v>0</v>
      </c>
      <c r="K231" s="36">
        <f t="shared" si="42"/>
        <v>0</v>
      </c>
      <c r="L231" s="36">
        <f t="shared" si="43"/>
        <v>1</v>
      </c>
      <c r="M231" s="33"/>
      <c r="N231" s="40">
        <f t="shared" si="41"/>
        <v>0</v>
      </c>
      <c r="O231" s="32">
        <f t="shared" si="44"/>
        <v>0</v>
      </c>
      <c r="P231" s="32">
        <f t="shared" si="45"/>
        <v>1</v>
      </c>
      <c r="Q231" s="33"/>
      <c r="R231" s="33"/>
      <c r="S231" s="33"/>
    </row>
    <row r="232" spans="1:19" ht="14.5" hidden="1" customHeight="1">
      <c r="A232">
        <v>229</v>
      </c>
      <c r="B232" s="37">
        <f t="shared" si="40"/>
        <v>1</v>
      </c>
      <c r="C232" s="38">
        <f t="shared" si="35"/>
        <v>1</v>
      </c>
      <c r="D232" s="33"/>
      <c r="E232" s="33"/>
      <c r="F232" s="39">
        <f t="shared" si="36"/>
        <v>1</v>
      </c>
      <c r="G232" s="36">
        <f t="shared" si="37"/>
        <v>1</v>
      </c>
      <c r="H232" s="36">
        <f t="shared" si="38"/>
        <v>0</v>
      </c>
      <c r="I232" s="36"/>
      <c r="J232" s="36">
        <f t="shared" si="39"/>
        <v>0</v>
      </c>
      <c r="K232" s="36">
        <f t="shared" si="42"/>
        <v>0</v>
      </c>
      <c r="L232" s="36">
        <f t="shared" si="43"/>
        <v>1</v>
      </c>
      <c r="M232" s="33"/>
      <c r="N232" s="40">
        <f t="shared" si="41"/>
        <v>0</v>
      </c>
      <c r="O232" s="32">
        <f t="shared" si="44"/>
        <v>0</v>
      </c>
      <c r="P232" s="32">
        <f t="shared" si="45"/>
        <v>1</v>
      </c>
      <c r="Q232" s="33"/>
      <c r="R232" s="33"/>
      <c r="S232" s="33"/>
    </row>
    <row r="233" spans="1:19" ht="14.5" hidden="1" customHeight="1">
      <c r="A233">
        <v>230</v>
      </c>
      <c r="B233" s="37">
        <f t="shared" si="40"/>
        <v>1</v>
      </c>
      <c r="C233" s="38">
        <f t="shared" si="35"/>
        <v>1</v>
      </c>
      <c r="D233" s="33"/>
      <c r="E233" s="33"/>
      <c r="F233" s="39">
        <f t="shared" si="36"/>
        <v>1</v>
      </c>
      <c r="G233" s="36">
        <f t="shared" si="37"/>
        <v>1</v>
      </c>
      <c r="H233" s="36">
        <f t="shared" si="38"/>
        <v>0</v>
      </c>
      <c r="I233" s="36"/>
      <c r="J233" s="36">
        <f t="shared" si="39"/>
        <v>0</v>
      </c>
      <c r="K233" s="36">
        <f t="shared" si="42"/>
        <v>0</v>
      </c>
      <c r="L233" s="36">
        <f t="shared" si="43"/>
        <v>1</v>
      </c>
      <c r="M233" s="33"/>
      <c r="N233" s="40">
        <f t="shared" si="41"/>
        <v>0</v>
      </c>
      <c r="O233" s="32">
        <f t="shared" si="44"/>
        <v>0</v>
      </c>
      <c r="P233" s="32">
        <f t="shared" si="45"/>
        <v>1</v>
      </c>
      <c r="Q233" s="33"/>
      <c r="R233" s="33"/>
      <c r="S233" s="33"/>
    </row>
    <row r="234" spans="1:19" ht="14.5" hidden="1" customHeight="1">
      <c r="A234">
        <v>231</v>
      </c>
      <c r="B234" s="37">
        <f t="shared" si="40"/>
        <v>1</v>
      </c>
      <c r="C234" s="38">
        <f t="shared" si="35"/>
        <v>1</v>
      </c>
      <c r="D234" s="33"/>
      <c r="E234" s="33"/>
      <c r="F234" s="39">
        <f t="shared" si="36"/>
        <v>1</v>
      </c>
      <c r="G234" s="36">
        <f t="shared" si="37"/>
        <v>1</v>
      </c>
      <c r="H234" s="36">
        <f t="shared" si="38"/>
        <v>0</v>
      </c>
      <c r="I234" s="36"/>
      <c r="J234" s="36">
        <f t="shared" si="39"/>
        <v>0</v>
      </c>
      <c r="K234" s="36">
        <f t="shared" si="42"/>
        <v>0</v>
      </c>
      <c r="L234" s="36">
        <f t="shared" si="43"/>
        <v>1</v>
      </c>
      <c r="M234" s="33"/>
      <c r="N234" s="40">
        <f t="shared" si="41"/>
        <v>0</v>
      </c>
      <c r="O234" s="32">
        <f t="shared" si="44"/>
        <v>0</v>
      </c>
      <c r="P234" s="32">
        <f t="shared" si="45"/>
        <v>1</v>
      </c>
      <c r="Q234" s="33"/>
      <c r="R234" s="33"/>
      <c r="S234" s="33"/>
    </row>
    <row r="235" spans="1:19" ht="14.5" hidden="1" customHeight="1">
      <c r="A235">
        <v>232</v>
      </c>
      <c r="B235" s="37">
        <f t="shared" si="40"/>
        <v>1</v>
      </c>
      <c r="C235" s="38">
        <f t="shared" si="35"/>
        <v>1</v>
      </c>
      <c r="D235" s="33"/>
      <c r="E235" s="33"/>
      <c r="F235" s="39">
        <f t="shared" si="36"/>
        <v>1</v>
      </c>
      <c r="G235" s="36">
        <f t="shared" si="37"/>
        <v>1</v>
      </c>
      <c r="H235" s="36">
        <f t="shared" si="38"/>
        <v>0</v>
      </c>
      <c r="I235" s="36"/>
      <c r="J235" s="36">
        <f t="shared" si="39"/>
        <v>0</v>
      </c>
      <c r="K235" s="36">
        <f t="shared" si="42"/>
        <v>0</v>
      </c>
      <c r="L235" s="36">
        <f t="shared" si="43"/>
        <v>1</v>
      </c>
      <c r="M235" s="33"/>
      <c r="N235" s="40">
        <f t="shared" si="41"/>
        <v>0</v>
      </c>
      <c r="O235" s="32">
        <f t="shared" si="44"/>
        <v>0</v>
      </c>
      <c r="P235" s="32">
        <f t="shared" si="45"/>
        <v>1</v>
      </c>
      <c r="Q235" s="33"/>
      <c r="R235" s="33"/>
      <c r="S235" s="33"/>
    </row>
    <row r="236" spans="1:19" ht="14.5" hidden="1" customHeight="1">
      <c r="A236">
        <v>233</v>
      </c>
      <c r="B236" s="37">
        <f t="shared" si="40"/>
        <v>1</v>
      </c>
      <c r="C236" s="38">
        <f t="shared" si="35"/>
        <v>1</v>
      </c>
      <c r="D236" s="33"/>
      <c r="E236" s="33"/>
      <c r="F236" s="39">
        <f t="shared" si="36"/>
        <v>1</v>
      </c>
      <c r="G236" s="36">
        <f t="shared" si="37"/>
        <v>1</v>
      </c>
      <c r="H236" s="36">
        <f t="shared" si="38"/>
        <v>0</v>
      </c>
      <c r="I236" s="36"/>
      <c r="J236" s="36">
        <f t="shared" si="39"/>
        <v>0</v>
      </c>
      <c r="K236" s="36">
        <f t="shared" si="42"/>
        <v>0</v>
      </c>
      <c r="L236" s="36">
        <f t="shared" si="43"/>
        <v>1</v>
      </c>
      <c r="M236" s="33"/>
      <c r="N236" s="40">
        <f t="shared" si="41"/>
        <v>0</v>
      </c>
      <c r="O236" s="32">
        <f t="shared" si="44"/>
        <v>0</v>
      </c>
      <c r="P236" s="32">
        <f t="shared" si="45"/>
        <v>1</v>
      </c>
      <c r="Q236" s="33"/>
      <c r="R236" s="33"/>
      <c r="S236" s="33"/>
    </row>
    <row r="237" spans="1:19" ht="14.5" hidden="1" customHeight="1">
      <c r="A237">
        <v>234</v>
      </c>
      <c r="B237" s="37">
        <f t="shared" si="40"/>
        <v>1</v>
      </c>
      <c r="C237" s="38">
        <f t="shared" si="35"/>
        <v>1</v>
      </c>
      <c r="D237" s="33"/>
      <c r="E237" s="33"/>
      <c r="F237" s="39">
        <f t="shared" si="36"/>
        <v>1</v>
      </c>
      <c r="G237" s="36">
        <f t="shared" si="37"/>
        <v>1</v>
      </c>
      <c r="H237" s="36">
        <f t="shared" si="38"/>
        <v>0</v>
      </c>
      <c r="I237" s="36"/>
      <c r="J237" s="36">
        <f t="shared" si="39"/>
        <v>0</v>
      </c>
      <c r="K237" s="36">
        <f t="shared" si="42"/>
        <v>0</v>
      </c>
      <c r="L237" s="36">
        <f t="shared" si="43"/>
        <v>1</v>
      </c>
      <c r="M237" s="33"/>
      <c r="N237" s="40">
        <f t="shared" si="41"/>
        <v>0</v>
      </c>
      <c r="O237" s="32">
        <f t="shared" si="44"/>
        <v>0</v>
      </c>
      <c r="P237" s="32">
        <f t="shared" si="45"/>
        <v>1</v>
      </c>
      <c r="Q237" s="33"/>
      <c r="R237" s="33"/>
      <c r="S237" s="33"/>
    </row>
    <row r="238" spans="1:19" ht="14.5" hidden="1" customHeight="1">
      <c r="A238">
        <v>235</v>
      </c>
      <c r="B238" s="37">
        <f t="shared" si="40"/>
        <v>1</v>
      </c>
      <c r="C238" s="38">
        <f t="shared" si="35"/>
        <v>1</v>
      </c>
      <c r="D238" s="33"/>
      <c r="E238" s="33"/>
      <c r="F238" s="39">
        <f t="shared" si="36"/>
        <v>1</v>
      </c>
      <c r="G238" s="36">
        <f t="shared" si="37"/>
        <v>1</v>
      </c>
      <c r="H238" s="36">
        <f t="shared" si="38"/>
        <v>0</v>
      </c>
      <c r="I238" s="36"/>
      <c r="J238" s="36">
        <f t="shared" si="39"/>
        <v>0</v>
      </c>
      <c r="K238" s="36">
        <f t="shared" si="42"/>
        <v>0</v>
      </c>
      <c r="L238" s="36">
        <f t="shared" si="43"/>
        <v>1</v>
      </c>
      <c r="M238" s="33"/>
      <c r="N238" s="40">
        <f t="shared" si="41"/>
        <v>0</v>
      </c>
      <c r="O238" s="32">
        <f t="shared" si="44"/>
        <v>0</v>
      </c>
      <c r="P238" s="32">
        <f t="shared" si="45"/>
        <v>1</v>
      </c>
      <c r="Q238" s="33"/>
      <c r="R238" s="33"/>
      <c r="S238" s="33"/>
    </row>
    <row r="239" spans="1:19" ht="14.5" hidden="1" customHeight="1">
      <c r="A239">
        <v>236</v>
      </c>
      <c r="B239" s="37">
        <f t="shared" si="40"/>
        <v>1</v>
      </c>
      <c r="C239" s="38">
        <f t="shared" si="35"/>
        <v>1</v>
      </c>
      <c r="D239" s="33"/>
      <c r="E239" s="33"/>
      <c r="F239" s="39">
        <f t="shared" si="36"/>
        <v>1</v>
      </c>
      <c r="G239" s="36">
        <f t="shared" si="37"/>
        <v>1</v>
      </c>
      <c r="H239" s="36">
        <f t="shared" si="38"/>
        <v>0</v>
      </c>
      <c r="I239" s="36"/>
      <c r="J239" s="36">
        <f t="shared" si="39"/>
        <v>0</v>
      </c>
      <c r="K239" s="36">
        <f t="shared" si="42"/>
        <v>0</v>
      </c>
      <c r="L239" s="36">
        <f t="shared" si="43"/>
        <v>1</v>
      </c>
      <c r="M239" s="33"/>
      <c r="N239" s="40">
        <f t="shared" si="41"/>
        <v>0</v>
      </c>
      <c r="O239" s="32">
        <f t="shared" si="44"/>
        <v>0</v>
      </c>
      <c r="P239" s="32">
        <f t="shared" si="45"/>
        <v>1</v>
      </c>
      <c r="Q239" s="33"/>
      <c r="R239" s="33"/>
      <c r="S239" s="33"/>
    </row>
    <row r="240" spans="1:19" ht="14.5" hidden="1" customHeight="1">
      <c r="A240">
        <v>237</v>
      </c>
      <c r="B240" s="37">
        <f t="shared" si="40"/>
        <v>1</v>
      </c>
      <c r="C240" s="38">
        <f t="shared" si="35"/>
        <v>1</v>
      </c>
      <c r="D240" s="33"/>
      <c r="E240" s="33"/>
      <c r="F240" s="39">
        <f t="shared" si="36"/>
        <v>1</v>
      </c>
      <c r="G240" s="36">
        <f t="shared" si="37"/>
        <v>1</v>
      </c>
      <c r="H240" s="36">
        <f t="shared" si="38"/>
        <v>0</v>
      </c>
      <c r="I240" s="36"/>
      <c r="J240" s="36">
        <f t="shared" si="39"/>
        <v>0</v>
      </c>
      <c r="K240" s="36">
        <f t="shared" si="42"/>
        <v>0</v>
      </c>
      <c r="L240" s="36">
        <f t="shared" si="43"/>
        <v>1</v>
      </c>
      <c r="M240" s="33"/>
      <c r="N240" s="40">
        <f t="shared" si="41"/>
        <v>0</v>
      </c>
      <c r="O240" s="32">
        <f t="shared" si="44"/>
        <v>0</v>
      </c>
      <c r="P240" s="32">
        <f t="shared" si="45"/>
        <v>1</v>
      </c>
      <c r="Q240" s="33"/>
      <c r="R240" s="33"/>
      <c r="S240" s="33"/>
    </row>
    <row r="241" spans="1:19" ht="14.5" hidden="1" customHeight="1">
      <c r="A241">
        <v>238</v>
      </c>
      <c r="B241" s="37">
        <f t="shared" si="40"/>
        <v>1</v>
      </c>
      <c r="C241" s="38">
        <f t="shared" si="35"/>
        <v>1</v>
      </c>
      <c r="D241" s="33"/>
      <c r="E241" s="33"/>
      <c r="F241" s="39">
        <f t="shared" si="36"/>
        <v>1</v>
      </c>
      <c r="G241" s="36">
        <f t="shared" si="37"/>
        <v>1</v>
      </c>
      <c r="H241" s="36">
        <f t="shared" si="38"/>
        <v>0</v>
      </c>
      <c r="I241" s="36"/>
      <c r="J241" s="36">
        <f t="shared" si="39"/>
        <v>0</v>
      </c>
      <c r="K241" s="36">
        <f t="shared" si="42"/>
        <v>0</v>
      </c>
      <c r="L241" s="36">
        <f t="shared" si="43"/>
        <v>1</v>
      </c>
      <c r="M241" s="33"/>
      <c r="N241" s="40">
        <f t="shared" si="41"/>
        <v>0</v>
      </c>
      <c r="O241" s="32">
        <f t="shared" si="44"/>
        <v>0</v>
      </c>
      <c r="P241" s="32">
        <f t="shared" si="45"/>
        <v>1</v>
      </c>
      <c r="Q241" s="33"/>
      <c r="R241" s="33"/>
      <c r="S241" s="33"/>
    </row>
    <row r="242" spans="1:19" ht="14.5" hidden="1" customHeight="1">
      <c r="A242">
        <v>239</v>
      </c>
      <c r="B242" s="37">
        <f t="shared" si="40"/>
        <v>1</v>
      </c>
      <c r="C242" s="38">
        <f t="shared" si="35"/>
        <v>1</v>
      </c>
      <c r="D242" s="33"/>
      <c r="E242" s="33"/>
      <c r="F242" s="39">
        <f t="shared" si="36"/>
        <v>1</v>
      </c>
      <c r="G242" s="36">
        <f t="shared" si="37"/>
        <v>1</v>
      </c>
      <c r="H242" s="36">
        <f t="shared" si="38"/>
        <v>0</v>
      </c>
      <c r="I242" s="36"/>
      <c r="J242" s="36">
        <f t="shared" si="39"/>
        <v>0</v>
      </c>
      <c r="K242" s="36">
        <f t="shared" si="42"/>
        <v>0</v>
      </c>
      <c r="L242" s="36">
        <f t="shared" si="43"/>
        <v>1</v>
      </c>
      <c r="M242" s="33"/>
      <c r="N242" s="40">
        <f t="shared" si="41"/>
        <v>0</v>
      </c>
      <c r="O242" s="32">
        <f t="shared" si="44"/>
        <v>0</v>
      </c>
      <c r="P242" s="32">
        <f t="shared" si="45"/>
        <v>1</v>
      </c>
      <c r="Q242" s="33"/>
      <c r="R242" s="33"/>
      <c r="S242" s="33"/>
    </row>
    <row r="243" spans="1:19" ht="14.5" hidden="1" customHeight="1">
      <c r="A243">
        <v>240</v>
      </c>
      <c r="B243" s="37">
        <f t="shared" si="40"/>
        <v>1</v>
      </c>
      <c r="C243" s="38">
        <f t="shared" si="35"/>
        <v>1</v>
      </c>
      <c r="D243" s="33"/>
      <c r="E243" s="33"/>
      <c r="F243" s="39">
        <f t="shared" si="36"/>
        <v>1</v>
      </c>
      <c r="G243" s="36">
        <f t="shared" si="37"/>
        <v>1</v>
      </c>
      <c r="H243" s="36">
        <f t="shared" si="38"/>
        <v>0</v>
      </c>
      <c r="I243" s="36"/>
      <c r="J243" s="36">
        <f t="shared" si="39"/>
        <v>0</v>
      </c>
      <c r="K243" s="36">
        <f t="shared" si="42"/>
        <v>0</v>
      </c>
      <c r="L243" s="36">
        <f t="shared" si="43"/>
        <v>1</v>
      </c>
      <c r="M243" s="33"/>
      <c r="N243" s="40">
        <f t="shared" si="41"/>
        <v>0</v>
      </c>
      <c r="O243" s="32">
        <f t="shared" si="44"/>
        <v>0</v>
      </c>
      <c r="P243" s="32">
        <f t="shared" si="45"/>
        <v>1</v>
      </c>
      <c r="Q243" s="33"/>
      <c r="R243" s="33"/>
      <c r="S243" s="33"/>
    </row>
    <row r="244" spans="1:19" ht="14.5" hidden="1" customHeight="1">
      <c r="A244">
        <v>241</v>
      </c>
      <c r="B244" s="37">
        <f t="shared" si="40"/>
        <v>1</v>
      </c>
      <c r="C244" s="38">
        <f t="shared" si="35"/>
        <v>1</v>
      </c>
      <c r="D244" s="33"/>
      <c r="E244" s="33"/>
      <c r="F244" s="39">
        <f t="shared" si="36"/>
        <v>1</v>
      </c>
      <c r="G244" s="36">
        <f t="shared" si="37"/>
        <v>1</v>
      </c>
      <c r="H244" s="36">
        <f t="shared" si="38"/>
        <v>0</v>
      </c>
      <c r="I244" s="36"/>
      <c r="J244" s="36">
        <f t="shared" si="39"/>
        <v>0</v>
      </c>
      <c r="K244" s="36">
        <f t="shared" si="42"/>
        <v>0</v>
      </c>
      <c r="L244" s="36">
        <f t="shared" si="43"/>
        <v>1</v>
      </c>
      <c r="M244" s="33"/>
      <c r="N244" s="40">
        <f t="shared" si="41"/>
        <v>0</v>
      </c>
      <c r="O244" s="32">
        <f t="shared" si="44"/>
        <v>0</v>
      </c>
      <c r="P244" s="32">
        <f t="shared" si="45"/>
        <v>1</v>
      </c>
      <c r="Q244" s="33"/>
      <c r="R244" s="33"/>
      <c r="S244" s="33"/>
    </row>
    <row r="245" spans="1:19" ht="14.5" hidden="1" customHeight="1">
      <c r="A245">
        <v>242</v>
      </c>
      <c r="B245" s="37">
        <f t="shared" si="40"/>
        <v>1</v>
      </c>
      <c r="C245" s="38">
        <f t="shared" si="35"/>
        <v>1</v>
      </c>
      <c r="D245" s="33"/>
      <c r="E245" s="33"/>
      <c r="F245" s="39">
        <f t="shared" si="36"/>
        <v>1</v>
      </c>
      <c r="G245" s="36">
        <f t="shared" si="37"/>
        <v>1</v>
      </c>
      <c r="H245" s="36">
        <f t="shared" si="38"/>
        <v>0</v>
      </c>
      <c r="I245" s="36"/>
      <c r="J245" s="36">
        <f t="shared" si="39"/>
        <v>0</v>
      </c>
      <c r="K245" s="36">
        <f t="shared" si="42"/>
        <v>0</v>
      </c>
      <c r="L245" s="36">
        <f t="shared" si="43"/>
        <v>1</v>
      </c>
      <c r="M245" s="33"/>
      <c r="N245" s="40">
        <f t="shared" si="41"/>
        <v>0</v>
      </c>
      <c r="O245" s="32">
        <f t="shared" si="44"/>
        <v>0</v>
      </c>
      <c r="P245" s="32">
        <f t="shared" si="45"/>
        <v>1</v>
      </c>
      <c r="Q245" s="33"/>
      <c r="R245" s="33"/>
      <c r="S245" s="33"/>
    </row>
    <row r="246" spans="1:19" ht="14.5" hidden="1" customHeight="1">
      <c r="A246">
        <v>243</v>
      </c>
      <c r="B246" s="37">
        <f t="shared" si="40"/>
        <v>1</v>
      </c>
      <c r="C246" s="38">
        <f t="shared" si="35"/>
        <v>1</v>
      </c>
      <c r="D246" s="33"/>
      <c r="E246" s="33"/>
      <c r="F246" s="39">
        <f t="shared" si="36"/>
        <v>1</v>
      </c>
      <c r="G246" s="36">
        <f t="shared" si="37"/>
        <v>1</v>
      </c>
      <c r="H246" s="36">
        <f t="shared" si="38"/>
        <v>0</v>
      </c>
      <c r="I246" s="36"/>
      <c r="J246" s="36">
        <f t="shared" si="39"/>
        <v>0</v>
      </c>
      <c r="K246" s="36">
        <f t="shared" si="42"/>
        <v>0</v>
      </c>
      <c r="L246" s="36">
        <f t="shared" si="43"/>
        <v>1</v>
      </c>
      <c r="M246" s="33"/>
      <c r="N246" s="40">
        <f t="shared" si="41"/>
        <v>0</v>
      </c>
      <c r="O246" s="32">
        <f t="shared" si="44"/>
        <v>0</v>
      </c>
      <c r="P246" s="32">
        <f t="shared" si="45"/>
        <v>1</v>
      </c>
      <c r="Q246" s="33"/>
      <c r="R246" s="33"/>
      <c r="S246" s="33"/>
    </row>
    <row r="247" spans="1:19" ht="14.5" hidden="1" customHeight="1">
      <c r="A247">
        <v>244</v>
      </c>
      <c r="B247" s="37">
        <f t="shared" si="40"/>
        <v>1</v>
      </c>
      <c r="C247" s="38">
        <f t="shared" si="35"/>
        <v>1</v>
      </c>
      <c r="D247" s="33"/>
      <c r="E247" s="33"/>
      <c r="F247" s="39">
        <f t="shared" si="36"/>
        <v>1</v>
      </c>
      <c r="G247" s="36">
        <f t="shared" si="37"/>
        <v>1</v>
      </c>
      <c r="H247" s="36">
        <f t="shared" si="38"/>
        <v>0</v>
      </c>
      <c r="I247" s="36"/>
      <c r="J247" s="36">
        <f t="shared" si="39"/>
        <v>0</v>
      </c>
      <c r="K247" s="36">
        <f t="shared" si="42"/>
        <v>0</v>
      </c>
      <c r="L247" s="36">
        <f t="shared" si="43"/>
        <v>1</v>
      </c>
      <c r="M247" s="33"/>
      <c r="N247" s="40">
        <f t="shared" si="41"/>
        <v>0</v>
      </c>
      <c r="O247" s="32">
        <f t="shared" si="44"/>
        <v>0</v>
      </c>
      <c r="P247" s="32">
        <f t="shared" si="45"/>
        <v>1</v>
      </c>
      <c r="Q247" s="33"/>
      <c r="R247" s="33"/>
      <c r="S247" s="33"/>
    </row>
    <row r="248" spans="1:19" ht="14.5" hidden="1" customHeight="1">
      <c r="A248">
        <v>245</v>
      </c>
      <c r="B248" s="37">
        <f t="shared" si="40"/>
        <v>1</v>
      </c>
      <c r="C248" s="38">
        <f t="shared" si="35"/>
        <v>1</v>
      </c>
      <c r="D248" s="33"/>
      <c r="E248" s="33"/>
      <c r="F248" s="39">
        <f t="shared" si="36"/>
        <v>1</v>
      </c>
      <c r="G248" s="36">
        <f t="shared" si="37"/>
        <v>1</v>
      </c>
      <c r="H248" s="36">
        <f t="shared" si="38"/>
        <v>0</v>
      </c>
      <c r="I248" s="36"/>
      <c r="J248" s="36">
        <f t="shared" si="39"/>
        <v>0</v>
      </c>
      <c r="K248" s="36">
        <f t="shared" si="42"/>
        <v>0</v>
      </c>
      <c r="L248" s="36">
        <f t="shared" si="43"/>
        <v>1</v>
      </c>
      <c r="M248" s="33"/>
      <c r="N248" s="40">
        <f t="shared" si="41"/>
        <v>0</v>
      </c>
      <c r="O248" s="32">
        <f t="shared" si="44"/>
        <v>0</v>
      </c>
      <c r="P248" s="32">
        <f t="shared" si="45"/>
        <v>1</v>
      </c>
      <c r="Q248" s="33"/>
      <c r="R248" s="33"/>
      <c r="S248" s="33"/>
    </row>
    <row r="249" spans="1:19" ht="14.5" hidden="1" customHeight="1">
      <c r="A249">
        <v>246</v>
      </c>
      <c r="B249" s="37">
        <f t="shared" si="40"/>
        <v>1</v>
      </c>
      <c r="C249" s="38">
        <f t="shared" si="35"/>
        <v>1</v>
      </c>
      <c r="D249" s="33"/>
      <c r="E249" s="33"/>
      <c r="F249" s="39">
        <f t="shared" si="36"/>
        <v>1</v>
      </c>
      <c r="G249" s="36">
        <f t="shared" si="37"/>
        <v>1</v>
      </c>
      <c r="H249" s="36">
        <f t="shared" si="38"/>
        <v>0</v>
      </c>
      <c r="I249" s="36"/>
      <c r="J249" s="36">
        <f t="shared" si="39"/>
        <v>0</v>
      </c>
      <c r="K249" s="36">
        <f t="shared" si="42"/>
        <v>0</v>
      </c>
      <c r="L249" s="36">
        <f t="shared" si="43"/>
        <v>1</v>
      </c>
      <c r="M249" s="33"/>
      <c r="N249" s="40">
        <f t="shared" si="41"/>
        <v>0</v>
      </c>
      <c r="O249" s="32">
        <f t="shared" si="44"/>
        <v>0</v>
      </c>
      <c r="P249" s="32">
        <f t="shared" si="45"/>
        <v>1</v>
      </c>
      <c r="Q249" s="33"/>
      <c r="R249" s="33"/>
      <c r="S249" s="33"/>
    </row>
    <row r="250" spans="1:19" ht="14.5" hidden="1" customHeight="1">
      <c r="A250">
        <v>247</v>
      </c>
      <c r="B250" s="37">
        <f t="shared" si="40"/>
        <v>1</v>
      </c>
      <c r="C250" s="38">
        <f t="shared" si="35"/>
        <v>1</v>
      </c>
      <c r="D250" s="33"/>
      <c r="E250" s="33"/>
      <c r="F250" s="39">
        <f t="shared" si="36"/>
        <v>1</v>
      </c>
      <c r="G250" s="36">
        <f t="shared" si="37"/>
        <v>1</v>
      </c>
      <c r="H250" s="36">
        <f t="shared" si="38"/>
        <v>0</v>
      </c>
      <c r="I250" s="36"/>
      <c r="J250" s="36">
        <f t="shared" si="39"/>
        <v>0</v>
      </c>
      <c r="K250" s="36">
        <f t="shared" si="42"/>
        <v>0</v>
      </c>
      <c r="L250" s="36">
        <f t="shared" si="43"/>
        <v>1</v>
      </c>
      <c r="M250" s="33"/>
      <c r="N250" s="40">
        <f t="shared" si="41"/>
        <v>0</v>
      </c>
      <c r="O250" s="32">
        <f t="shared" si="44"/>
        <v>0</v>
      </c>
      <c r="P250" s="32">
        <f t="shared" si="45"/>
        <v>1</v>
      </c>
      <c r="Q250" s="33"/>
      <c r="R250" s="33"/>
      <c r="S250" s="33"/>
    </row>
    <row r="251" spans="1:19" ht="14.5" hidden="1" customHeight="1">
      <c r="A251">
        <v>248</v>
      </c>
      <c r="B251" s="37">
        <f t="shared" si="40"/>
        <v>1</v>
      </c>
      <c r="C251" s="38">
        <f t="shared" si="35"/>
        <v>1</v>
      </c>
      <c r="D251" s="33"/>
      <c r="E251" s="33"/>
      <c r="F251" s="39">
        <f t="shared" si="36"/>
        <v>1</v>
      </c>
      <c r="G251" s="36">
        <f t="shared" si="37"/>
        <v>1</v>
      </c>
      <c r="H251" s="36">
        <f t="shared" si="38"/>
        <v>0</v>
      </c>
      <c r="I251" s="36"/>
      <c r="J251" s="36">
        <f t="shared" si="39"/>
        <v>0</v>
      </c>
      <c r="K251" s="36">
        <f t="shared" si="42"/>
        <v>0</v>
      </c>
      <c r="L251" s="36">
        <f t="shared" si="43"/>
        <v>1</v>
      </c>
      <c r="M251" s="33"/>
      <c r="N251" s="40">
        <f t="shared" si="41"/>
        <v>0</v>
      </c>
      <c r="O251" s="32">
        <f t="shared" si="44"/>
        <v>0</v>
      </c>
      <c r="P251" s="32">
        <f t="shared" si="45"/>
        <v>1</v>
      </c>
      <c r="Q251" s="33"/>
      <c r="R251" s="33"/>
      <c r="S251" s="33"/>
    </row>
    <row r="252" spans="1:19" ht="14.5" hidden="1" customHeight="1">
      <c r="A252">
        <v>249</v>
      </c>
      <c r="B252" s="37">
        <f t="shared" si="40"/>
        <v>1</v>
      </c>
      <c r="C252" s="38">
        <f t="shared" si="35"/>
        <v>1</v>
      </c>
      <c r="D252" s="33"/>
      <c r="E252" s="33"/>
      <c r="F252" s="39">
        <f t="shared" si="36"/>
        <v>1</v>
      </c>
      <c r="G252" s="36">
        <f t="shared" si="37"/>
        <v>1</v>
      </c>
      <c r="H252" s="36">
        <f t="shared" si="38"/>
        <v>0</v>
      </c>
      <c r="I252" s="36"/>
      <c r="J252" s="36">
        <f t="shared" si="39"/>
        <v>0</v>
      </c>
      <c r="K252" s="36">
        <f t="shared" si="42"/>
        <v>0</v>
      </c>
      <c r="L252" s="36">
        <f t="shared" si="43"/>
        <v>1</v>
      </c>
      <c r="M252" s="33"/>
      <c r="N252" s="40">
        <f t="shared" si="41"/>
        <v>0</v>
      </c>
      <c r="O252" s="32">
        <f t="shared" si="44"/>
        <v>0</v>
      </c>
      <c r="P252" s="32">
        <f t="shared" si="45"/>
        <v>1</v>
      </c>
      <c r="Q252" s="33"/>
      <c r="R252" s="33"/>
      <c r="S252" s="33"/>
    </row>
    <row r="253" spans="1:19" ht="14.5" hidden="1" customHeight="1">
      <c r="A253">
        <v>250</v>
      </c>
      <c r="B253" s="37">
        <f t="shared" si="40"/>
        <v>1</v>
      </c>
      <c r="C253" s="38">
        <f t="shared" si="35"/>
        <v>1</v>
      </c>
      <c r="D253" s="33"/>
      <c r="E253" s="33"/>
      <c r="F253" s="39">
        <f t="shared" si="36"/>
        <v>1</v>
      </c>
      <c r="G253" s="36">
        <f t="shared" si="37"/>
        <v>1</v>
      </c>
      <c r="H253" s="36">
        <f t="shared" si="38"/>
        <v>0</v>
      </c>
      <c r="I253" s="36"/>
      <c r="J253" s="36">
        <f t="shared" si="39"/>
        <v>0</v>
      </c>
      <c r="K253" s="36">
        <f t="shared" si="42"/>
        <v>0</v>
      </c>
      <c r="L253" s="36">
        <f t="shared" si="43"/>
        <v>1</v>
      </c>
      <c r="M253" s="33"/>
      <c r="N253" s="40">
        <f t="shared" si="41"/>
        <v>0</v>
      </c>
      <c r="O253" s="32">
        <f t="shared" si="44"/>
        <v>0</v>
      </c>
      <c r="P253" s="32">
        <f t="shared" si="45"/>
        <v>1</v>
      </c>
      <c r="Q253" s="33"/>
      <c r="R253" s="33"/>
      <c r="S253" s="33"/>
    </row>
    <row r="254" spans="1:19" ht="14.5" hidden="1" customHeight="1">
      <c r="A254">
        <v>251</v>
      </c>
      <c r="B254" s="37">
        <f t="shared" si="40"/>
        <v>1</v>
      </c>
      <c r="C254" s="38">
        <f t="shared" si="35"/>
        <v>1</v>
      </c>
      <c r="D254" s="33"/>
      <c r="E254" s="33"/>
      <c r="F254" s="39">
        <f t="shared" si="36"/>
        <v>1</v>
      </c>
      <c r="G254" s="36">
        <f t="shared" si="37"/>
        <v>1</v>
      </c>
      <c r="H254" s="36">
        <f t="shared" si="38"/>
        <v>0</v>
      </c>
      <c r="I254" s="36"/>
      <c r="J254" s="36">
        <f t="shared" si="39"/>
        <v>0</v>
      </c>
      <c r="K254" s="36">
        <f t="shared" si="42"/>
        <v>0</v>
      </c>
      <c r="L254" s="36">
        <f t="shared" si="43"/>
        <v>1</v>
      </c>
      <c r="M254" s="33"/>
      <c r="N254" s="40">
        <f t="shared" si="41"/>
        <v>0</v>
      </c>
      <c r="O254" s="32">
        <f t="shared" si="44"/>
        <v>0</v>
      </c>
      <c r="P254" s="32">
        <f t="shared" si="45"/>
        <v>1</v>
      </c>
      <c r="Q254" s="33"/>
      <c r="R254" s="33"/>
      <c r="S254" s="33"/>
    </row>
    <row r="255" spans="1:19" ht="14.5" hidden="1" customHeight="1">
      <c r="A255">
        <v>252</v>
      </c>
      <c r="B255" s="37">
        <f t="shared" si="40"/>
        <v>1</v>
      </c>
      <c r="C255" s="38">
        <f t="shared" si="35"/>
        <v>1</v>
      </c>
      <c r="D255" s="33"/>
      <c r="E255" s="33"/>
      <c r="F255" s="39">
        <f t="shared" si="36"/>
        <v>1</v>
      </c>
      <c r="G255" s="36">
        <f t="shared" si="37"/>
        <v>1</v>
      </c>
      <c r="H255" s="36">
        <f t="shared" si="38"/>
        <v>0</v>
      </c>
      <c r="I255" s="36"/>
      <c r="J255" s="36">
        <f t="shared" si="39"/>
        <v>0</v>
      </c>
      <c r="K255" s="36">
        <f t="shared" si="42"/>
        <v>0</v>
      </c>
      <c r="L255" s="36">
        <f t="shared" si="43"/>
        <v>1</v>
      </c>
      <c r="M255" s="33"/>
      <c r="N255" s="40">
        <f t="shared" si="41"/>
        <v>0</v>
      </c>
      <c r="O255" s="32">
        <f t="shared" si="44"/>
        <v>0</v>
      </c>
      <c r="P255" s="32">
        <f t="shared" si="45"/>
        <v>1</v>
      </c>
      <c r="Q255" s="33"/>
      <c r="R255" s="33"/>
      <c r="S255" s="33"/>
    </row>
    <row r="256" spans="1:19" ht="14.5" hidden="1" customHeight="1">
      <c r="A256">
        <v>253</v>
      </c>
      <c r="B256" s="37">
        <f t="shared" si="40"/>
        <v>1</v>
      </c>
      <c r="C256" s="38">
        <f t="shared" si="35"/>
        <v>1</v>
      </c>
      <c r="D256" s="33"/>
      <c r="E256" s="33"/>
      <c r="F256" s="39">
        <f t="shared" si="36"/>
        <v>1</v>
      </c>
      <c r="G256" s="36">
        <f t="shared" si="37"/>
        <v>1</v>
      </c>
      <c r="H256" s="36">
        <f t="shared" si="38"/>
        <v>0</v>
      </c>
      <c r="I256" s="36"/>
      <c r="J256" s="36">
        <f t="shared" si="39"/>
        <v>0</v>
      </c>
      <c r="K256" s="36">
        <f t="shared" si="42"/>
        <v>0</v>
      </c>
      <c r="L256" s="36">
        <f t="shared" si="43"/>
        <v>1</v>
      </c>
      <c r="M256" s="33"/>
      <c r="N256" s="40">
        <f t="shared" si="41"/>
        <v>0</v>
      </c>
      <c r="O256" s="32">
        <f t="shared" si="44"/>
        <v>0</v>
      </c>
      <c r="P256" s="32">
        <f t="shared" si="45"/>
        <v>1</v>
      </c>
      <c r="Q256" s="33"/>
      <c r="R256" s="33"/>
      <c r="S256" s="33"/>
    </row>
    <row r="257" spans="1:19" ht="14.5" hidden="1" customHeight="1">
      <c r="A257">
        <v>254</v>
      </c>
      <c r="B257" s="37">
        <f t="shared" si="40"/>
        <v>1</v>
      </c>
      <c r="C257" s="38">
        <f t="shared" si="35"/>
        <v>1</v>
      </c>
      <c r="D257" s="33"/>
      <c r="E257" s="33"/>
      <c r="F257" s="39">
        <f t="shared" si="36"/>
        <v>1</v>
      </c>
      <c r="G257" s="36">
        <f t="shared" si="37"/>
        <v>1</v>
      </c>
      <c r="H257" s="36">
        <f t="shared" si="38"/>
        <v>0</v>
      </c>
      <c r="I257" s="36"/>
      <c r="J257" s="36">
        <f t="shared" si="39"/>
        <v>0</v>
      </c>
      <c r="K257" s="36">
        <f t="shared" si="42"/>
        <v>0</v>
      </c>
      <c r="L257" s="36">
        <f t="shared" si="43"/>
        <v>1</v>
      </c>
      <c r="M257" s="33"/>
      <c r="N257" s="40">
        <f t="shared" si="41"/>
        <v>0</v>
      </c>
      <c r="O257" s="32">
        <f t="shared" si="44"/>
        <v>0</v>
      </c>
      <c r="P257" s="32">
        <f t="shared" si="45"/>
        <v>1</v>
      </c>
      <c r="Q257" s="33"/>
      <c r="R257" s="33"/>
      <c r="S257" s="33"/>
    </row>
    <row r="258" spans="1:19" ht="14.5" hidden="1" customHeight="1">
      <c r="A258">
        <v>255</v>
      </c>
      <c r="B258" s="37">
        <f t="shared" si="40"/>
        <v>1</v>
      </c>
      <c r="C258" s="38">
        <f t="shared" si="35"/>
        <v>1</v>
      </c>
      <c r="D258" s="33"/>
      <c r="E258" s="33"/>
      <c r="F258" s="39">
        <f t="shared" si="36"/>
        <v>1</v>
      </c>
      <c r="G258" s="36">
        <f t="shared" si="37"/>
        <v>1</v>
      </c>
      <c r="H258" s="36">
        <f t="shared" si="38"/>
        <v>0</v>
      </c>
      <c r="I258" s="36"/>
      <c r="J258" s="36">
        <f t="shared" si="39"/>
        <v>0</v>
      </c>
      <c r="K258" s="36">
        <f t="shared" si="42"/>
        <v>0</v>
      </c>
      <c r="L258" s="36">
        <f t="shared" si="43"/>
        <v>1</v>
      </c>
      <c r="M258" s="33"/>
      <c r="N258" s="40">
        <f t="shared" si="41"/>
        <v>0</v>
      </c>
      <c r="O258" s="32">
        <f t="shared" si="44"/>
        <v>0</v>
      </c>
      <c r="P258" s="32">
        <f t="shared" si="45"/>
        <v>1</v>
      </c>
      <c r="Q258" s="33"/>
      <c r="R258" s="33"/>
      <c r="S258" s="33"/>
    </row>
    <row r="259" spans="1:19" ht="14.5" hidden="1" customHeight="1">
      <c r="A259">
        <v>256</v>
      </c>
      <c r="B259" s="37">
        <f t="shared" si="40"/>
        <v>1</v>
      </c>
      <c r="C259" s="38">
        <f t="shared" si="35"/>
        <v>1</v>
      </c>
      <c r="D259" s="33"/>
      <c r="E259" s="33"/>
      <c r="F259" s="39">
        <f t="shared" si="36"/>
        <v>1</v>
      </c>
      <c r="G259" s="36">
        <f t="shared" si="37"/>
        <v>1</v>
      </c>
      <c r="H259" s="36">
        <f t="shared" si="38"/>
        <v>0</v>
      </c>
      <c r="I259" s="36"/>
      <c r="J259" s="36">
        <f t="shared" si="39"/>
        <v>0</v>
      </c>
      <c r="K259" s="36">
        <f t="shared" si="42"/>
        <v>0</v>
      </c>
      <c r="L259" s="36">
        <f t="shared" si="43"/>
        <v>1</v>
      </c>
      <c r="M259" s="33"/>
      <c r="N259" s="40">
        <f t="shared" si="41"/>
        <v>0</v>
      </c>
      <c r="O259" s="32">
        <f t="shared" si="44"/>
        <v>0</v>
      </c>
      <c r="P259" s="32">
        <f t="shared" si="45"/>
        <v>1</v>
      </c>
      <c r="Q259" s="33"/>
      <c r="R259" s="33"/>
      <c r="S259" s="33"/>
    </row>
    <row r="260" spans="1:19" ht="14.5" hidden="1" customHeight="1">
      <c r="A260">
        <v>257</v>
      </c>
      <c r="B260" s="37">
        <f t="shared" si="40"/>
        <v>1</v>
      </c>
      <c r="C260" s="38">
        <f t="shared" ref="C260:C323" si="46">IF((EXP(A260)/1000)&gt;1,1,EXP(A260)/1000)</f>
        <v>1</v>
      </c>
      <c r="D260" s="33"/>
      <c r="E260" s="33"/>
      <c r="F260" s="39">
        <f t="shared" ref="F260:F323" si="47">1-(1-B260)^(1/12)</f>
        <v>1</v>
      </c>
      <c r="G260" s="36">
        <f t="shared" ref="G260:G323" si="48">1-(1-C260)^(1/12)</f>
        <v>1</v>
      </c>
      <c r="H260" s="36">
        <f t="shared" ref="H260:H323" si="49">1-(1-D260)^(1/12)</f>
        <v>0</v>
      </c>
      <c r="I260" s="36"/>
      <c r="J260" s="36">
        <f t="shared" ref="J260:J323" si="50">1-F260</f>
        <v>0</v>
      </c>
      <c r="K260" s="36">
        <f t="shared" si="42"/>
        <v>0</v>
      </c>
      <c r="L260" s="36">
        <f t="shared" si="43"/>
        <v>1</v>
      </c>
      <c r="M260" s="33"/>
      <c r="N260" s="40">
        <f t="shared" si="41"/>
        <v>0</v>
      </c>
      <c r="O260" s="32">
        <f t="shared" si="44"/>
        <v>0</v>
      </c>
      <c r="P260" s="32">
        <f t="shared" si="45"/>
        <v>1</v>
      </c>
      <c r="Q260" s="33"/>
      <c r="R260" s="33"/>
      <c r="S260" s="33"/>
    </row>
    <row r="261" spans="1:19" ht="14.5" hidden="1" customHeight="1">
      <c r="A261">
        <v>258</v>
      </c>
      <c r="B261" s="37">
        <f t="shared" ref="B261:B324" si="51">1/(1+EXP(-A261))</f>
        <v>1</v>
      </c>
      <c r="C261" s="38">
        <f t="shared" si="46"/>
        <v>1</v>
      </c>
      <c r="D261" s="33"/>
      <c r="E261" s="33"/>
      <c r="F261" s="39">
        <f t="shared" si="47"/>
        <v>1</v>
      </c>
      <c r="G261" s="36">
        <f t="shared" si="48"/>
        <v>1</v>
      </c>
      <c r="H261" s="36">
        <f t="shared" si="49"/>
        <v>0</v>
      </c>
      <c r="I261" s="36"/>
      <c r="J261" s="36">
        <f t="shared" si="50"/>
        <v>0</v>
      </c>
      <c r="K261" s="36">
        <f t="shared" si="42"/>
        <v>0</v>
      </c>
      <c r="L261" s="36">
        <f t="shared" si="43"/>
        <v>1</v>
      </c>
      <c r="M261" s="33"/>
      <c r="N261" s="40">
        <f t="shared" ref="N261:N324" si="52">J261*J260</f>
        <v>0</v>
      </c>
      <c r="O261" s="32">
        <f t="shared" si="44"/>
        <v>0</v>
      </c>
      <c r="P261" s="32">
        <f t="shared" si="45"/>
        <v>1</v>
      </c>
      <c r="Q261" s="33"/>
      <c r="R261" s="33"/>
      <c r="S261" s="33"/>
    </row>
    <row r="262" spans="1:19" ht="14.5" hidden="1" customHeight="1">
      <c r="A262">
        <v>259</v>
      </c>
      <c r="B262" s="37">
        <f t="shared" si="51"/>
        <v>1</v>
      </c>
      <c r="C262" s="38">
        <f t="shared" si="46"/>
        <v>1</v>
      </c>
      <c r="D262" s="33"/>
      <c r="E262" s="33"/>
      <c r="F262" s="39">
        <f t="shared" si="47"/>
        <v>1</v>
      </c>
      <c r="G262" s="36">
        <f t="shared" si="48"/>
        <v>1</v>
      </c>
      <c r="H262" s="36">
        <f t="shared" si="49"/>
        <v>0</v>
      </c>
      <c r="I262" s="36"/>
      <c r="J262" s="36">
        <f t="shared" si="50"/>
        <v>0</v>
      </c>
      <c r="K262" s="36">
        <f t="shared" si="42"/>
        <v>0</v>
      </c>
      <c r="L262" s="36">
        <f t="shared" si="43"/>
        <v>1</v>
      </c>
      <c r="M262" s="33"/>
      <c r="N262" s="40">
        <f t="shared" si="52"/>
        <v>0</v>
      </c>
      <c r="O262" s="32">
        <f t="shared" si="44"/>
        <v>0</v>
      </c>
      <c r="P262" s="32">
        <f t="shared" si="45"/>
        <v>1</v>
      </c>
      <c r="Q262" s="33"/>
      <c r="R262" s="33"/>
      <c r="S262" s="33"/>
    </row>
    <row r="263" spans="1:19" ht="14.5" hidden="1" customHeight="1">
      <c r="A263">
        <v>260</v>
      </c>
      <c r="B263" s="37">
        <f t="shared" si="51"/>
        <v>1</v>
      </c>
      <c r="C263" s="38">
        <f t="shared" si="46"/>
        <v>1</v>
      </c>
      <c r="D263" s="33"/>
      <c r="E263" s="33"/>
      <c r="F263" s="39">
        <f t="shared" si="47"/>
        <v>1</v>
      </c>
      <c r="G263" s="36">
        <f t="shared" si="48"/>
        <v>1</v>
      </c>
      <c r="H263" s="36">
        <f t="shared" si="49"/>
        <v>0</v>
      </c>
      <c r="I263" s="36"/>
      <c r="J263" s="36">
        <f t="shared" si="50"/>
        <v>0</v>
      </c>
      <c r="K263" s="36">
        <f t="shared" si="42"/>
        <v>0</v>
      </c>
      <c r="L263" s="36">
        <f t="shared" si="43"/>
        <v>1</v>
      </c>
      <c r="M263" s="33"/>
      <c r="N263" s="40">
        <f t="shared" si="52"/>
        <v>0</v>
      </c>
      <c r="O263" s="32">
        <f t="shared" si="44"/>
        <v>0</v>
      </c>
      <c r="P263" s="32">
        <f t="shared" si="45"/>
        <v>1</v>
      </c>
      <c r="Q263" s="33"/>
      <c r="R263" s="33"/>
      <c r="S263" s="33"/>
    </row>
    <row r="264" spans="1:19" ht="14.5" hidden="1" customHeight="1">
      <c r="A264">
        <v>261</v>
      </c>
      <c r="B264" s="37">
        <f t="shared" si="51"/>
        <v>1</v>
      </c>
      <c r="C264" s="38">
        <f t="shared" si="46"/>
        <v>1</v>
      </c>
      <c r="D264" s="33"/>
      <c r="E264" s="33"/>
      <c r="F264" s="39">
        <f t="shared" si="47"/>
        <v>1</v>
      </c>
      <c r="G264" s="36">
        <f t="shared" si="48"/>
        <v>1</v>
      </c>
      <c r="H264" s="36">
        <f t="shared" si="49"/>
        <v>0</v>
      </c>
      <c r="I264" s="36"/>
      <c r="J264" s="36">
        <f t="shared" si="50"/>
        <v>0</v>
      </c>
      <c r="K264" s="36">
        <f t="shared" si="42"/>
        <v>0</v>
      </c>
      <c r="L264" s="36">
        <f t="shared" si="43"/>
        <v>1</v>
      </c>
      <c r="M264" s="33"/>
      <c r="N264" s="40">
        <f t="shared" si="52"/>
        <v>0</v>
      </c>
      <c r="O264" s="32">
        <f t="shared" si="44"/>
        <v>0</v>
      </c>
      <c r="P264" s="32">
        <f t="shared" si="45"/>
        <v>1</v>
      </c>
      <c r="Q264" s="33"/>
      <c r="R264" s="33"/>
      <c r="S264" s="33"/>
    </row>
    <row r="265" spans="1:19" ht="14.5" hidden="1" customHeight="1">
      <c r="A265">
        <v>262</v>
      </c>
      <c r="B265" s="37">
        <f t="shared" si="51"/>
        <v>1</v>
      </c>
      <c r="C265" s="38">
        <f t="shared" si="46"/>
        <v>1</v>
      </c>
      <c r="D265" s="33"/>
      <c r="E265" s="33"/>
      <c r="F265" s="39">
        <f t="shared" si="47"/>
        <v>1</v>
      </c>
      <c r="G265" s="36">
        <f t="shared" si="48"/>
        <v>1</v>
      </c>
      <c r="H265" s="36">
        <f t="shared" si="49"/>
        <v>0</v>
      </c>
      <c r="I265" s="36"/>
      <c r="J265" s="36">
        <f t="shared" si="50"/>
        <v>0</v>
      </c>
      <c r="K265" s="36">
        <f t="shared" si="42"/>
        <v>0</v>
      </c>
      <c r="L265" s="36">
        <f t="shared" si="43"/>
        <v>1</v>
      </c>
      <c r="M265" s="33"/>
      <c r="N265" s="40">
        <f t="shared" si="52"/>
        <v>0</v>
      </c>
      <c r="O265" s="32">
        <f t="shared" si="44"/>
        <v>0</v>
      </c>
      <c r="P265" s="32">
        <f t="shared" si="45"/>
        <v>1</v>
      </c>
      <c r="Q265" s="33"/>
      <c r="R265" s="33"/>
      <c r="S265" s="33"/>
    </row>
    <row r="266" spans="1:19" ht="14.5" hidden="1" customHeight="1">
      <c r="A266">
        <v>263</v>
      </c>
      <c r="B266" s="37">
        <f t="shared" si="51"/>
        <v>1</v>
      </c>
      <c r="C266" s="38">
        <f t="shared" si="46"/>
        <v>1</v>
      </c>
      <c r="D266" s="33"/>
      <c r="E266" s="33"/>
      <c r="F266" s="39">
        <f t="shared" si="47"/>
        <v>1</v>
      </c>
      <c r="G266" s="36">
        <f t="shared" si="48"/>
        <v>1</v>
      </c>
      <c r="H266" s="36">
        <f t="shared" si="49"/>
        <v>0</v>
      </c>
      <c r="I266" s="36"/>
      <c r="J266" s="36">
        <f t="shared" si="50"/>
        <v>0</v>
      </c>
      <c r="K266" s="36">
        <f t="shared" si="42"/>
        <v>0</v>
      </c>
      <c r="L266" s="36">
        <f t="shared" si="43"/>
        <v>1</v>
      </c>
      <c r="M266" s="33"/>
      <c r="N266" s="40">
        <f t="shared" si="52"/>
        <v>0</v>
      </c>
      <c r="O266" s="32">
        <f t="shared" si="44"/>
        <v>0</v>
      </c>
      <c r="P266" s="32">
        <f t="shared" si="45"/>
        <v>1</v>
      </c>
      <c r="Q266" s="33"/>
      <c r="R266" s="33"/>
      <c r="S266" s="33"/>
    </row>
    <row r="267" spans="1:19" ht="14.5" hidden="1" customHeight="1">
      <c r="A267">
        <v>264</v>
      </c>
      <c r="B267" s="37">
        <f t="shared" si="51"/>
        <v>1</v>
      </c>
      <c r="C267" s="38">
        <f t="shared" si="46"/>
        <v>1</v>
      </c>
      <c r="D267" s="33"/>
      <c r="E267" s="33"/>
      <c r="F267" s="39">
        <f t="shared" si="47"/>
        <v>1</v>
      </c>
      <c r="G267" s="36">
        <f t="shared" si="48"/>
        <v>1</v>
      </c>
      <c r="H267" s="36">
        <f t="shared" si="49"/>
        <v>0</v>
      </c>
      <c r="I267" s="36"/>
      <c r="J267" s="36">
        <f t="shared" si="50"/>
        <v>0</v>
      </c>
      <c r="K267" s="36">
        <f t="shared" si="42"/>
        <v>0</v>
      </c>
      <c r="L267" s="36">
        <f t="shared" si="43"/>
        <v>1</v>
      </c>
      <c r="M267" s="33"/>
      <c r="N267" s="40">
        <f t="shared" si="52"/>
        <v>0</v>
      </c>
      <c r="O267" s="32">
        <f t="shared" si="44"/>
        <v>0</v>
      </c>
      <c r="P267" s="32">
        <f t="shared" si="45"/>
        <v>1</v>
      </c>
      <c r="Q267" s="33"/>
      <c r="R267" s="33"/>
      <c r="S267" s="33"/>
    </row>
    <row r="268" spans="1:19" ht="14.5" hidden="1" customHeight="1">
      <c r="A268">
        <v>265</v>
      </c>
      <c r="B268" s="37">
        <f t="shared" si="51"/>
        <v>1</v>
      </c>
      <c r="C268" s="38">
        <f t="shared" si="46"/>
        <v>1</v>
      </c>
      <c r="D268" s="33"/>
      <c r="E268" s="33"/>
      <c r="F268" s="39">
        <f t="shared" si="47"/>
        <v>1</v>
      </c>
      <c r="G268" s="36">
        <f t="shared" si="48"/>
        <v>1</v>
      </c>
      <c r="H268" s="36">
        <f t="shared" si="49"/>
        <v>0</v>
      </c>
      <c r="I268" s="36"/>
      <c r="J268" s="36">
        <f t="shared" si="50"/>
        <v>0</v>
      </c>
      <c r="K268" s="36">
        <f t="shared" si="42"/>
        <v>0</v>
      </c>
      <c r="L268" s="36">
        <f t="shared" si="43"/>
        <v>1</v>
      </c>
      <c r="M268" s="33"/>
      <c r="N268" s="40">
        <f t="shared" si="52"/>
        <v>0</v>
      </c>
      <c r="O268" s="32">
        <f t="shared" si="44"/>
        <v>0</v>
      </c>
      <c r="P268" s="32">
        <f t="shared" si="45"/>
        <v>1</v>
      </c>
      <c r="Q268" s="33"/>
      <c r="R268" s="33"/>
      <c r="S268" s="33"/>
    </row>
    <row r="269" spans="1:19" ht="14.5" hidden="1" customHeight="1">
      <c r="A269">
        <v>266</v>
      </c>
      <c r="B269" s="37">
        <f t="shared" si="51"/>
        <v>1</v>
      </c>
      <c r="C269" s="38">
        <f t="shared" si="46"/>
        <v>1</v>
      </c>
      <c r="D269" s="33"/>
      <c r="E269" s="33"/>
      <c r="F269" s="39">
        <f t="shared" si="47"/>
        <v>1</v>
      </c>
      <c r="G269" s="36">
        <f t="shared" si="48"/>
        <v>1</v>
      </c>
      <c r="H269" s="36">
        <f t="shared" si="49"/>
        <v>0</v>
      </c>
      <c r="I269" s="36"/>
      <c r="J269" s="36">
        <f t="shared" si="50"/>
        <v>0</v>
      </c>
      <c r="K269" s="36">
        <f t="shared" si="42"/>
        <v>0</v>
      </c>
      <c r="L269" s="36">
        <f t="shared" si="43"/>
        <v>1</v>
      </c>
      <c r="M269" s="33"/>
      <c r="N269" s="40">
        <f t="shared" si="52"/>
        <v>0</v>
      </c>
      <c r="O269" s="32">
        <f t="shared" si="44"/>
        <v>0</v>
      </c>
      <c r="P269" s="32">
        <f t="shared" si="45"/>
        <v>1</v>
      </c>
      <c r="Q269" s="33"/>
      <c r="R269" s="33"/>
      <c r="S269" s="33"/>
    </row>
    <row r="270" spans="1:19" ht="14.5" hidden="1" customHeight="1">
      <c r="A270">
        <v>267</v>
      </c>
      <c r="B270" s="37">
        <f t="shared" si="51"/>
        <v>1</v>
      </c>
      <c r="C270" s="38">
        <f t="shared" si="46"/>
        <v>1</v>
      </c>
      <c r="D270" s="33"/>
      <c r="E270" s="33"/>
      <c r="F270" s="39">
        <f t="shared" si="47"/>
        <v>1</v>
      </c>
      <c r="G270" s="36">
        <f t="shared" si="48"/>
        <v>1</v>
      </c>
      <c r="H270" s="36">
        <f t="shared" si="49"/>
        <v>0</v>
      </c>
      <c r="I270" s="36"/>
      <c r="J270" s="36">
        <f t="shared" si="50"/>
        <v>0</v>
      </c>
      <c r="K270" s="36">
        <f t="shared" si="42"/>
        <v>0</v>
      </c>
      <c r="L270" s="36">
        <f t="shared" si="43"/>
        <v>1</v>
      </c>
      <c r="M270" s="33"/>
      <c r="N270" s="40">
        <f t="shared" si="52"/>
        <v>0</v>
      </c>
      <c r="O270" s="32">
        <f t="shared" si="44"/>
        <v>0</v>
      </c>
      <c r="P270" s="32">
        <f t="shared" si="45"/>
        <v>1</v>
      </c>
      <c r="Q270" s="33"/>
      <c r="R270" s="33"/>
      <c r="S270" s="33"/>
    </row>
    <row r="271" spans="1:19" ht="14.5" hidden="1" customHeight="1">
      <c r="A271">
        <v>268</v>
      </c>
      <c r="B271" s="37">
        <f t="shared" si="51"/>
        <v>1</v>
      </c>
      <c r="C271" s="38">
        <f t="shared" si="46"/>
        <v>1</v>
      </c>
      <c r="D271" s="33"/>
      <c r="E271" s="33"/>
      <c r="F271" s="39">
        <f t="shared" si="47"/>
        <v>1</v>
      </c>
      <c r="G271" s="36">
        <f t="shared" si="48"/>
        <v>1</v>
      </c>
      <c r="H271" s="36">
        <f t="shared" si="49"/>
        <v>0</v>
      </c>
      <c r="I271" s="36"/>
      <c r="J271" s="36">
        <f t="shared" si="50"/>
        <v>0</v>
      </c>
      <c r="K271" s="36">
        <f t="shared" si="42"/>
        <v>0</v>
      </c>
      <c r="L271" s="36">
        <f t="shared" si="43"/>
        <v>1</v>
      </c>
      <c r="M271" s="33"/>
      <c r="N271" s="40">
        <f t="shared" si="52"/>
        <v>0</v>
      </c>
      <c r="O271" s="32">
        <f t="shared" si="44"/>
        <v>0</v>
      </c>
      <c r="P271" s="32">
        <f t="shared" si="45"/>
        <v>1</v>
      </c>
      <c r="Q271" s="33"/>
      <c r="R271" s="33"/>
      <c r="S271" s="33"/>
    </row>
    <row r="272" spans="1:19" ht="14.5" hidden="1" customHeight="1">
      <c r="A272">
        <v>269</v>
      </c>
      <c r="B272" s="37">
        <f t="shared" si="51"/>
        <v>1</v>
      </c>
      <c r="C272" s="38">
        <f t="shared" si="46"/>
        <v>1</v>
      </c>
      <c r="D272" s="33"/>
      <c r="E272" s="33"/>
      <c r="F272" s="39">
        <f t="shared" si="47"/>
        <v>1</v>
      </c>
      <c r="G272" s="36">
        <f t="shared" si="48"/>
        <v>1</v>
      </c>
      <c r="H272" s="36">
        <f t="shared" si="49"/>
        <v>0</v>
      </c>
      <c r="I272" s="36"/>
      <c r="J272" s="36">
        <f t="shared" si="50"/>
        <v>0</v>
      </c>
      <c r="K272" s="36">
        <f t="shared" si="42"/>
        <v>0</v>
      </c>
      <c r="L272" s="36">
        <f t="shared" si="43"/>
        <v>1</v>
      </c>
      <c r="M272" s="33"/>
      <c r="N272" s="40">
        <f t="shared" si="52"/>
        <v>0</v>
      </c>
      <c r="O272" s="32">
        <f t="shared" si="44"/>
        <v>0</v>
      </c>
      <c r="P272" s="32">
        <f t="shared" si="45"/>
        <v>1</v>
      </c>
      <c r="Q272" s="33"/>
      <c r="R272" s="33"/>
      <c r="S272" s="33"/>
    </row>
    <row r="273" spans="1:19" ht="14.5" hidden="1" customHeight="1">
      <c r="A273">
        <v>270</v>
      </c>
      <c r="B273" s="37">
        <f t="shared" si="51"/>
        <v>1</v>
      </c>
      <c r="C273" s="38">
        <f t="shared" si="46"/>
        <v>1</v>
      </c>
      <c r="D273" s="33"/>
      <c r="E273" s="33"/>
      <c r="F273" s="39">
        <f t="shared" si="47"/>
        <v>1</v>
      </c>
      <c r="G273" s="36">
        <f t="shared" si="48"/>
        <v>1</v>
      </c>
      <c r="H273" s="36">
        <f t="shared" si="49"/>
        <v>0</v>
      </c>
      <c r="I273" s="36"/>
      <c r="J273" s="36">
        <f t="shared" si="50"/>
        <v>0</v>
      </c>
      <c r="K273" s="36">
        <f t="shared" si="42"/>
        <v>0</v>
      </c>
      <c r="L273" s="36">
        <f t="shared" si="43"/>
        <v>1</v>
      </c>
      <c r="M273" s="33"/>
      <c r="N273" s="40">
        <f t="shared" si="52"/>
        <v>0</v>
      </c>
      <c r="O273" s="32">
        <f t="shared" si="44"/>
        <v>0</v>
      </c>
      <c r="P273" s="32">
        <f t="shared" si="45"/>
        <v>1</v>
      </c>
      <c r="Q273" s="33"/>
      <c r="R273" s="33"/>
      <c r="S273" s="33"/>
    </row>
    <row r="274" spans="1:19" ht="14.5" hidden="1" customHeight="1">
      <c r="A274">
        <v>271</v>
      </c>
      <c r="B274" s="37">
        <f t="shared" si="51"/>
        <v>1</v>
      </c>
      <c r="C274" s="38">
        <f t="shared" si="46"/>
        <v>1</v>
      </c>
      <c r="D274" s="33"/>
      <c r="E274" s="33"/>
      <c r="F274" s="39">
        <f t="shared" si="47"/>
        <v>1</v>
      </c>
      <c r="G274" s="36">
        <f t="shared" si="48"/>
        <v>1</v>
      </c>
      <c r="H274" s="36">
        <f t="shared" si="49"/>
        <v>0</v>
      </c>
      <c r="I274" s="36"/>
      <c r="J274" s="36">
        <f t="shared" si="50"/>
        <v>0</v>
      </c>
      <c r="K274" s="36">
        <f t="shared" si="42"/>
        <v>0</v>
      </c>
      <c r="L274" s="36">
        <f t="shared" si="43"/>
        <v>1</v>
      </c>
      <c r="M274" s="33"/>
      <c r="N274" s="40">
        <f t="shared" si="52"/>
        <v>0</v>
      </c>
      <c r="O274" s="32">
        <f t="shared" si="44"/>
        <v>0</v>
      </c>
      <c r="P274" s="32">
        <f t="shared" si="45"/>
        <v>1</v>
      </c>
      <c r="Q274" s="33"/>
      <c r="R274" s="33"/>
      <c r="S274" s="33"/>
    </row>
    <row r="275" spans="1:19" ht="14.5" hidden="1" customHeight="1">
      <c r="A275">
        <v>272</v>
      </c>
      <c r="B275" s="37">
        <f t="shared" si="51"/>
        <v>1</v>
      </c>
      <c r="C275" s="38">
        <f t="shared" si="46"/>
        <v>1</v>
      </c>
      <c r="D275" s="33"/>
      <c r="E275" s="33"/>
      <c r="F275" s="39">
        <f t="shared" si="47"/>
        <v>1</v>
      </c>
      <c r="G275" s="36">
        <f t="shared" si="48"/>
        <v>1</v>
      </c>
      <c r="H275" s="36">
        <f t="shared" si="49"/>
        <v>0</v>
      </c>
      <c r="I275" s="36"/>
      <c r="J275" s="36">
        <f t="shared" si="50"/>
        <v>0</v>
      </c>
      <c r="K275" s="36">
        <f t="shared" ref="K275:K338" si="53">1-G275</f>
        <v>0</v>
      </c>
      <c r="L275" s="36">
        <f t="shared" ref="L275:L338" si="54">1-H275</f>
        <v>1</v>
      </c>
      <c r="M275" s="33"/>
      <c r="N275" s="40">
        <f t="shared" si="52"/>
        <v>0</v>
      </c>
      <c r="O275" s="32">
        <f t="shared" si="44"/>
        <v>0</v>
      </c>
      <c r="P275" s="32">
        <f t="shared" si="45"/>
        <v>1</v>
      </c>
      <c r="Q275" s="33"/>
      <c r="R275" s="33"/>
      <c r="S275" s="33"/>
    </row>
    <row r="276" spans="1:19" ht="14.5" hidden="1" customHeight="1">
      <c r="A276">
        <v>273</v>
      </c>
      <c r="B276" s="37">
        <f t="shared" si="51"/>
        <v>1</v>
      </c>
      <c r="C276" s="38">
        <f t="shared" si="46"/>
        <v>1</v>
      </c>
      <c r="D276" s="33"/>
      <c r="E276" s="33"/>
      <c r="F276" s="39">
        <f t="shared" si="47"/>
        <v>1</v>
      </c>
      <c r="G276" s="36">
        <f t="shared" si="48"/>
        <v>1</v>
      </c>
      <c r="H276" s="36">
        <f t="shared" si="49"/>
        <v>0</v>
      </c>
      <c r="I276" s="36"/>
      <c r="J276" s="36">
        <f t="shared" si="50"/>
        <v>0</v>
      </c>
      <c r="K276" s="36">
        <f t="shared" si="53"/>
        <v>0</v>
      </c>
      <c r="L276" s="36">
        <f t="shared" si="54"/>
        <v>1</v>
      </c>
      <c r="M276" s="33"/>
      <c r="N276" s="40">
        <f t="shared" si="52"/>
        <v>0</v>
      </c>
      <c r="O276" s="32">
        <f t="shared" ref="O276:O339" si="55">K276*K275</f>
        <v>0</v>
      </c>
      <c r="P276" s="32">
        <f t="shared" ref="P276:P339" si="56">L276*L275</f>
        <v>1</v>
      </c>
      <c r="Q276" s="33"/>
      <c r="R276" s="33"/>
      <c r="S276" s="33"/>
    </row>
    <row r="277" spans="1:19" ht="14.5" hidden="1" customHeight="1">
      <c r="A277">
        <v>274</v>
      </c>
      <c r="B277" s="37">
        <f t="shared" si="51"/>
        <v>1</v>
      </c>
      <c r="C277" s="38">
        <f t="shared" si="46"/>
        <v>1</v>
      </c>
      <c r="D277" s="33"/>
      <c r="E277" s="33"/>
      <c r="F277" s="39">
        <f t="shared" si="47"/>
        <v>1</v>
      </c>
      <c r="G277" s="36">
        <f t="shared" si="48"/>
        <v>1</v>
      </c>
      <c r="H277" s="36">
        <f t="shared" si="49"/>
        <v>0</v>
      </c>
      <c r="I277" s="36"/>
      <c r="J277" s="36">
        <f t="shared" si="50"/>
        <v>0</v>
      </c>
      <c r="K277" s="36">
        <f t="shared" si="53"/>
        <v>0</v>
      </c>
      <c r="L277" s="36">
        <f t="shared" si="54"/>
        <v>1</v>
      </c>
      <c r="M277" s="33"/>
      <c r="N277" s="40">
        <f t="shared" si="52"/>
        <v>0</v>
      </c>
      <c r="O277" s="32">
        <f t="shared" si="55"/>
        <v>0</v>
      </c>
      <c r="P277" s="32">
        <f t="shared" si="56"/>
        <v>1</v>
      </c>
      <c r="Q277" s="33"/>
      <c r="R277" s="33"/>
      <c r="S277" s="33"/>
    </row>
    <row r="278" spans="1:19" ht="14.5" hidden="1" customHeight="1">
      <c r="A278">
        <v>275</v>
      </c>
      <c r="B278" s="37">
        <f t="shared" si="51"/>
        <v>1</v>
      </c>
      <c r="C278" s="38">
        <f t="shared" si="46"/>
        <v>1</v>
      </c>
      <c r="D278" s="33"/>
      <c r="E278" s="33"/>
      <c r="F278" s="39">
        <f t="shared" si="47"/>
        <v>1</v>
      </c>
      <c r="G278" s="36">
        <f t="shared" si="48"/>
        <v>1</v>
      </c>
      <c r="H278" s="36">
        <f t="shared" si="49"/>
        <v>0</v>
      </c>
      <c r="I278" s="36"/>
      <c r="J278" s="36">
        <f t="shared" si="50"/>
        <v>0</v>
      </c>
      <c r="K278" s="36">
        <f t="shared" si="53"/>
        <v>0</v>
      </c>
      <c r="L278" s="36">
        <f t="shared" si="54"/>
        <v>1</v>
      </c>
      <c r="M278" s="33"/>
      <c r="N278" s="40">
        <f t="shared" si="52"/>
        <v>0</v>
      </c>
      <c r="O278" s="32">
        <f t="shared" si="55"/>
        <v>0</v>
      </c>
      <c r="P278" s="32">
        <f t="shared" si="56"/>
        <v>1</v>
      </c>
      <c r="Q278" s="33"/>
      <c r="R278" s="33"/>
      <c r="S278" s="33"/>
    </row>
    <row r="279" spans="1:19" ht="14.5" hidden="1" customHeight="1">
      <c r="A279">
        <v>276</v>
      </c>
      <c r="B279" s="37">
        <f t="shared" si="51"/>
        <v>1</v>
      </c>
      <c r="C279" s="38">
        <f t="shared" si="46"/>
        <v>1</v>
      </c>
      <c r="D279" s="33"/>
      <c r="E279" s="33"/>
      <c r="F279" s="39">
        <f t="shared" si="47"/>
        <v>1</v>
      </c>
      <c r="G279" s="36">
        <f t="shared" si="48"/>
        <v>1</v>
      </c>
      <c r="H279" s="36">
        <f t="shared" si="49"/>
        <v>0</v>
      </c>
      <c r="I279" s="36"/>
      <c r="J279" s="36">
        <f t="shared" si="50"/>
        <v>0</v>
      </c>
      <c r="K279" s="36">
        <f t="shared" si="53"/>
        <v>0</v>
      </c>
      <c r="L279" s="36">
        <f t="shared" si="54"/>
        <v>1</v>
      </c>
      <c r="M279" s="33"/>
      <c r="N279" s="40">
        <f t="shared" si="52"/>
        <v>0</v>
      </c>
      <c r="O279" s="32">
        <f t="shared" si="55"/>
        <v>0</v>
      </c>
      <c r="P279" s="32">
        <f t="shared" si="56"/>
        <v>1</v>
      </c>
      <c r="Q279" s="33"/>
      <c r="R279" s="33"/>
      <c r="S279" s="33"/>
    </row>
    <row r="280" spans="1:19" ht="14.5" hidden="1" customHeight="1">
      <c r="A280">
        <v>277</v>
      </c>
      <c r="B280" s="37">
        <f t="shared" si="51"/>
        <v>1</v>
      </c>
      <c r="C280" s="38">
        <f t="shared" si="46"/>
        <v>1</v>
      </c>
      <c r="D280" s="33"/>
      <c r="E280" s="33"/>
      <c r="F280" s="39">
        <f t="shared" si="47"/>
        <v>1</v>
      </c>
      <c r="G280" s="36">
        <f t="shared" si="48"/>
        <v>1</v>
      </c>
      <c r="H280" s="36">
        <f t="shared" si="49"/>
        <v>0</v>
      </c>
      <c r="I280" s="36"/>
      <c r="J280" s="36">
        <f t="shared" si="50"/>
        <v>0</v>
      </c>
      <c r="K280" s="36">
        <f t="shared" si="53"/>
        <v>0</v>
      </c>
      <c r="L280" s="36">
        <f t="shared" si="54"/>
        <v>1</v>
      </c>
      <c r="M280" s="33"/>
      <c r="N280" s="40">
        <f t="shared" si="52"/>
        <v>0</v>
      </c>
      <c r="O280" s="32">
        <f t="shared" si="55"/>
        <v>0</v>
      </c>
      <c r="P280" s="32">
        <f t="shared" si="56"/>
        <v>1</v>
      </c>
      <c r="Q280" s="33"/>
      <c r="R280" s="33"/>
      <c r="S280" s="33"/>
    </row>
    <row r="281" spans="1:19" ht="14.5" hidden="1" customHeight="1">
      <c r="A281">
        <v>278</v>
      </c>
      <c r="B281" s="37">
        <f t="shared" si="51"/>
        <v>1</v>
      </c>
      <c r="C281" s="38">
        <f t="shared" si="46"/>
        <v>1</v>
      </c>
      <c r="D281" s="33"/>
      <c r="E281" s="33"/>
      <c r="F281" s="39">
        <f t="shared" si="47"/>
        <v>1</v>
      </c>
      <c r="G281" s="36">
        <f t="shared" si="48"/>
        <v>1</v>
      </c>
      <c r="H281" s="36">
        <f t="shared" si="49"/>
        <v>0</v>
      </c>
      <c r="I281" s="36"/>
      <c r="J281" s="36">
        <f t="shared" si="50"/>
        <v>0</v>
      </c>
      <c r="K281" s="36">
        <f t="shared" si="53"/>
        <v>0</v>
      </c>
      <c r="L281" s="36">
        <f t="shared" si="54"/>
        <v>1</v>
      </c>
      <c r="M281" s="33"/>
      <c r="N281" s="40">
        <f t="shared" si="52"/>
        <v>0</v>
      </c>
      <c r="O281" s="32">
        <f t="shared" si="55"/>
        <v>0</v>
      </c>
      <c r="P281" s="32">
        <f t="shared" si="56"/>
        <v>1</v>
      </c>
      <c r="Q281" s="33"/>
      <c r="R281" s="33"/>
      <c r="S281" s="33"/>
    </row>
    <row r="282" spans="1:19" ht="14.5" hidden="1" customHeight="1">
      <c r="A282">
        <v>279</v>
      </c>
      <c r="B282" s="37">
        <f t="shared" si="51"/>
        <v>1</v>
      </c>
      <c r="C282" s="38">
        <f t="shared" si="46"/>
        <v>1</v>
      </c>
      <c r="D282" s="33"/>
      <c r="E282" s="33"/>
      <c r="F282" s="39">
        <f t="shared" si="47"/>
        <v>1</v>
      </c>
      <c r="G282" s="36">
        <f t="shared" si="48"/>
        <v>1</v>
      </c>
      <c r="H282" s="36">
        <f t="shared" si="49"/>
        <v>0</v>
      </c>
      <c r="I282" s="36"/>
      <c r="J282" s="36">
        <f t="shared" si="50"/>
        <v>0</v>
      </c>
      <c r="K282" s="36">
        <f t="shared" si="53"/>
        <v>0</v>
      </c>
      <c r="L282" s="36">
        <f t="shared" si="54"/>
        <v>1</v>
      </c>
      <c r="M282" s="33"/>
      <c r="N282" s="40">
        <f t="shared" si="52"/>
        <v>0</v>
      </c>
      <c r="O282" s="32">
        <f t="shared" si="55"/>
        <v>0</v>
      </c>
      <c r="P282" s="32">
        <f t="shared" si="56"/>
        <v>1</v>
      </c>
      <c r="Q282" s="33"/>
      <c r="R282" s="33"/>
      <c r="S282" s="33"/>
    </row>
    <row r="283" spans="1:19" ht="14.5" hidden="1" customHeight="1">
      <c r="A283">
        <v>280</v>
      </c>
      <c r="B283" s="37">
        <f t="shared" si="51"/>
        <v>1</v>
      </c>
      <c r="C283" s="38">
        <f t="shared" si="46"/>
        <v>1</v>
      </c>
      <c r="D283" s="33"/>
      <c r="E283" s="33"/>
      <c r="F283" s="39">
        <f t="shared" si="47"/>
        <v>1</v>
      </c>
      <c r="G283" s="36">
        <f t="shared" si="48"/>
        <v>1</v>
      </c>
      <c r="H283" s="36">
        <f t="shared" si="49"/>
        <v>0</v>
      </c>
      <c r="I283" s="36"/>
      <c r="J283" s="36">
        <f t="shared" si="50"/>
        <v>0</v>
      </c>
      <c r="K283" s="36">
        <f t="shared" si="53"/>
        <v>0</v>
      </c>
      <c r="L283" s="36">
        <f t="shared" si="54"/>
        <v>1</v>
      </c>
      <c r="M283" s="33"/>
      <c r="N283" s="40">
        <f t="shared" si="52"/>
        <v>0</v>
      </c>
      <c r="O283" s="32">
        <f t="shared" si="55"/>
        <v>0</v>
      </c>
      <c r="P283" s="32">
        <f t="shared" si="56"/>
        <v>1</v>
      </c>
      <c r="Q283" s="33"/>
      <c r="R283" s="33"/>
      <c r="S283" s="33"/>
    </row>
    <row r="284" spans="1:19" ht="14.5" hidden="1" customHeight="1">
      <c r="A284">
        <v>281</v>
      </c>
      <c r="B284" s="37">
        <f t="shared" si="51"/>
        <v>1</v>
      </c>
      <c r="C284" s="38">
        <f t="shared" si="46"/>
        <v>1</v>
      </c>
      <c r="D284" s="33"/>
      <c r="E284" s="33"/>
      <c r="F284" s="39">
        <f t="shared" si="47"/>
        <v>1</v>
      </c>
      <c r="G284" s="36">
        <f t="shared" si="48"/>
        <v>1</v>
      </c>
      <c r="H284" s="36">
        <f t="shared" si="49"/>
        <v>0</v>
      </c>
      <c r="I284" s="36"/>
      <c r="J284" s="36">
        <f t="shared" si="50"/>
        <v>0</v>
      </c>
      <c r="K284" s="36">
        <f t="shared" si="53"/>
        <v>0</v>
      </c>
      <c r="L284" s="36">
        <f t="shared" si="54"/>
        <v>1</v>
      </c>
      <c r="M284" s="33"/>
      <c r="N284" s="40">
        <f t="shared" si="52"/>
        <v>0</v>
      </c>
      <c r="O284" s="32">
        <f t="shared" si="55"/>
        <v>0</v>
      </c>
      <c r="P284" s="32">
        <f t="shared" si="56"/>
        <v>1</v>
      </c>
      <c r="Q284" s="33"/>
      <c r="R284" s="33"/>
      <c r="S284" s="33"/>
    </row>
    <row r="285" spans="1:19" ht="14.5" hidden="1" customHeight="1">
      <c r="A285">
        <v>282</v>
      </c>
      <c r="B285" s="37">
        <f t="shared" si="51"/>
        <v>1</v>
      </c>
      <c r="C285" s="38">
        <f t="shared" si="46"/>
        <v>1</v>
      </c>
      <c r="D285" s="33"/>
      <c r="E285" s="33"/>
      <c r="F285" s="39">
        <f t="shared" si="47"/>
        <v>1</v>
      </c>
      <c r="G285" s="36">
        <f t="shared" si="48"/>
        <v>1</v>
      </c>
      <c r="H285" s="36">
        <f t="shared" si="49"/>
        <v>0</v>
      </c>
      <c r="I285" s="36"/>
      <c r="J285" s="36">
        <f t="shared" si="50"/>
        <v>0</v>
      </c>
      <c r="K285" s="36">
        <f t="shared" si="53"/>
        <v>0</v>
      </c>
      <c r="L285" s="36">
        <f t="shared" si="54"/>
        <v>1</v>
      </c>
      <c r="M285" s="33"/>
      <c r="N285" s="40">
        <f t="shared" si="52"/>
        <v>0</v>
      </c>
      <c r="O285" s="32">
        <f t="shared" si="55"/>
        <v>0</v>
      </c>
      <c r="P285" s="32">
        <f t="shared" si="56"/>
        <v>1</v>
      </c>
      <c r="Q285" s="33"/>
      <c r="R285" s="33"/>
      <c r="S285" s="33"/>
    </row>
    <row r="286" spans="1:19" ht="14.5" hidden="1" customHeight="1">
      <c r="A286">
        <v>283</v>
      </c>
      <c r="B286" s="37">
        <f t="shared" si="51"/>
        <v>1</v>
      </c>
      <c r="C286" s="38">
        <f t="shared" si="46"/>
        <v>1</v>
      </c>
      <c r="D286" s="33"/>
      <c r="E286" s="33"/>
      <c r="F286" s="39">
        <f t="shared" si="47"/>
        <v>1</v>
      </c>
      <c r="G286" s="36">
        <f t="shared" si="48"/>
        <v>1</v>
      </c>
      <c r="H286" s="36">
        <f t="shared" si="49"/>
        <v>0</v>
      </c>
      <c r="I286" s="36"/>
      <c r="J286" s="36">
        <f t="shared" si="50"/>
        <v>0</v>
      </c>
      <c r="K286" s="36">
        <f t="shared" si="53"/>
        <v>0</v>
      </c>
      <c r="L286" s="36">
        <f t="shared" si="54"/>
        <v>1</v>
      </c>
      <c r="M286" s="33"/>
      <c r="N286" s="40">
        <f t="shared" si="52"/>
        <v>0</v>
      </c>
      <c r="O286" s="32">
        <f t="shared" si="55"/>
        <v>0</v>
      </c>
      <c r="P286" s="32">
        <f t="shared" si="56"/>
        <v>1</v>
      </c>
      <c r="Q286" s="33"/>
      <c r="R286" s="33"/>
      <c r="S286" s="33"/>
    </row>
    <row r="287" spans="1:19" ht="14.5" hidden="1" customHeight="1">
      <c r="A287">
        <v>284</v>
      </c>
      <c r="B287" s="37">
        <f t="shared" si="51"/>
        <v>1</v>
      </c>
      <c r="C287" s="38">
        <f t="shared" si="46"/>
        <v>1</v>
      </c>
      <c r="D287" s="33"/>
      <c r="E287" s="33"/>
      <c r="F287" s="39">
        <f t="shared" si="47"/>
        <v>1</v>
      </c>
      <c r="G287" s="36">
        <f t="shared" si="48"/>
        <v>1</v>
      </c>
      <c r="H287" s="36">
        <f t="shared" si="49"/>
        <v>0</v>
      </c>
      <c r="I287" s="36"/>
      <c r="J287" s="36">
        <f t="shared" si="50"/>
        <v>0</v>
      </c>
      <c r="K287" s="36">
        <f t="shared" si="53"/>
        <v>0</v>
      </c>
      <c r="L287" s="36">
        <f t="shared" si="54"/>
        <v>1</v>
      </c>
      <c r="M287" s="33"/>
      <c r="N287" s="40">
        <f t="shared" si="52"/>
        <v>0</v>
      </c>
      <c r="O287" s="32">
        <f t="shared" si="55"/>
        <v>0</v>
      </c>
      <c r="P287" s="32">
        <f t="shared" si="56"/>
        <v>1</v>
      </c>
      <c r="Q287" s="33"/>
      <c r="R287" s="33"/>
      <c r="S287" s="33"/>
    </row>
    <row r="288" spans="1:19" ht="14.5" hidden="1" customHeight="1">
      <c r="A288">
        <v>285</v>
      </c>
      <c r="B288" s="37">
        <f t="shared" si="51"/>
        <v>1</v>
      </c>
      <c r="C288" s="38">
        <f t="shared" si="46"/>
        <v>1</v>
      </c>
      <c r="D288" s="33"/>
      <c r="E288" s="33"/>
      <c r="F288" s="39">
        <f t="shared" si="47"/>
        <v>1</v>
      </c>
      <c r="G288" s="36">
        <f t="shared" si="48"/>
        <v>1</v>
      </c>
      <c r="H288" s="36">
        <f t="shared" si="49"/>
        <v>0</v>
      </c>
      <c r="I288" s="36"/>
      <c r="J288" s="36">
        <f t="shared" si="50"/>
        <v>0</v>
      </c>
      <c r="K288" s="36">
        <f t="shared" si="53"/>
        <v>0</v>
      </c>
      <c r="L288" s="36">
        <f t="shared" si="54"/>
        <v>1</v>
      </c>
      <c r="M288" s="33"/>
      <c r="N288" s="40">
        <f t="shared" si="52"/>
        <v>0</v>
      </c>
      <c r="O288" s="32">
        <f t="shared" si="55"/>
        <v>0</v>
      </c>
      <c r="P288" s="32">
        <f t="shared" si="56"/>
        <v>1</v>
      </c>
      <c r="Q288" s="33"/>
      <c r="R288" s="33"/>
      <c r="S288" s="33"/>
    </row>
    <row r="289" spans="1:19" ht="14.5" hidden="1" customHeight="1">
      <c r="A289">
        <v>286</v>
      </c>
      <c r="B289" s="37">
        <f t="shared" si="51"/>
        <v>1</v>
      </c>
      <c r="C289" s="38">
        <f t="shared" si="46"/>
        <v>1</v>
      </c>
      <c r="D289" s="33"/>
      <c r="E289" s="33"/>
      <c r="F289" s="39">
        <f t="shared" si="47"/>
        <v>1</v>
      </c>
      <c r="G289" s="36">
        <f t="shared" si="48"/>
        <v>1</v>
      </c>
      <c r="H289" s="36">
        <f t="shared" si="49"/>
        <v>0</v>
      </c>
      <c r="I289" s="36"/>
      <c r="J289" s="36">
        <f t="shared" si="50"/>
        <v>0</v>
      </c>
      <c r="K289" s="36">
        <f t="shared" si="53"/>
        <v>0</v>
      </c>
      <c r="L289" s="36">
        <f t="shared" si="54"/>
        <v>1</v>
      </c>
      <c r="M289" s="33"/>
      <c r="N289" s="40">
        <f t="shared" si="52"/>
        <v>0</v>
      </c>
      <c r="O289" s="32">
        <f t="shared" si="55"/>
        <v>0</v>
      </c>
      <c r="P289" s="32">
        <f t="shared" si="56"/>
        <v>1</v>
      </c>
      <c r="Q289" s="33"/>
      <c r="R289" s="33"/>
      <c r="S289" s="33"/>
    </row>
    <row r="290" spans="1:19" ht="14.5" hidden="1" customHeight="1">
      <c r="A290">
        <v>287</v>
      </c>
      <c r="B290" s="37">
        <f t="shared" si="51"/>
        <v>1</v>
      </c>
      <c r="C290" s="38">
        <f t="shared" si="46"/>
        <v>1</v>
      </c>
      <c r="D290" s="33"/>
      <c r="E290" s="33"/>
      <c r="F290" s="39">
        <f t="shared" si="47"/>
        <v>1</v>
      </c>
      <c r="G290" s="36">
        <f t="shared" si="48"/>
        <v>1</v>
      </c>
      <c r="H290" s="36">
        <f t="shared" si="49"/>
        <v>0</v>
      </c>
      <c r="I290" s="36"/>
      <c r="J290" s="36">
        <f t="shared" si="50"/>
        <v>0</v>
      </c>
      <c r="K290" s="36">
        <f t="shared" si="53"/>
        <v>0</v>
      </c>
      <c r="L290" s="36">
        <f t="shared" si="54"/>
        <v>1</v>
      </c>
      <c r="M290" s="33"/>
      <c r="N290" s="40">
        <f t="shared" si="52"/>
        <v>0</v>
      </c>
      <c r="O290" s="32">
        <f t="shared" si="55"/>
        <v>0</v>
      </c>
      <c r="P290" s="32">
        <f t="shared" si="56"/>
        <v>1</v>
      </c>
      <c r="Q290" s="33"/>
      <c r="R290" s="33"/>
      <c r="S290" s="33"/>
    </row>
    <row r="291" spans="1:19" ht="14.5" hidden="1" customHeight="1">
      <c r="A291">
        <v>288</v>
      </c>
      <c r="B291" s="37">
        <f t="shared" si="51"/>
        <v>1</v>
      </c>
      <c r="C291" s="38">
        <f t="shared" si="46"/>
        <v>1</v>
      </c>
      <c r="D291" s="33"/>
      <c r="E291" s="33"/>
      <c r="F291" s="39">
        <f t="shared" si="47"/>
        <v>1</v>
      </c>
      <c r="G291" s="36">
        <f t="shared" si="48"/>
        <v>1</v>
      </c>
      <c r="H291" s="36">
        <f t="shared" si="49"/>
        <v>0</v>
      </c>
      <c r="I291" s="36"/>
      <c r="J291" s="36">
        <f t="shared" si="50"/>
        <v>0</v>
      </c>
      <c r="K291" s="36">
        <f t="shared" si="53"/>
        <v>0</v>
      </c>
      <c r="L291" s="36">
        <f t="shared" si="54"/>
        <v>1</v>
      </c>
      <c r="M291" s="33"/>
      <c r="N291" s="40">
        <f t="shared" si="52"/>
        <v>0</v>
      </c>
      <c r="O291" s="32">
        <f t="shared" si="55"/>
        <v>0</v>
      </c>
      <c r="P291" s="32">
        <f t="shared" si="56"/>
        <v>1</v>
      </c>
      <c r="Q291" s="33"/>
      <c r="R291" s="33"/>
      <c r="S291" s="33"/>
    </row>
    <row r="292" spans="1:19" ht="14.5" hidden="1" customHeight="1">
      <c r="A292">
        <v>289</v>
      </c>
      <c r="B292" s="37">
        <f t="shared" si="51"/>
        <v>1</v>
      </c>
      <c r="C292" s="38">
        <f t="shared" si="46"/>
        <v>1</v>
      </c>
      <c r="D292" s="33"/>
      <c r="E292" s="33"/>
      <c r="F292" s="39">
        <f t="shared" si="47"/>
        <v>1</v>
      </c>
      <c r="G292" s="36">
        <f t="shared" si="48"/>
        <v>1</v>
      </c>
      <c r="H292" s="36">
        <f t="shared" si="49"/>
        <v>0</v>
      </c>
      <c r="I292" s="36"/>
      <c r="J292" s="36">
        <f t="shared" si="50"/>
        <v>0</v>
      </c>
      <c r="K292" s="36">
        <f t="shared" si="53"/>
        <v>0</v>
      </c>
      <c r="L292" s="36">
        <f t="shared" si="54"/>
        <v>1</v>
      </c>
      <c r="M292" s="33"/>
      <c r="N292" s="40">
        <f t="shared" si="52"/>
        <v>0</v>
      </c>
      <c r="O292" s="32">
        <f t="shared" si="55"/>
        <v>0</v>
      </c>
      <c r="P292" s="32">
        <f t="shared" si="56"/>
        <v>1</v>
      </c>
      <c r="Q292" s="33"/>
      <c r="R292" s="33"/>
      <c r="S292" s="33"/>
    </row>
    <row r="293" spans="1:19" ht="14.5" hidden="1" customHeight="1">
      <c r="A293">
        <v>290</v>
      </c>
      <c r="B293" s="37">
        <f t="shared" si="51"/>
        <v>1</v>
      </c>
      <c r="C293" s="38">
        <f t="shared" si="46"/>
        <v>1</v>
      </c>
      <c r="D293" s="33"/>
      <c r="E293" s="33"/>
      <c r="F293" s="39">
        <f t="shared" si="47"/>
        <v>1</v>
      </c>
      <c r="G293" s="36">
        <f t="shared" si="48"/>
        <v>1</v>
      </c>
      <c r="H293" s="36">
        <f t="shared" si="49"/>
        <v>0</v>
      </c>
      <c r="I293" s="36"/>
      <c r="J293" s="36">
        <f t="shared" si="50"/>
        <v>0</v>
      </c>
      <c r="K293" s="36">
        <f t="shared" si="53"/>
        <v>0</v>
      </c>
      <c r="L293" s="36">
        <f t="shared" si="54"/>
        <v>1</v>
      </c>
      <c r="M293" s="33"/>
      <c r="N293" s="40">
        <f t="shared" si="52"/>
        <v>0</v>
      </c>
      <c r="O293" s="32">
        <f t="shared" si="55"/>
        <v>0</v>
      </c>
      <c r="P293" s="32">
        <f t="shared" si="56"/>
        <v>1</v>
      </c>
      <c r="Q293" s="33"/>
      <c r="R293" s="33"/>
      <c r="S293" s="33"/>
    </row>
    <row r="294" spans="1:19" ht="14.5" hidden="1" customHeight="1">
      <c r="A294">
        <v>291</v>
      </c>
      <c r="B294" s="37">
        <f t="shared" si="51"/>
        <v>1</v>
      </c>
      <c r="C294" s="38">
        <f t="shared" si="46"/>
        <v>1</v>
      </c>
      <c r="D294" s="33"/>
      <c r="E294" s="33"/>
      <c r="F294" s="39">
        <f t="shared" si="47"/>
        <v>1</v>
      </c>
      <c r="G294" s="36">
        <f t="shared" si="48"/>
        <v>1</v>
      </c>
      <c r="H294" s="36">
        <f t="shared" si="49"/>
        <v>0</v>
      </c>
      <c r="I294" s="36"/>
      <c r="J294" s="36">
        <f t="shared" si="50"/>
        <v>0</v>
      </c>
      <c r="K294" s="36">
        <f t="shared" si="53"/>
        <v>0</v>
      </c>
      <c r="L294" s="36">
        <f t="shared" si="54"/>
        <v>1</v>
      </c>
      <c r="M294" s="33"/>
      <c r="N294" s="40">
        <f t="shared" si="52"/>
        <v>0</v>
      </c>
      <c r="O294" s="32">
        <f t="shared" si="55"/>
        <v>0</v>
      </c>
      <c r="P294" s="32">
        <f t="shared" si="56"/>
        <v>1</v>
      </c>
      <c r="Q294" s="33"/>
      <c r="R294" s="33"/>
      <c r="S294" s="33"/>
    </row>
    <row r="295" spans="1:19" ht="14.5" hidden="1" customHeight="1">
      <c r="A295">
        <v>292</v>
      </c>
      <c r="B295" s="37">
        <f t="shared" si="51"/>
        <v>1</v>
      </c>
      <c r="C295" s="38">
        <f t="shared" si="46"/>
        <v>1</v>
      </c>
      <c r="D295" s="33"/>
      <c r="E295" s="33"/>
      <c r="F295" s="39">
        <f t="shared" si="47"/>
        <v>1</v>
      </c>
      <c r="G295" s="36">
        <f t="shared" si="48"/>
        <v>1</v>
      </c>
      <c r="H295" s="36">
        <f t="shared" si="49"/>
        <v>0</v>
      </c>
      <c r="I295" s="36"/>
      <c r="J295" s="36">
        <f t="shared" si="50"/>
        <v>0</v>
      </c>
      <c r="K295" s="36">
        <f t="shared" si="53"/>
        <v>0</v>
      </c>
      <c r="L295" s="36">
        <f t="shared" si="54"/>
        <v>1</v>
      </c>
      <c r="M295" s="33"/>
      <c r="N295" s="40">
        <f t="shared" si="52"/>
        <v>0</v>
      </c>
      <c r="O295" s="32">
        <f t="shared" si="55"/>
        <v>0</v>
      </c>
      <c r="P295" s="32">
        <f t="shared" si="56"/>
        <v>1</v>
      </c>
      <c r="Q295" s="33"/>
      <c r="R295" s="33"/>
      <c r="S295" s="33"/>
    </row>
    <row r="296" spans="1:19" ht="14.5" hidden="1" customHeight="1">
      <c r="A296">
        <v>293</v>
      </c>
      <c r="B296" s="37">
        <f t="shared" si="51"/>
        <v>1</v>
      </c>
      <c r="C296" s="38">
        <f t="shared" si="46"/>
        <v>1</v>
      </c>
      <c r="D296" s="33"/>
      <c r="E296" s="33"/>
      <c r="F296" s="39">
        <f t="shared" si="47"/>
        <v>1</v>
      </c>
      <c r="G296" s="36">
        <f t="shared" si="48"/>
        <v>1</v>
      </c>
      <c r="H296" s="36">
        <f t="shared" si="49"/>
        <v>0</v>
      </c>
      <c r="I296" s="36"/>
      <c r="J296" s="36">
        <f t="shared" si="50"/>
        <v>0</v>
      </c>
      <c r="K296" s="36">
        <f t="shared" si="53"/>
        <v>0</v>
      </c>
      <c r="L296" s="36">
        <f t="shared" si="54"/>
        <v>1</v>
      </c>
      <c r="M296" s="33"/>
      <c r="N296" s="40">
        <f t="shared" si="52"/>
        <v>0</v>
      </c>
      <c r="O296" s="32">
        <f t="shared" si="55"/>
        <v>0</v>
      </c>
      <c r="P296" s="32">
        <f t="shared" si="56"/>
        <v>1</v>
      </c>
      <c r="Q296" s="33"/>
      <c r="R296" s="33"/>
      <c r="S296" s="33"/>
    </row>
    <row r="297" spans="1:19" ht="14.5" hidden="1" customHeight="1">
      <c r="A297">
        <v>294</v>
      </c>
      <c r="B297" s="37">
        <f t="shared" si="51"/>
        <v>1</v>
      </c>
      <c r="C297" s="38">
        <f t="shared" si="46"/>
        <v>1</v>
      </c>
      <c r="D297" s="33"/>
      <c r="E297" s="33"/>
      <c r="F297" s="39">
        <f t="shared" si="47"/>
        <v>1</v>
      </c>
      <c r="G297" s="36">
        <f t="shared" si="48"/>
        <v>1</v>
      </c>
      <c r="H297" s="36">
        <f t="shared" si="49"/>
        <v>0</v>
      </c>
      <c r="I297" s="36"/>
      <c r="J297" s="36">
        <f t="shared" si="50"/>
        <v>0</v>
      </c>
      <c r="K297" s="36">
        <f t="shared" si="53"/>
        <v>0</v>
      </c>
      <c r="L297" s="36">
        <f t="shared" si="54"/>
        <v>1</v>
      </c>
      <c r="M297" s="33"/>
      <c r="N297" s="40">
        <f t="shared" si="52"/>
        <v>0</v>
      </c>
      <c r="O297" s="32">
        <f t="shared" si="55"/>
        <v>0</v>
      </c>
      <c r="P297" s="32">
        <f t="shared" si="56"/>
        <v>1</v>
      </c>
      <c r="Q297" s="33"/>
      <c r="R297" s="33"/>
      <c r="S297" s="33"/>
    </row>
    <row r="298" spans="1:19" ht="14.5" hidden="1" customHeight="1">
      <c r="A298">
        <v>295</v>
      </c>
      <c r="B298" s="37">
        <f t="shared" si="51"/>
        <v>1</v>
      </c>
      <c r="C298" s="38">
        <f t="shared" si="46"/>
        <v>1</v>
      </c>
      <c r="D298" s="33"/>
      <c r="E298" s="33"/>
      <c r="F298" s="39">
        <f t="shared" si="47"/>
        <v>1</v>
      </c>
      <c r="G298" s="36">
        <f t="shared" si="48"/>
        <v>1</v>
      </c>
      <c r="H298" s="36">
        <f t="shared" si="49"/>
        <v>0</v>
      </c>
      <c r="I298" s="36"/>
      <c r="J298" s="36">
        <f t="shared" si="50"/>
        <v>0</v>
      </c>
      <c r="K298" s="36">
        <f t="shared" si="53"/>
        <v>0</v>
      </c>
      <c r="L298" s="36">
        <f t="shared" si="54"/>
        <v>1</v>
      </c>
      <c r="M298" s="33"/>
      <c r="N298" s="40">
        <f t="shared" si="52"/>
        <v>0</v>
      </c>
      <c r="O298" s="32">
        <f t="shared" si="55"/>
        <v>0</v>
      </c>
      <c r="P298" s="32">
        <f t="shared" si="56"/>
        <v>1</v>
      </c>
      <c r="Q298" s="33"/>
      <c r="R298" s="33"/>
      <c r="S298" s="33"/>
    </row>
    <row r="299" spans="1:19" ht="14.5" hidden="1" customHeight="1">
      <c r="A299">
        <v>296</v>
      </c>
      <c r="B299" s="37">
        <f t="shared" si="51"/>
        <v>1</v>
      </c>
      <c r="C299" s="38">
        <f t="shared" si="46"/>
        <v>1</v>
      </c>
      <c r="D299" s="33"/>
      <c r="E299" s="33"/>
      <c r="F299" s="39">
        <f t="shared" si="47"/>
        <v>1</v>
      </c>
      <c r="G299" s="36">
        <f t="shared" si="48"/>
        <v>1</v>
      </c>
      <c r="H299" s="36">
        <f t="shared" si="49"/>
        <v>0</v>
      </c>
      <c r="I299" s="36"/>
      <c r="J299" s="36">
        <f t="shared" si="50"/>
        <v>0</v>
      </c>
      <c r="K299" s="36">
        <f t="shared" si="53"/>
        <v>0</v>
      </c>
      <c r="L299" s="36">
        <f t="shared" si="54"/>
        <v>1</v>
      </c>
      <c r="M299" s="33"/>
      <c r="N299" s="40">
        <f t="shared" si="52"/>
        <v>0</v>
      </c>
      <c r="O299" s="32">
        <f t="shared" si="55"/>
        <v>0</v>
      </c>
      <c r="P299" s="32">
        <f t="shared" si="56"/>
        <v>1</v>
      </c>
      <c r="Q299" s="33"/>
      <c r="R299" s="33"/>
      <c r="S299" s="33"/>
    </row>
    <row r="300" spans="1:19" ht="14.5" hidden="1" customHeight="1">
      <c r="A300">
        <v>297</v>
      </c>
      <c r="B300" s="37">
        <f t="shared" si="51"/>
        <v>1</v>
      </c>
      <c r="C300" s="38">
        <f t="shared" si="46"/>
        <v>1</v>
      </c>
      <c r="D300" s="33"/>
      <c r="E300" s="33"/>
      <c r="F300" s="39">
        <f t="shared" si="47"/>
        <v>1</v>
      </c>
      <c r="G300" s="36">
        <f t="shared" si="48"/>
        <v>1</v>
      </c>
      <c r="H300" s="36">
        <f t="shared" si="49"/>
        <v>0</v>
      </c>
      <c r="I300" s="36"/>
      <c r="J300" s="36">
        <f t="shared" si="50"/>
        <v>0</v>
      </c>
      <c r="K300" s="36">
        <f t="shared" si="53"/>
        <v>0</v>
      </c>
      <c r="L300" s="36">
        <f t="shared" si="54"/>
        <v>1</v>
      </c>
      <c r="M300" s="33"/>
      <c r="N300" s="40">
        <f t="shared" si="52"/>
        <v>0</v>
      </c>
      <c r="O300" s="32">
        <f t="shared" si="55"/>
        <v>0</v>
      </c>
      <c r="P300" s="32">
        <f t="shared" si="56"/>
        <v>1</v>
      </c>
      <c r="Q300" s="33"/>
      <c r="R300" s="33"/>
      <c r="S300" s="33"/>
    </row>
    <row r="301" spans="1:19" ht="14.5" hidden="1" customHeight="1">
      <c r="A301">
        <v>298</v>
      </c>
      <c r="B301" s="37">
        <f t="shared" si="51"/>
        <v>1</v>
      </c>
      <c r="C301" s="38">
        <f t="shared" si="46"/>
        <v>1</v>
      </c>
      <c r="D301" s="33"/>
      <c r="E301" s="33"/>
      <c r="F301" s="39">
        <f t="shared" si="47"/>
        <v>1</v>
      </c>
      <c r="G301" s="36">
        <f t="shared" si="48"/>
        <v>1</v>
      </c>
      <c r="H301" s="36">
        <f t="shared" si="49"/>
        <v>0</v>
      </c>
      <c r="I301" s="36"/>
      <c r="J301" s="36">
        <f t="shared" si="50"/>
        <v>0</v>
      </c>
      <c r="K301" s="36">
        <f t="shared" si="53"/>
        <v>0</v>
      </c>
      <c r="L301" s="36">
        <f t="shared" si="54"/>
        <v>1</v>
      </c>
      <c r="M301" s="33"/>
      <c r="N301" s="40">
        <f t="shared" si="52"/>
        <v>0</v>
      </c>
      <c r="O301" s="32">
        <f t="shared" si="55"/>
        <v>0</v>
      </c>
      <c r="P301" s="32">
        <f t="shared" si="56"/>
        <v>1</v>
      </c>
      <c r="Q301" s="33"/>
      <c r="R301" s="33"/>
      <c r="S301" s="33"/>
    </row>
    <row r="302" spans="1:19" ht="14.5" hidden="1" customHeight="1">
      <c r="A302">
        <v>299</v>
      </c>
      <c r="B302" s="37">
        <f t="shared" si="51"/>
        <v>1</v>
      </c>
      <c r="C302" s="38">
        <f t="shared" si="46"/>
        <v>1</v>
      </c>
      <c r="D302" s="33"/>
      <c r="E302" s="33"/>
      <c r="F302" s="39">
        <f t="shared" si="47"/>
        <v>1</v>
      </c>
      <c r="G302" s="36">
        <f t="shared" si="48"/>
        <v>1</v>
      </c>
      <c r="H302" s="36">
        <f t="shared" si="49"/>
        <v>0</v>
      </c>
      <c r="I302" s="36"/>
      <c r="J302" s="36">
        <f t="shared" si="50"/>
        <v>0</v>
      </c>
      <c r="K302" s="36">
        <f t="shared" si="53"/>
        <v>0</v>
      </c>
      <c r="L302" s="36">
        <f t="shared" si="54"/>
        <v>1</v>
      </c>
      <c r="M302" s="33"/>
      <c r="N302" s="40">
        <f t="shared" si="52"/>
        <v>0</v>
      </c>
      <c r="O302" s="32">
        <f t="shared" si="55"/>
        <v>0</v>
      </c>
      <c r="P302" s="32">
        <f t="shared" si="56"/>
        <v>1</v>
      </c>
      <c r="Q302" s="33"/>
      <c r="R302" s="33"/>
      <c r="S302" s="33"/>
    </row>
    <row r="303" spans="1:19" ht="14.5" hidden="1" customHeight="1">
      <c r="A303">
        <v>300</v>
      </c>
      <c r="B303" s="37">
        <f t="shared" si="51"/>
        <v>1</v>
      </c>
      <c r="C303" s="38">
        <f t="shared" si="46"/>
        <v>1</v>
      </c>
      <c r="D303" s="33"/>
      <c r="E303" s="33"/>
      <c r="F303" s="39">
        <f t="shared" si="47"/>
        <v>1</v>
      </c>
      <c r="G303" s="36">
        <f t="shared" si="48"/>
        <v>1</v>
      </c>
      <c r="H303" s="36">
        <f t="shared" si="49"/>
        <v>0</v>
      </c>
      <c r="I303" s="36"/>
      <c r="J303" s="36">
        <f t="shared" si="50"/>
        <v>0</v>
      </c>
      <c r="K303" s="36">
        <f t="shared" si="53"/>
        <v>0</v>
      </c>
      <c r="L303" s="36">
        <f t="shared" si="54"/>
        <v>1</v>
      </c>
      <c r="M303" s="33"/>
      <c r="N303" s="40">
        <f t="shared" si="52"/>
        <v>0</v>
      </c>
      <c r="O303" s="32">
        <f t="shared" si="55"/>
        <v>0</v>
      </c>
      <c r="P303" s="32">
        <f t="shared" si="56"/>
        <v>1</v>
      </c>
      <c r="Q303" s="33"/>
      <c r="R303" s="33"/>
      <c r="S303" s="33"/>
    </row>
    <row r="304" spans="1:19" ht="14.5" hidden="1" customHeight="1">
      <c r="A304">
        <v>301</v>
      </c>
      <c r="B304" s="37">
        <f t="shared" si="51"/>
        <v>1</v>
      </c>
      <c r="C304" s="38">
        <f t="shared" si="46"/>
        <v>1</v>
      </c>
      <c r="D304" s="33"/>
      <c r="E304" s="33"/>
      <c r="F304" s="39">
        <f t="shared" si="47"/>
        <v>1</v>
      </c>
      <c r="G304" s="36">
        <f t="shared" si="48"/>
        <v>1</v>
      </c>
      <c r="H304" s="36">
        <f t="shared" si="49"/>
        <v>0</v>
      </c>
      <c r="I304" s="36"/>
      <c r="J304" s="36">
        <f t="shared" si="50"/>
        <v>0</v>
      </c>
      <c r="K304" s="36">
        <f t="shared" si="53"/>
        <v>0</v>
      </c>
      <c r="L304" s="36">
        <f t="shared" si="54"/>
        <v>1</v>
      </c>
      <c r="M304" s="33"/>
      <c r="N304" s="40">
        <f t="shared" si="52"/>
        <v>0</v>
      </c>
      <c r="O304" s="32">
        <f t="shared" si="55"/>
        <v>0</v>
      </c>
      <c r="P304" s="32">
        <f t="shared" si="56"/>
        <v>1</v>
      </c>
      <c r="Q304" s="33"/>
      <c r="R304" s="33"/>
      <c r="S304" s="33"/>
    </row>
    <row r="305" spans="1:19" ht="14.5" hidden="1" customHeight="1">
      <c r="A305">
        <v>302</v>
      </c>
      <c r="B305" s="37">
        <f t="shared" si="51"/>
        <v>1</v>
      </c>
      <c r="C305" s="38">
        <f t="shared" si="46"/>
        <v>1</v>
      </c>
      <c r="D305" s="33"/>
      <c r="E305" s="33"/>
      <c r="F305" s="39">
        <f t="shared" si="47"/>
        <v>1</v>
      </c>
      <c r="G305" s="36">
        <f t="shared" si="48"/>
        <v>1</v>
      </c>
      <c r="H305" s="36">
        <f t="shared" si="49"/>
        <v>0</v>
      </c>
      <c r="I305" s="36"/>
      <c r="J305" s="36">
        <f t="shared" si="50"/>
        <v>0</v>
      </c>
      <c r="K305" s="36">
        <f t="shared" si="53"/>
        <v>0</v>
      </c>
      <c r="L305" s="36">
        <f t="shared" si="54"/>
        <v>1</v>
      </c>
      <c r="M305" s="33"/>
      <c r="N305" s="40">
        <f t="shared" si="52"/>
        <v>0</v>
      </c>
      <c r="O305" s="32">
        <f t="shared" si="55"/>
        <v>0</v>
      </c>
      <c r="P305" s="32">
        <f t="shared" si="56"/>
        <v>1</v>
      </c>
      <c r="Q305" s="33"/>
      <c r="R305" s="33"/>
      <c r="S305" s="33"/>
    </row>
    <row r="306" spans="1:19" ht="14.5" hidden="1" customHeight="1">
      <c r="A306">
        <v>303</v>
      </c>
      <c r="B306" s="37">
        <f t="shared" si="51"/>
        <v>1</v>
      </c>
      <c r="C306" s="38">
        <f t="shared" si="46"/>
        <v>1</v>
      </c>
      <c r="D306" s="33"/>
      <c r="E306" s="33"/>
      <c r="F306" s="39">
        <f t="shared" si="47"/>
        <v>1</v>
      </c>
      <c r="G306" s="36">
        <f t="shared" si="48"/>
        <v>1</v>
      </c>
      <c r="H306" s="36">
        <f t="shared" si="49"/>
        <v>0</v>
      </c>
      <c r="I306" s="36"/>
      <c r="J306" s="36">
        <f t="shared" si="50"/>
        <v>0</v>
      </c>
      <c r="K306" s="36">
        <f t="shared" si="53"/>
        <v>0</v>
      </c>
      <c r="L306" s="36">
        <f t="shared" si="54"/>
        <v>1</v>
      </c>
      <c r="M306" s="33"/>
      <c r="N306" s="40">
        <f t="shared" si="52"/>
        <v>0</v>
      </c>
      <c r="O306" s="32">
        <f t="shared" si="55"/>
        <v>0</v>
      </c>
      <c r="P306" s="32">
        <f t="shared" si="56"/>
        <v>1</v>
      </c>
      <c r="Q306" s="33"/>
      <c r="R306" s="33"/>
      <c r="S306" s="33"/>
    </row>
    <row r="307" spans="1:19" ht="14.5" hidden="1" customHeight="1">
      <c r="A307">
        <v>304</v>
      </c>
      <c r="B307" s="37">
        <f t="shared" si="51"/>
        <v>1</v>
      </c>
      <c r="C307" s="38">
        <f t="shared" si="46"/>
        <v>1</v>
      </c>
      <c r="D307" s="33"/>
      <c r="E307" s="33"/>
      <c r="F307" s="39">
        <f t="shared" si="47"/>
        <v>1</v>
      </c>
      <c r="G307" s="36">
        <f t="shared" si="48"/>
        <v>1</v>
      </c>
      <c r="H307" s="36">
        <f t="shared" si="49"/>
        <v>0</v>
      </c>
      <c r="I307" s="36"/>
      <c r="J307" s="36">
        <f t="shared" si="50"/>
        <v>0</v>
      </c>
      <c r="K307" s="36">
        <f t="shared" si="53"/>
        <v>0</v>
      </c>
      <c r="L307" s="36">
        <f t="shared" si="54"/>
        <v>1</v>
      </c>
      <c r="M307" s="33"/>
      <c r="N307" s="40">
        <f t="shared" si="52"/>
        <v>0</v>
      </c>
      <c r="O307" s="32">
        <f t="shared" si="55"/>
        <v>0</v>
      </c>
      <c r="P307" s="32">
        <f t="shared" si="56"/>
        <v>1</v>
      </c>
      <c r="Q307" s="33"/>
      <c r="R307" s="33"/>
      <c r="S307" s="33"/>
    </row>
    <row r="308" spans="1:19" ht="14.5" hidden="1" customHeight="1">
      <c r="A308">
        <v>305</v>
      </c>
      <c r="B308" s="37">
        <f t="shared" si="51"/>
        <v>1</v>
      </c>
      <c r="C308" s="38">
        <f t="shared" si="46"/>
        <v>1</v>
      </c>
      <c r="D308" s="33"/>
      <c r="E308" s="33"/>
      <c r="F308" s="39">
        <f t="shared" si="47"/>
        <v>1</v>
      </c>
      <c r="G308" s="36">
        <f t="shared" si="48"/>
        <v>1</v>
      </c>
      <c r="H308" s="36">
        <f t="shared" si="49"/>
        <v>0</v>
      </c>
      <c r="I308" s="36"/>
      <c r="J308" s="36">
        <f t="shared" si="50"/>
        <v>0</v>
      </c>
      <c r="K308" s="36">
        <f t="shared" si="53"/>
        <v>0</v>
      </c>
      <c r="L308" s="36">
        <f t="shared" si="54"/>
        <v>1</v>
      </c>
      <c r="M308" s="33"/>
      <c r="N308" s="40">
        <f t="shared" si="52"/>
        <v>0</v>
      </c>
      <c r="O308" s="32">
        <f t="shared" si="55"/>
        <v>0</v>
      </c>
      <c r="P308" s="32">
        <f t="shared" si="56"/>
        <v>1</v>
      </c>
      <c r="Q308" s="33"/>
      <c r="R308" s="33"/>
      <c r="S308" s="33"/>
    </row>
    <row r="309" spans="1:19" ht="14.5" hidden="1" customHeight="1">
      <c r="A309">
        <v>306</v>
      </c>
      <c r="B309" s="37">
        <f t="shared" si="51"/>
        <v>1</v>
      </c>
      <c r="C309" s="38">
        <f t="shared" si="46"/>
        <v>1</v>
      </c>
      <c r="D309" s="33"/>
      <c r="E309" s="33"/>
      <c r="F309" s="39">
        <f t="shared" si="47"/>
        <v>1</v>
      </c>
      <c r="G309" s="36">
        <f t="shared" si="48"/>
        <v>1</v>
      </c>
      <c r="H309" s="36">
        <f t="shared" si="49"/>
        <v>0</v>
      </c>
      <c r="I309" s="36"/>
      <c r="J309" s="36">
        <f t="shared" si="50"/>
        <v>0</v>
      </c>
      <c r="K309" s="36">
        <f t="shared" si="53"/>
        <v>0</v>
      </c>
      <c r="L309" s="36">
        <f t="shared" si="54"/>
        <v>1</v>
      </c>
      <c r="M309" s="33"/>
      <c r="N309" s="40">
        <f t="shared" si="52"/>
        <v>0</v>
      </c>
      <c r="O309" s="32">
        <f t="shared" si="55"/>
        <v>0</v>
      </c>
      <c r="P309" s="32">
        <f t="shared" si="56"/>
        <v>1</v>
      </c>
      <c r="Q309" s="33"/>
      <c r="R309" s="33"/>
      <c r="S309" s="33"/>
    </row>
    <row r="310" spans="1:19" ht="14.5" hidden="1" customHeight="1">
      <c r="A310">
        <v>307</v>
      </c>
      <c r="B310" s="37">
        <f t="shared" si="51"/>
        <v>1</v>
      </c>
      <c r="C310" s="38">
        <f t="shared" si="46"/>
        <v>1</v>
      </c>
      <c r="D310" s="33"/>
      <c r="E310" s="33"/>
      <c r="F310" s="39">
        <f t="shared" si="47"/>
        <v>1</v>
      </c>
      <c r="G310" s="36">
        <f t="shared" si="48"/>
        <v>1</v>
      </c>
      <c r="H310" s="36">
        <f t="shared" si="49"/>
        <v>0</v>
      </c>
      <c r="I310" s="36"/>
      <c r="J310" s="36">
        <f t="shared" si="50"/>
        <v>0</v>
      </c>
      <c r="K310" s="36">
        <f t="shared" si="53"/>
        <v>0</v>
      </c>
      <c r="L310" s="36">
        <f t="shared" si="54"/>
        <v>1</v>
      </c>
      <c r="M310" s="33"/>
      <c r="N310" s="40">
        <f t="shared" si="52"/>
        <v>0</v>
      </c>
      <c r="O310" s="32">
        <f t="shared" si="55"/>
        <v>0</v>
      </c>
      <c r="P310" s="32">
        <f t="shared" si="56"/>
        <v>1</v>
      </c>
      <c r="Q310" s="33"/>
      <c r="R310" s="33"/>
      <c r="S310" s="33"/>
    </row>
    <row r="311" spans="1:19" ht="14.5" hidden="1" customHeight="1">
      <c r="A311">
        <v>308</v>
      </c>
      <c r="B311" s="37">
        <f t="shared" si="51"/>
        <v>1</v>
      </c>
      <c r="C311" s="38">
        <f t="shared" si="46"/>
        <v>1</v>
      </c>
      <c r="D311" s="33"/>
      <c r="E311" s="33"/>
      <c r="F311" s="39">
        <f t="shared" si="47"/>
        <v>1</v>
      </c>
      <c r="G311" s="36">
        <f t="shared" si="48"/>
        <v>1</v>
      </c>
      <c r="H311" s="36">
        <f t="shared" si="49"/>
        <v>0</v>
      </c>
      <c r="I311" s="36"/>
      <c r="J311" s="36">
        <f t="shared" si="50"/>
        <v>0</v>
      </c>
      <c r="K311" s="36">
        <f t="shared" si="53"/>
        <v>0</v>
      </c>
      <c r="L311" s="36">
        <f t="shared" si="54"/>
        <v>1</v>
      </c>
      <c r="M311" s="33"/>
      <c r="N311" s="40">
        <f t="shared" si="52"/>
        <v>0</v>
      </c>
      <c r="O311" s="32">
        <f t="shared" si="55"/>
        <v>0</v>
      </c>
      <c r="P311" s="32">
        <f t="shared" si="56"/>
        <v>1</v>
      </c>
      <c r="Q311" s="33"/>
      <c r="R311" s="33"/>
      <c r="S311" s="33"/>
    </row>
    <row r="312" spans="1:19" ht="14.5" hidden="1" customHeight="1">
      <c r="A312">
        <v>309</v>
      </c>
      <c r="B312" s="37">
        <f t="shared" si="51"/>
        <v>1</v>
      </c>
      <c r="C312" s="38">
        <f t="shared" si="46"/>
        <v>1</v>
      </c>
      <c r="D312" s="33"/>
      <c r="E312" s="33"/>
      <c r="F312" s="39">
        <f t="shared" si="47"/>
        <v>1</v>
      </c>
      <c r="G312" s="36">
        <f t="shared" si="48"/>
        <v>1</v>
      </c>
      <c r="H312" s="36">
        <f t="shared" si="49"/>
        <v>0</v>
      </c>
      <c r="I312" s="36"/>
      <c r="J312" s="36">
        <f t="shared" si="50"/>
        <v>0</v>
      </c>
      <c r="K312" s="36">
        <f t="shared" si="53"/>
        <v>0</v>
      </c>
      <c r="L312" s="36">
        <f t="shared" si="54"/>
        <v>1</v>
      </c>
      <c r="M312" s="33"/>
      <c r="N312" s="40">
        <f t="shared" si="52"/>
        <v>0</v>
      </c>
      <c r="O312" s="32">
        <f t="shared" si="55"/>
        <v>0</v>
      </c>
      <c r="P312" s="32">
        <f t="shared" si="56"/>
        <v>1</v>
      </c>
      <c r="Q312" s="33"/>
      <c r="R312" s="33"/>
      <c r="S312" s="33"/>
    </row>
    <row r="313" spans="1:19" ht="14.5" hidden="1" customHeight="1">
      <c r="A313">
        <v>310</v>
      </c>
      <c r="B313" s="37">
        <f t="shared" si="51"/>
        <v>1</v>
      </c>
      <c r="C313" s="38">
        <f t="shared" si="46"/>
        <v>1</v>
      </c>
      <c r="D313" s="33"/>
      <c r="E313" s="33"/>
      <c r="F313" s="39">
        <f t="shared" si="47"/>
        <v>1</v>
      </c>
      <c r="G313" s="36">
        <f t="shared" si="48"/>
        <v>1</v>
      </c>
      <c r="H313" s="36">
        <f t="shared" si="49"/>
        <v>0</v>
      </c>
      <c r="I313" s="36"/>
      <c r="J313" s="36">
        <f t="shared" si="50"/>
        <v>0</v>
      </c>
      <c r="K313" s="36">
        <f t="shared" si="53"/>
        <v>0</v>
      </c>
      <c r="L313" s="36">
        <f t="shared" si="54"/>
        <v>1</v>
      </c>
      <c r="M313" s="33"/>
      <c r="N313" s="40">
        <f t="shared" si="52"/>
        <v>0</v>
      </c>
      <c r="O313" s="32">
        <f t="shared" si="55"/>
        <v>0</v>
      </c>
      <c r="P313" s="32">
        <f t="shared" si="56"/>
        <v>1</v>
      </c>
      <c r="Q313" s="33"/>
      <c r="R313" s="33"/>
      <c r="S313" s="33"/>
    </row>
    <row r="314" spans="1:19" ht="14.5" hidden="1" customHeight="1">
      <c r="A314">
        <v>311</v>
      </c>
      <c r="B314" s="37">
        <f t="shared" si="51"/>
        <v>1</v>
      </c>
      <c r="C314" s="38">
        <f t="shared" si="46"/>
        <v>1</v>
      </c>
      <c r="D314" s="33"/>
      <c r="E314" s="33"/>
      <c r="F314" s="39">
        <f t="shared" si="47"/>
        <v>1</v>
      </c>
      <c r="G314" s="36">
        <f t="shared" si="48"/>
        <v>1</v>
      </c>
      <c r="H314" s="36">
        <f t="shared" si="49"/>
        <v>0</v>
      </c>
      <c r="I314" s="36"/>
      <c r="J314" s="36">
        <f t="shared" si="50"/>
        <v>0</v>
      </c>
      <c r="K314" s="36">
        <f t="shared" si="53"/>
        <v>0</v>
      </c>
      <c r="L314" s="36">
        <f t="shared" si="54"/>
        <v>1</v>
      </c>
      <c r="M314" s="33"/>
      <c r="N314" s="40">
        <f t="shared" si="52"/>
        <v>0</v>
      </c>
      <c r="O314" s="32">
        <f t="shared" si="55"/>
        <v>0</v>
      </c>
      <c r="P314" s="32">
        <f t="shared" si="56"/>
        <v>1</v>
      </c>
      <c r="Q314" s="33"/>
      <c r="R314" s="33"/>
      <c r="S314" s="33"/>
    </row>
    <row r="315" spans="1:19" ht="14.5" hidden="1" customHeight="1">
      <c r="A315">
        <v>312</v>
      </c>
      <c r="B315" s="37">
        <f t="shared" si="51"/>
        <v>1</v>
      </c>
      <c r="C315" s="38">
        <f t="shared" si="46"/>
        <v>1</v>
      </c>
      <c r="D315" s="33"/>
      <c r="E315" s="33"/>
      <c r="F315" s="39">
        <f t="shared" si="47"/>
        <v>1</v>
      </c>
      <c r="G315" s="36">
        <f t="shared" si="48"/>
        <v>1</v>
      </c>
      <c r="H315" s="36">
        <f t="shared" si="49"/>
        <v>0</v>
      </c>
      <c r="I315" s="36"/>
      <c r="J315" s="36">
        <f t="shared" si="50"/>
        <v>0</v>
      </c>
      <c r="K315" s="36">
        <f t="shared" si="53"/>
        <v>0</v>
      </c>
      <c r="L315" s="36">
        <f t="shared" si="54"/>
        <v>1</v>
      </c>
      <c r="M315" s="33"/>
      <c r="N315" s="40">
        <f t="shared" si="52"/>
        <v>0</v>
      </c>
      <c r="O315" s="32">
        <f t="shared" si="55"/>
        <v>0</v>
      </c>
      <c r="P315" s="32">
        <f t="shared" si="56"/>
        <v>1</v>
      </c>
      <c r="Q315" s="33"/>
      <c r="R315" s="33"/>
      <c r="S315" s="33"/>
    </row>
    <row r="316" spans="1:19" ht="14.5" hidden="1" customHeight="1">
      <c r="A316">
        <v>313</v>
      </c>
      <c r="B316" s="37">
        <f t="shared" si="51"/>
        <v>1</v>
      </c>
      <c r="C316" s="38">
        <f t="shared" si="46"/>
        <v>1</v>
      </c>
      <c r="D316" s="33"/>
      <c r="E316" s="33"/>
      <c r="F316" s="39">
        <f t="shared" si="47"/>
        <v>1</v>
      </c>
      <c r="G316" s="36">
        <f t="shared" si="48"/>
        <v>1</v>
      </c>
      <c r="H316" s="36">
        <f t="shared" si="49"/>
        <v>0</v>
      </c>
      <c r="I316" s="36"/>
      <c r="J316" s="36">
        <f t="shared" si="50"/>
        <v>0</v>
      </c>
      <c r="K316" s="36">
        <f t="shared" si="53"/>
        <v>0</v>
      </c>
      <c r="L316" s="36">
        <f t="shared" si="54"/>
        <v>1</v>
      </c>
      <c r="M316" s="33"/>
      <c r="N316" s="40">
        <f t="shared" si="52"/>
        <v>0</v>
      </c>
      <c r="O316" s="32">
        <f t="shared" si="55"/>
        <v>0</v>
      </c>
      <c r="P316" s="32">
        <f t="shared" si="56"/>
        <v>1</v>
      </c>
      <c r="Q316" s="33"/>
      <c r="R316" s="33"/>
      <c r="S316" s="33"/>
    </row>
    <row r="317" spans="1:19" ht="14.5" hidden="1" customHeight="1">
      <c r="A317">
        <v>314</v>
      </c>
      <c r="B317" s="37">
        <f t="shared" si="51"/>
        <v>1</v>
      </c>
      <c r="C317" s="38">
        <f t="shared" si="46"/>
        <v>1</v>
      </c>
      <c r="D317" s="33"/>
      <c r="E317" s="33"/>
      <c r="F317" s="39">
        <f t="shared" si="47"/>
        <v>1</v>
      </c>
      <c r="G317" s="36">
        <f t="shared" si="48"/>
        <v>1</v>
      </c>
      <c r="H317" s="36">
        <f t="shared" si="49"/>
        <v>0</v>
      </c>
      <c r="I317" s="36"/>
      <c r="J317" s="36">
        <f t="shared" si="50"/>
        <v>0</v>
      </c>
      <c r="K317" s="36">
        <f t="shared" si="53"/>
        <v>0</v>
      </c>
      <c r="L317" s="36">
        <f t="shared" si="54"/>
        <v>1</v>
      </c>
      <c r="M317" s="33"/>
      <c r="N317" s="40">
        <f t="shared" si="52"/>
        <v>0</v>
      </c>
      <c r="O317" s="32">
        <f t="shared" si="55"/>
        <v>0</v>
      </c>
      <c r="P317" s="32">
        <f t="shared" si="56"/>
        <v>1</v>
      </c>
      <c r="Q317" s="33"/>
      <c r="R317" s="33"/>
      <c r="S317" s="33"/>
    </row>
    <row r="318" spans="1:19" ht="14.5" hidden="1" customHeight="1">
      <c r="A318">
        <v>315</v>
      </c>
      <c r="B318" s="37">
        <f t="shared" si="51"/>
        <v>1</v>
      </c>
      <c r="C318" s="38">
        <f t="shared" si="46"/>
        <v>1</v>
      </c>
      <c r="D318" s="33"/>
      <c r="E318" s="33"/>
      <c r="F318" s="39">
        <f t="shared" si="47"/>
        <v>1</v>
      </c>
      <c r="G318" s="36">
        <f t="shared" si="48"/>
        <v>1</v>
      </c>
      <c r="H318" s="36">
        <f t="shared" si="49"/>
        <v>0</v>
      </c>
      <c r="I318" s="36"/>
      <c r="J318" s="36">
        <f t="shared" si="50"/>
        <v>0</v>
      </c>
      <c r="K318" s="36">
        <f t="shared" si="53"/>
        <v>0</v>
      </c>
      <c r="L318" s="36">
        <f t="shared" si="54"/>
        <v>1</v>
      </c>
      <c r="M318" s="33"/>
      <c r="N318" s="40">
        <f t="shared" si="52"/>
        <v>0</v>
      </c>
      <c r="O318" s="32">
        <f t="shared" si="55"/>
        <v>0</v>
      </c>
      <c r="P318" s="32">
        <f t="shared" si="56"/>
        <v>1</v>
      </c>
      <c r="Q318" s="33"/>
      <c r="R318" s="33"/>
      <c r="S318" s="33"/>
    </row>
    <row r="319" spans="1:19" ht="14.5" hidden="1" customHeight="1">
      <c r="A319">
        <v>316</v>
      </c>
      <c r="B319" s="37">
        <f t="shared" si="51"/>
        <v>1</v>
      </c>
      <c r="C319" s="38">
        <f t="shared" si="46"/>
        <v>1</v>
      </c>
      <c r="D319" s="33"/>
      <c r="E319" s="33"/>
      <c r="F319" s="39">
        <f t="shared" si="47"/>
        <v>1</v>
      </c>
      <c r="G319" s="36">
        <f t="shared" si="48"/>
        <v>1</v>
      </c>
      <c r="H319" s="36">
        <f t="shared" si="49"/>
        <v>0</v>
      </c>
      <c r="I319" s="36"/>
      <c r="J319" s="36">
        <f t="shared" si="50"/>
        <v>0</v>
      </c>
      <c r="K319" s="36">
        <f t="shared" si="53"/>
        <v>0</v>
      </c>
      <c r="L319" s="36">
        <f t="shared" si="54"/>
        <v>1</v>
      </c>
      <c r="M319" s="33"/>
      <c r="N319" s="40">
        <f t="shared" si="52"/>
        <v>0</v>
      </c>
      <c r="O319" s="32">
        <f t="shared" si="55"/>
        <v>0</v>
      </c>
      <c r="P319" s="32">
        <f t="shared" si="56"/>
        <v>1</v>
      </c>
      <c r="Q319" s="33"/>
      <c r="R319" s="33"/>
      <c r="S319" s="33"/>
    </row>
    <row r="320" spans="1:19" ht="14.5" hidden="1" customHeight="1">
      <c r="A320">
        <v>317</v>
      </c>
      <c r="B320" s="37">
        <f t="shared" si="51"/>
        <v>1</v>
      </c>
      <c r="C320" s="38">
        <f t="shared" si="46"/>
        <v>1</v>
      </c>
      <c r="D320" s="33"/>
      <c r="E320" s="33"/>
      <c r="F320" s="39">
        <f t="shared" si="47"/>
        <v>1</v>
      </c>
      <c r="G320" s="36">
        <f t="shared" si="48"/>
        <v>1</v>
      </c>
      <c r="H320" s="36">
        <f t="shared" si="49"/>
        <v>0</v>
      </c>
      <c r="I320" s="36"/>
      <c r="J320" s="36">
        <f t="shared" si="50"/>
        <v>0</v>
      </c>
      <c r="K320" s="36">
        <f t="shared" si="53"/>
        <v>0</v>
      </c>
      <c r="L320" s="36">
        <f t="shared" si="54"/>
        <v>1</v>
      </c>
      <c r="M320" s="33"/>
      <c r="N320" s="40">
        <f t="shared" si="52"/>
        <v>0</v>
      </c>
      <c r="O320" s="32">
        <f t="shared" si="55"/>
        <v>0</v>
      </c>
      <c r="P320" s="32">
        <f t="shared" si="56"/>
        <v>1</v>
      </c>
      <c r="Q320" s="33"/>
      <c r="R320" s="33"/>
      <c r="S320" s="33"/>
    </row>
    <row r="321" spans="1:19" ht="14.5" hidden="1" customHeight="1">
      <c r="A321">
        <v>318</v>
      </c>
      <c r="B321" s="37">
        <f t="shared" si="51"/>
        <v>1</v>
      </c>
      <c r="C321" s="38">
        <f t="shared" si="46"/>
        <v>1</v>
      </c>
      <c r="D321" s="33"/>
      <c r="E321" s="33"/>
      <c r="F321" s="39">
        <f t="shared" si="47"/>
        <v>1</v>
      </c>
      <c r="G321" s="36">
        <f t="shared" si="48"/>
        <v>1</v>
      </c>
      <c r="H321" s="36">
        <f t="shared" si="49"/>
        <v>0</v>
      </c>
      <c r="I321" s="36"/>
      <c r="J321" s="36">
        <f t="shared" si="50"/>
        <v>0</v>
      </c>
      <c r="K321" s="36">
        <f t="shared" si="53"/>
        <v>0</v>
      </c>
      <c r="L321" s="36">
        <f t="shared" si="54"/>
        <v>1</v>
      </c>
      <c r="M321" s="33"/>
      <c r="N321" s="40">
        <f t="shared" si="52"/>
        <v>0</v>
      </c>
      <c r="O321" s="32">
        <f t="shared" si="55"/>
        <v>0</v>
      </c>
      <c r="P321" s="32">
        <f t="shared" si="56"/>
        <v>1</v>
      </c>
      <c r="Q321" s="33"/>
      <c r="R321" s="33"/>
      <c r="S321" s="33"/>
    </row>
    <row r="322" spans="1:19" ht="14.5" hidden="1" customHeight="1">
      <c r="A322">
        <v>319</v>
      </c>
      <c r="B322" s="37">
        <f t="shared" si="51"/>
        <v>1</v>
      </c>
      <c r="C322" s="38">
        <f t="shared" si="46"/>
        <v>1</v>
      </c>
      <c r="D322" s="33"/>
      <c r="E322" s="33"/>
      <c r="F322" s="39">
        <f t="shared" si="47"/>
        <v>1</v>
      </c>
      <c r="G322" s="36">
        <f t="shared" si="48"/>
        <v>1</v>
      </c>
      <c r="H322" s="36">
        <f t="shared" si="49"/>
        <v>0</v>
      </c>
      <c r="I322" s="36"/>
      <c r="J322" s="36">
        <f t="shared" si="50"/>
        <v>0</v>
      </c>
      <c r="K322" s="36">
        <f t="shared" si="53"/>
        <v>0</v>
      </c>
      <c r="L322" s="36">
        <f t="shared" si="54"/>
        <v>1</v>
      </c>
      <c r="M322" s="33"/>
      <c r="N322" s="40">
        <f t="shared" si="52"/>
        <v>0</v>
      </c>
      <c r="O322" s="32">
        <f t="shared" si="55"/>
        <v>0</v>
      </c>
      <c r="P322" s="32">
        <f t="shared" si="56"/>
        <v>1</v>
      </c>
      <c r="Q322" s="33"/>
      <c r="R322" s="33"/>
      <c r="S322" s="33"/>
    </row>
    <row r="323" spans="1:19" ht="14.5" hidden="1" customHeight="1">
      <c r="A323">
        <v>320</v>
      </c>
      <c r="B323" s="37">
        <f t="shared" si="51"/>
        <v>1</v>
      </c>
      <c r="C323" s="38">
        <f t="shared" si="46"/>
        <v>1</v>
      </c>
      <c r="D323" s="33"/>
      <c r="E323" s="33"/>
      <c r="F323" s="39">
        <f t="shared" si="47"/>
        <v>1</v>
      </c>
      <c r="G323" s="36">
        <f t="shared" si="48"/>
        <v>1</v>
      </c>
      <c r="H323" s="36">
        <f t="shared" si="49"/>
        <v>0</v>
      </c>
      <c r="I323" s="36"/>
      <c r="J323" s="36">
        <f t="shared" si="50"/>
        <v>0</v>
      </c>
      <c r="K323" s="36">
        <f t="shared" si="53"/>
        <v>0</v>
      </c>
      <c r="L323" s="36">
        <f t="shared" si="54"/>
        <v>1</v>
      </c>
      <c r="M323" s="33"/>
      <c r="N323" s="40">
        <f t="shared" si="52"/>
        <v>0</v>
      </c>
      <c r="O323" s="32">
        <f t="shared" si="55"/>
        <v>0</v>
      </c>
      <c r="P323" s="32">
        <f t="shared" si="56"/>
        <v>1</v>
      </c>
      <c r="Q323" s="33"/>
      <c r="R323" s="33"/>
      <c r="S323" s="33"/>
    </row>
    <row r="324" spans="1:19" ht="14.5" hidden="1" customHeight="1">
      <c r="A324">
        <v>321</v>
      </c>
      <c r="B324" s="37">
        <f t="shared" si="51"/>
        <v>1</v>
      </c>
      <c r="C324" s="38">
        <f t="shared" ref="C324:C363" si="57">IF((EXP(A324)/1000)&gt;1,1,EXP(A324)/1000)</f>
        <v>1</v>
      </c>
      <c r="D324" s="33"/>
      <c r="E324" s="33"/>
      <c r="F324" s="39">
        <f t="shared" ref="F324:F363" si="58">1-(1-B324)^(1/12)</f>
        <v>1</v>
      </c>
      <c r="G324" s="36">
        <f t="shared" ref="G324:G363" si="59">1-(1-C324)^(1/12)</f>
        <v>1</v>
      </c>
      <c r="H324" s="36">
        <f t="shared" ref="H324:H363" si="60">1-(1-D324)^(1/12)</f>
        <v>0</v>
      </c>
      <c r="I324" s="36"/>
      <c r="J324" s="36">
        <f t="shared" ref="J324:J363" si="61">1-F324</f>
        <v>0</v>
      </c>
      <c r="K324" s="36">
        <f t="shared" si="53"/>
        <v>0</v>
      </c>
      <c r="L324" s="36">
        <f t="shared" si="54"/>
        <v>1</v>
      </c>
      <c r="M324" s="33"/>
      <c r="N324" s="40">
        <f t="shared" si="52"/>
        <v>0</v>
      </c>
      <c r="O324" s="32">
        <f t="shared" si="55"/>
        <v>0</v>
      </c>
      <c r="P324" s="32">
        <f t="shared" si="56"/>
        <v>1</v>
      </c>
      <c r="Q324" s="33"/>
      <c r="R324" s="33"/>
      <c r="S324" s="33"/>
    </row>
    <row r="325" spans="1:19" ht="14.5" hidden="1" customHeight="1">
      <c r="A325">
        <v>322</v>
      </c>
      <c r="B325" s="37">
        <f t="shared" ref="B325:B363" si="62">1/(1+EXP(-A325))</f>
        <v>1</v>
      </c>
      <c r="C325" s="38">
        <f t="shared" si="57"/>
        <v>1</v>
      </c>
      <c r="D325" s="33"/>
      <c r="E325" s="33"/>
      <c r="F325" s="39">
        <f t="shared" si="58"/>
        <v>1</v>
      </c>
      <c r="G325" s="36">
        <f t="shared" si="59"/>
        <v>1</v>
      </c>
      <c r="H325" s="36">
        <f t="shared" si="60"/>
        <v>0</v>
      </c>
      <c r="I325" s="36"/>
      <c r="J325" s="36">
        <f t="shared" si="61"/>
        <v>0</v>
      </c>
      <c r="K325" s="36">
        <f t="shared" si="53"/>
        <v>0</v>
      </c>
      <c r="L325" s="36">
        <f t="shared" si="54"/>
        <v>1</v>
      </c>
      <c r="M325" s="33"/>
      <c r="N325" s="40">
        <f t="shared" ref="N325:N363" si="63">J325*J324</f>
        <v>0</v>
      </c>
      <c r="O325" s="32">
        <f t="shared" si="55"/>
        <v>0</v>
      </c>
      <c r="P325" s="32">
        <f t="shared" si="56"/>
        <v>1</v>
      </c>
      <c r="Q325" s="33"/>
      <c r="R325" s="33"/>
      <c r="S325" s="33"/>
    </row>
    <row r="326" spans="1:19" ht="14.5" hidden="1" customHeight="1">
      <c r="A326">
        <v>323</v>
      </c>
      <c r="B326" s="37">
        <f t="shared" si="62"/>
        <v>1</v>
      </c>
      <c r="C326" s="38">
        <f t="shared" si="57"/>
        <v>1</v>
      </c>
      <c r="D326" s="33"/>
      <c r="E326" s="33"/>
      <c r="F326" s="39">
        <f t="shared" si="58"/>
        <v>1</v>
      </c>
      <c r="G326" s="36">
        <f t="shared" si="59"/>
        <v>1</v>
      </c>
      <c r="H326" s="36">
        <f t="shared" si="60"/>
        <v>0</v>
      </c>
      <c r="I326" s="36"/>
      <c r="J326" s="36">
        <f t="shared" si="61"/>
        <v>0</v>
      </c>
      <c r="K326" s="36">
        <f t="shared" si="53"/>
        <v>0</v>
      </c>
      <c r="L326" s="36">
        <f t="shared" si="54"/>
        <v>1</v>
      </c>
      <c r="M326" s="33"/>
      <c r="N326" s="40">
        <f t="shared" si="63"/>
        <v>0</v>
      </c>
      <c r="O326" s="32">
        <f t="shared" si="55"/>
        <v>0</v>
      </c>
      <c r="P326" s="32">
        <f t="shared" si="56"/>
        <v>1</v>
      </c>
      <c r="Q326" s="33"/>
      <c r="R326" s="33"/>
      <c r="S326" s="33"/>
    </row>
    <row r="327" spans="1:19" ht="14.5" hidden="1" customHeight="1">
      <c r="A327">
        <v>324</v>
      </c>
      <c r="B327" s="37">
        <f t="shared" si="62"/>
        <v>1</v>
      </c>
      <c r="C327" s="38">
        <f t="shared" si="57"/>
        <v>1</v>
      </c>
      <c r="D327" s="33"/>
      <c r="E327" s="33"/>
      <c r="F327" s="39">
        <f t="shared" si="58"/>
        <v>1</v>
      </c>
      <c r="G327" s="36">
        <f t="shared" si="59"/>
        <v>1</v>
      </c>
      <c r="H327" s="36">
        <f t="shared" si="60"/>
        <v>0</v>
      </c>
      <c r="I327" s="36"/>
      <c r="J327" s="36">
        <f t="shared" si="61"/>
        <v>0</v>
      </c>
      <c r="K327" s="36">
        <f t="shared" si="53"/>
        <v>0</v>
      </c>
      <c r="L327" s="36">
        <f t="shared" si="54"/>
        <v>1</v>
      </c>
      <c r="M327" s="33"/>
      <c r="N327" s="40">
        <f t="shared" si="63"/>
        <v>0</v>
      </c>
      <c r="O327" s="32">
        <f t="shared" si="55"/>
        <v>0</v>
      </c>
      <c r="P327" s="32">
        <f t="shared" si="56"/>
        <v>1</v>
      </c>
      <c r="Q327" s="33"/>
      <c r="R327" s="33"/>
      <c r="S327" s="33"/>
    </row>
    <row r="328" spans="1:19" ht="14.5" hidden="1" customHeight="1">
      <c r="A328">
        <v>325</v>
      </c>
      <c r="B328" s="37">
        <f t="shared" si="62"/>
        <v>1</v>
      </c>
      <c r="C328" s="38">
        <f t="shared" si="57"/>
        <v>1</v>
      </c>
      <c r="D328" s="33"/>
      <c r="E328" s="33"/>
      <c r="F328" s="39">
        <f t="shared" si="58"/>
        <v>1</v>
      </c>
      <c r="G328" s="36">
        <f t="shared" si="59"/>
        <v>1</v>
      </c>
      <c r="H328" s="36">
        <f t="shared" si="60"/>
        <v>0</v>
      </c>
      <c r="I328" s="36"/>
      <c r="J328" s="36">
        <f t="shared" si="61"/>
        <v>0</v>
      </c>
      <c r="K328" s="36">
        <f t="shared" si="53"/>
        <v>0</v>
      </c>
      <c r="L328" s="36">
        <f t="shared" si="54"/>
        <v>1</v>
      </c>
      <c r="M328" s="33"/>
      <c r="N328" s="40">
        <f t="shared" si="63"/>
        <v>0</v>
      </c>
      <c r="O328" s="32">
        <f t="shared" si="55"/>
        <v>0</v>
      </c>
      <c r="P328" s="32">
        <f t="shared" si="56"/>
        <v>1</v>
      </c>
      <c r="Q328" s="33"/>
      <c r="R328" s="33"/>
      <c r="S328" s="33"/>
    </row>
    <row r="329" spans="1:19" ht="14.5" hidden="1" customHeight="1">
      <c r="A329">
        <v>326</v>
      </c>
      <c r="B329" s="37">
        <f t="shared" si="62"/>
        <v>1</v>
      </c>
      <c r="C329" s="38">
        <f t="shared" si="57"/>
        <v>1</v>
      </c>
      <c r="D329" s="33"/>
      <c r="E329" s="33"/>
      <c r="F329" s="39">
        <f t="shared" si="58"/>
        <v>1</v>
      </c>
      <c r="G329" s="36">
        <f t="shared" si="59"/>
        <v>1</v>
      </c>
      <c r="H329" s="36">
        <f t="shared" si="60"/>
        <v>0</v>
      </c>
      <c r="I329" s="36"/>
      <c r="J329" s="36">
        <f t="shared" si="61"/>
        <v>0</v>
      </c>
      <c r="K329" s="36">
        <f t="shared" si="53"/>
        <v>0</v>
      </c>
      <c r="L329" s="36">
        <f t="shared" si="54"/>
        <v>1</v>
      </c>
      <c r="M329" s="33"/>
      <c r="N329" s="40">
        <f t="shared" si="63"/>
        <v>0</v>
      </c>
      <c r="O329" s="32">
        <f t="shared" si="55"/>
        <v>0</v>
      </c>
      <c r="P329" s="32">
        <f t="shared" si="56"/>
        <v>1</v>
      </c>
      <c r="Q329" s="33"/>
      <c r="R329" s="33"/>
      <c r="S329" s="33"/>
    </row>
    <row r="330" spans="1:19" ht="14.5" hidden="1" customHeight="1">
      <c r="A330">
        <v>327</v>
      </c>
      <c r="B330" s="37">
        <f t="shared" si="62"/>
        <v>1</v>
      </c>
      <c r="C330" s="38">
        <f t="shared" si="57"/>
        <v>1</v>
      </c>
      <c r="D330" s="33"/>
      <c r="E330" s="33"/>
      <c r="F330" s="39">
        <f t="shared" si="58"/>
        <v>1</v>
      </c>
      <c r="G330" s="36">
        <f t="shared" si="59"/>
        <v>1</v>
      </c>
      <c r="H330" s="36">
        <f t="shared" si="60"/>
        <v>0</v>
      </c>
      <c r="I330" s="36"/>
      <c r="J330" s="36">
        <f t="shared" si="61"/>
        <v>0</v>
      </c>
      <c r="K330" s="36">
        <f t="shared" si="53"/>
        <v>0</v>
      </c>
      <c r="L330" s="36">
        <f t="shared" si="54"/>
        <v>1</v>
      </c>
      <c r="M330" s="33"/>
      <c r="N330" s="40">
        <f t="shared" si="63"/>
        <v>0</v>
      </c>
      <c r="O330" s="32">
        <f t="shared" si="55"/>
        <v>0</v>
      </c>
      <c r="P330" s="32">
        <f t="shared" si="56"/>
        <v>1</v>
      </c>
      <c r="Q330" s="33"/>
      <c r="R330" s="33"/>
      <c r="S330" s="33"/>
    </row>
    <row r="331" spans="1:19" ht="14.5" hidden="1" customHeight="1">
      <c r="A331">
        <v>328</v>
      </c>
      <c r="B331" s="37">
        <f t="shared" si="62"/>
        <v>1</v>
      </c>
      <c r="C331" s="38">
        <f t="shared" si="57"/>
        <v>1</v>
      </c>
      <c r="D331" s="33"/>
      <c r="E331" s="33"/>
      <c r="F331" s="39">
        <f t="shared" si="58"/>
        <v>1</v>
      </c>
      <c r="G331" s="36">
        <f t="shared" si="59"/>
        <v>1</v>
      </c>
      <c r="H331" s="36">
        <f t="shared" si="60"/>
        <v>0</v>
      </c>
      <c r="I331" s="36"/>
      <c r="J331" s="36">
        <f t="shared" si="61"/>
        <v>0</v>
      </c>
      <c r="K331" s="36">
        <f t="shared" si="53"/>
        <v>0</v>
      </c>
      <c r="L331" s="36">
        <f t="shared" si="54"/>
        <v>1</v>
      </c>
      <c r="M331" s="33"/>
      <c r="N331" s="40">
        <f t="shared" si="63"/>
        <v>0</v>
      </c>
      <c r="O331" s="32">
        <f t="shared" si="55"/>
        <v>0</v>
      </c>
      <c r="P331" s="32">
        <f t="shared" si="56"/>
        <v>1</v>
      </c>
      <c r="Q331" s="33"/>
      <c r="R331" s="33"/>
      <c r="S331" s="33"/>
    </row>
    <row r="332" spans="1:19" ht="14.5" hidden="1" customHeight="1">
      <c r="A332">
        <v>329</v>
      </c>
      <c r="B332" s="37">
        <f t="shared" si="62"/>
        <v>1</v>
      </c>
      <c r="C332" s="38">
        <f t="shared" si="57"/>
        <v>1</v>
      </c>
      <c r="D332" s="33"/>
      <c r="E332" s="33"/>
      <c r="F332" s="39">
        <f t="shared" si="58"/>
        <v>1</v>
      </c>
      <c r="G332" s="36">
        <f t="shared" si="59"/>
        <v>1</v>
      </c>
      <c r="H332" s="36">
        <f t="shared" si="60"/>
        <v>0</v>
      </c>
      <c r="I332" s="36"/>
      <c r="J332" s="36">
        <f t="shared" si="61"/>
        <v>0</v>
      </c>
      <c r="K332" s="36">
        <f t="shared" si="53"/>
        <v>0</v>
      </c>
      <c r="L332" s="36">
        <f t="shared" si="54"/>
        <v>1</v>
      </c>
      <c r="M332" s="33"/>
      <c r="N332" s="40">
        <f t="shared" si="63"/>
        <v>0</v>
      </c>
      <c r="O332" s="32">
        <f t="shared" si="55"/>
        <v>0</v>
      </c>
      <c r="P332" s="32">
        <f t="shared" si="56"/>
        <v>1</v>
      </c>
      <c r="Q332" s="33"/>
      <c r="R332" s="33"/>
      <c r="S332" s="33"/>
    </row>
    <row r="333" spans="1:19" ht="14.5" hidden="1" customHeight="1">
      <c r="A333">
        <v>330</v>
      </c>
      <c r="B333" s="37">
        <f t="shared" si="62"/>
        <v>1</v>
      </c>
      <c r="C333" s="38">
        <f t="shared" si="57"/>
        <v>1</v>
      </c>
      <c r="D333" s="33"/>
      <c r="E333" s="33"/>
      <c r="F333" s="39">
        <f t="shared" si="58"/>
        <v>1</v>
      </c>
      <c r="G333" s="36">
        <f t="shared" si="59"/>
        <v>1</v>
      </c>
      <c r="H333" s="36">
        <f t="shared" si="60"/>
        <v>0</v>
      </c>
      <c r="I333" s="36"/>
      <c r="J333" s="36">
        <f t="shared" si="61"/>
        <v>0</v>
      </c>
      <c r="K333" s="36">
        <f t="shared" si="53"/>
        <v>0</v>
      </c>
      <c r="L333" s="36">
        <f t="shared" si="54"/>
        <v>1</v>
      </c>
      <c r="M333" s="33"/>
      <c r="N333" s="40">
        <f t="shared" si="63"/>
        <v>0</v>
      </c>
      <c r="O333" s="32">
        <f t="shared" si="55"/>
        <v>0</v>
      </c>
      <c r="P333" s="32">
        <f t="shared" si="56"/>
        <v>1</v>
      </c>
      <c r="Q333" s="33"/>
      <c r="R333" s="33"/>
      <c r="S333" s="33"/>
    </row>
    <row r="334" spans="1:19" ht="14.5" hidden="1" customHeight="1">
      <c r="A334">
        <v>331</v>
      </c>
      <c r="B334" s="37">
        <f t="shared" si="62"/>
        <v>1</v>
      </c>
      <c r="C334" s="38">
        <f t="shared" si="57"/>
        <v>1</v>
      </c>
      <c r="D334" s="33"/>
      <c r="E334" s="33"/>
      <c r="F334" s="39">
        <f t="shared" si="58"/>
        <v>1</v>
      </c>
      <c r="G334" s="36">
        <f t="shared" si="59"/>
        <v>1</v>
      </c>
      <c r="H334" s="36">
        <f t="shared" si="60"/>
        <v>0</v>
      </c>
      <c r="I334" s="36"/>
      <c r="J334" s="36">
        <f t="shared" si="61"/>
        <v>0</v>
      </c>
      <c r="K334" s="36">
        <f t="shared" si="53"/>
        <v>0</v>
      </c>
      <c r="L334" s="36">
        <f t="shared" si="54"/>
        <v>1</v>
      </c>
      <c r="M334" s="33"/>
      <c r="N334" s="40">
        <f t="shared" si="63"/>
        <v>0</v>
      </c>
      <c r="O334" s="32">
        <f t="shared" si="55"/>
        <v>0</v>
      </c>
      <c r="P334" s="32">
        <f t="shared" si="56"/>
        <v>1</v>
      </c>
      <c r="Q334" s="33"/>
      <c r="R334" s="33"/>
      <c r="S334" s="33"/>
    </row>
    <row r="335" spans="1:19" ht="14.5" hidden="1" customHeight="1">
      <c r="A335">
        <v>332</v>
      </c>
      <c r="B335" s="37">
        <f t="shared" si="62"/>
        <v>1</v>
      </c>
      <c r="C335" s="38">
        <f t="shared" si="57"/>
        <v>1</v>
      </c>
      <c r="D335" s="33"/>
      <c r="E335" s="33"/>
      <c r="F335" s="39">
        <f t="shared" si="58"/>
        <v>1</v>
      </c>
      <c r="G335" s="36">
        <f t="shared" si="59"/>
        <v>1</v>
      </c>
      <c r="H335" s="36">
        <f t="shared" si="60"/>
        <v>0</v>
      </c>
      <c r="I335" s="36"/>
      <c r="J335" s="36">
        <f t="shared" si="61"/>
        <v>0</v>
      </c>
      <c r="K335" s="36">
        <f t="shared" si="53"/>
        <v>0</v>
      </c>
      <c r="L335" s="36">
        <f t="shared" si="54"/>
        <v>1</v>
      </c>
      <c r="M335" s="33"/>
      <c r="N335" s="40">
        <f t="shared" si="63"/>
        <v>0</v>
      </c>
      <c r="O335" s="32">
        <f t="shared" si="55"/>
        <v>0</v>
      </c>
      <c r="P335" s="32">
        <f t="shared" si="56"/>
        <v>1</v>
      </c>
      <c r="Q335" s="33"/>
      <c r="R335" s="33"/>
      <c r="S335" s="33"/>
    </row>
    <row r="336" spans="1:19" ht="14.5" hidden="1" customHeight="1">
      <c r="A336">
        <v>333</v>
      </c>
      <c r="B336" s="37">
        <f t="shared" si="62"/>
        <v>1</v>
      </c>
      <c r="C336" s="38">
        <f t="shared" si="57"/>
        <v>1</v>
      </c>
      <c r="D336" s="33"/>
      <c r="E336" s="33"/>
      <c r="F336" s="39">
        <f t="shared" si="58"/>
        <v>1</v>
      </c>
      <c r="G336" s="36">
        <f t="shared" si="59"/>
        <v>1</v>
      </c>
      <c r="H336" s="36">
        <f t="shared" si="60"/>
        <v>0</v>
      </c>
      <c r="I336" s="36"/>
      <c r="J336" s="36">
        <f t="shared" si="61"/>
        <v>0</v>
      </c>
      <c r="K336" s="36">
        <f t="shared" si="53"/>
        <v>0</v>
      </c>
      <c r="L336" s="36">
        <f t="shared" si="54"/>
        <v>1</v>
      </c>
      <c r="M336" s="33"/>
      <c r="N336" s="40">
        <f t="shared" si="63"/>
        <v>0</v>
      </c>
      <c r="O336" s="32">
        <f t="shared" si="55"/>
        <v>0</v>
      </c>
      <c r="P336" s="32">
        <f t="shared" si="56"/>
        <v>1</v>
      </c>
      <c r="Q336" s="33"/>
      <c r="R336" s="33"/>
      <c r="S336" s="33"/>
    </row>
    <row r="337" spans="1:19" ht="14.5" hidden="1" customHeight="1">
      <c r="A337">
        <v>334</v>
      </c>
      <c r="B337" s="37">
        <f t="shared" si="62"/>
        <v>1</v>
      </c>
      <c r="C337" s="38">
        <f t="shared" si="57"/>
        <v>1</v>
      </c>
      <c r="D337" s="33"/>
      <c r="E337" s="33"/>
      <c r="F337" s="39">
        <f t="shared" si="58"/>
        <v>1</v>
      </c>
      <c r="G337" s="36">
        <f t="shared" si="59"/>
        <v>1</v>
      </c>
      <c r="H337" s="36">
        <f t="shared" si="60"/>
        <v>0</v>
      </c>
      <c r="I337" s="36"/>
      <c r="J337" s="36">
        <f t="shared" si="61"/>
        <v>0</v>
      </c>
      <c r="K337" s="36">
        <f t="shared" si="53"/>
        <v>0</v>
      </c>
      <c r="L337" s="36">
        <f t="shared" si="54"/>
        <v>1</v>
      </c>
      <c r="M337" s="33"/>
      <c r="N337" s="40">
        <f t="shared" si="63"/>
        <v>0</v>
      </c>
      <c r="O337" s="32">
        <f t="shared" si="55"/>
        <v>0</v>
      </c>
      <c r="P337" s="32">
        <f t="shared" si="56"/>
        <v>1</v>
      </c>
      <c r="Q337" s="33"/>
      <c r="R337" s="33"/>
      <c r="S337" s="33"/>
    </row>
    <row r="338" spans="1:19" ht="14.5" hidden="1" customHeight="1">
      <c r="A338">
        <v>335</v>
      </c>
      <c r="B338" s="37">
        <f t="shared" si="62"/>
        <v>1</v>
      </c>
      <c r="C338" s="38">
        <f t="shared" si="57"/>
        <v>1</v>
      </c>
      <c r="D338" s="33"/>
      <c r="E338" s="33"/>
      <c r="F338" s="39">
        <f t="shared" si="58"/>
        <v>1</v>
      </c>
      <c r="G338" s="36">
        <f t="shared" si="59"/>
        <v>1</v>
      </c>
      <c r="H338" s="36">
        <f t="shared" si="60"/>
        <v>0</v>
      </c>
      <c r="I338" s="36"/>
      <c r="J338" s="36">
        <f t="shared" si="61"/>
        <v>0</v>
      </c>
      <c r="K338" s="36">
        <f t="shared" si="53"/>
        <v>0</v>
      </c>
      <c r="L338" s="36">
        <f t="shared" si="54"/>
        <v>1</v>
      </c>
      <c r="M338" s="33"/>
      <c r="N338" s="40">
        <f t="shared" si="63"/>
        <v>0</v>
      </c>
      <c r="O338" s="32">
        <f t="shared" si="55"/>
        <v>0</v>
      </c>
      <c r="P338" s="32">
        <f t="shared" si="56"/>
        <v>1</v>
      </c>
      <c r="Q338" s="33"/>
      <c r="R338" s="33"/>
      <c r="S338" s="33"/>
    </row>
    <row r="339" spans="1:19" ht="14.5" hidden="1" customHeight="1">
      <c r="A339">
        <v>336</v>
      </c>
      <c r="B339" s="37">
        <f t="shared" si="62"/>
        <v>1</v>
      </c>
      <c r="C339" s="38">
        <f t="shared" si="57"/>
        <v>1</v>
      </c>
      <c r="D339" s="33"/>
      <c r="E339" s="33"/>
      <c r="F339" s="39">
        <f t="shared" si="58"/>
        <v>1</v>
      </c>
      <c r="G339" s="36">
        <f t="shared" si="59"/>
        <v>1</v>
      </c>
      <c r="H339" s="36">
        <f t="shared" si="60"/>
        <v>0</v>
      </c>
      <c r="I339" s="36"/>
      <c r="J339" s="36">
        <f t="shared" si="61"/>
        <v>0</v>
      </c>
      <c r="K339" s="36">
        <f t="shared" ref="K339:K363" si="64">1-G339</f>
        <v>0</v>
      </c>
      <c r="L339" s="36">
        <f t="shared" ref="L339:L363" si="65">1-H339</f>
        <v>1</v>
      </c>
      <c r="M339" s="33"/>
      <c r="N339" s="40">
        <f t="shared" si="63"/>
        <v>0</v>
      </c>
      <c r="O339" s="32">
        <f t="shared" si="55"/>
        <v>0</v>
      </c>
      <c r="P339" s="32">
        <f t="shared" si="56"/>
        <v>1</v>
      </c>
      <c r="Q339" s="33"/>
      <c r="R339" s="33"/>
      <c r="S339" s="33"/>
    </row>
    <row r="340" spans="1:19" ht="14.5" hidden="1" customHeight="1">
      <c r="A340">
        <v>337</v>
      </c>
      <c r="B340" s="37">
        <f t="shared" si="62"/>
        <v>1</v>
      </c>
      <c r="C340" s="38">
        <f t="shared" si="57"/>
        <v>1</v>
      </c>
      <c r="D340" s="33"/>
      <c r="E340" s="33"/>
      <c r="F340" s="39">
        <f t="shared" si="58"/>
        <v>1</v>
      </c>
      <c r="G340" s="36">
        <f t="shared" si="59"/>
        <v>1</v>
      </c>
      <c r="H340" s="36">
        <f t="shared" si="60"/>
        <v>0</v>
      </c>
      <c r="I340" s="36"/>
      <c r="J340" s="36">
        <f t="shared" si="61"/>
        <v>0</v>
      </c>
      <c r="K340" s="36">
        <f t="shared" si="64"/>
        <v>0</v>
      </c>
      <c r="L340" s="36">
        <f t="shared" si="65"/>
        <v>1</v>
      </c>
      <c r="M340" s="33"/>
      <c r="N340" s="40">
        <f t="shared" si="63"/>
        <v>0</v>
      </c>
      <c r="O340" s="32">
        <f t="shared" ref="O340:O363" si="66">K340*K339</f>
        <v>0</v>
      </c>
      <c r="P340" s="32">
        <f t="shared" ref="P340:P363" si="67">L340*L339</f>
        <v>1</v>
      </c>
      <c r="Q340" s="33"/>
      <c r="R340" s="33"/>
      <c r="S340" s="33"/>
    </row>
    <row r="341" spans="1:19" ht="14.5" hidden="1" customHeight="1">
      <c r="A341">
        <v>338</v>
      </c>
      <c r="B341" s="37">
        <f t="shared" si="62"/>
        <v>1</v>
      </c>
      <c r="C341" s="38">
        <f t="shared" si="57"/>
        <v>1</v>
      </c>
      <c r="D341" s="33"/>
      <c r="E341" s="33"/>
      <c r="F341" s="39">
        <f t="shared" si="58"/>
        <v>1</v>
      </c>
      <c r="G341" s="36">
        <f t="shared" si="59"/>
        <v>1</v>
      </c>
      <c r="H341" s="36">
        <f t="shared" si="60"/>
        <v>0</v>
      </c>
      <c r="I341" s="36"/>
      <c r="J341" s="36">
        <f t="shared" si="61"/>
        <v>0</v>
      </c>
      <c r="K341" s="36">
        <f t="shared" si="64"/>
        <v>0</v>
      </c>
      <c r="L341" s="36">
        <f t="shared" si="65"/>
        <v>1</v>
      </c>
      <c r="M341" s="33"/>
      <c r="N341" s="40">
        <f t="shared" si="63"/>
        <v>0</v>
      </c>
      <c r="O341" s="32">
        <f t="shared" si="66"/>
        <v>0</v>
      </c>
      <c r="P341" s="32">
        <f t="shared" si="67"/>
        <v>1</v>
      </c>
      <c r="Q341" s="33"/>
      <c r="R341" s="33"/>
      <c r="S341" s="33"/>
    </row>
    <row r="342" spans="1:19" ht="14.5" hidden="1" customHeight="1">
      <c r="A342">
        <v>339</v>
      </c>
      <c r="B342" s="37">
        <f t="shared" si="62"/>
        <v>1</v>
      </c>
      <c r="C342" s="38">
        <f t="shared" si="57"/>
        <v>1</v>
      </c>
      <c r="D342" s="33"/>
      <c r="E342" s="33"/>
      <c r="F342" s="39">
        <f t="shared" si="58"/>
        <v>1</v>
      </c>
      <c r="G342" s="36">
        <f t="shared" si="59"/>
        <v>1</v>
      </c>
      <c r="H342" s="36">
        <f t="shared" si="60"/>
        <v>0</v>
      </c>
      <c r="I342" s="36"/>
      <c r="J342" s="36">
        <f t="shared" si="61"/>
        <v>0</v>
      </c>
      <c r="K342" s="36">
        <f t="shared" si="64"/>
        <v>0</v>
      </c>
      <c r="L342" s="36">
        <f t="shared" si="65"/>
        <v>1</v>
      </c>
      <c r="M342" s="33"/>
      <c r="N342" s="40">
        <f t="shared" si="63"/>
        <v>0</v>
      </c>
      <c r="O342" s="32">
        <f t="shared" si="66"/>
        <v>0</v>
      </c>
      <c r="P342" s="32">
        <f t="shared" si="67"/>
        <v>1</v>
      </c>
      <c r="Q342" s="33"/>
      <c r="R342" s="33"/>
      <c r="S342" s="33"/>
    </row>
    <row r="343" spans="1:19" ht="14.5" hidden="1" customHeight="1">
      <c r="A343">
        <v>340</v>
      </c>
      <c r="B343" s="37">
        <f t="shared" si="62"/>
        <v>1</v>
      </c>
      <c r="C343" s="38">
        <f t="shared" si="57"/>
        <v>1</v>
      </c>
      <c r="D343" s="33"/>
      <c r="E343" s="33"/>
      <c r="F343" s="39">
        <f t="shared" si="58"/>
        <v>1</v>
      </c>
      <c r="G343" s="36">
        <f t="shared" si="59"/>
        <v>1</v>
      </c>
      <c r="H343" s="36">
        <f t="shared" si="60"/>
        <v>0</v>
      </c>
      <c r="I343" s="36"/>
      <c r="J343" s="36">
        <f t="shared" si="61"/>
        <v>0</v>
      </c>
      <c r="K343" s="36">
        <f t="shared" si="64"/>
        <v>0</v>
      </c>
      <c r="L343" s="36">
        <f t="shared" si="65"/>
        <v>1</v>
      </c>
      <c r="M343" s="33"/>
      <c r="N343" s="40">
        <f t="shared" si="63"/>
        <v>0</v>
      </c>
      <c r="O343" s="32">
        <f t="shared" si="66"/>
        <v>0</v>
      </c>
      <c r="P343" s="32">
        <f t="shared" si="67"/>
        <v>1</v>
      </c>
      <c r="Q343" s="33"/>
      <c r="R343" s="33"/>
      <c r="S343" s="33"/>
    </row>
    <row r="344" spans="1:19" ht="14.5" hidden="1" customHeight="1">
      <c r="A344">
        <v>341</v>
      </c>
      <c r="B344" s="37">
        <f t="shared" si="62"/>
        <v>1</v>
      </c>
      <c r="C344" s="38">
        <f t="shared" si="57"/>
        <v>1</v>
      </c>
      <c r="D344" s="33"/>
      <c r="E344" s="33"/>
      <c r="F344" s="39">
        <f t="shared" si="58"/>
        <v>1</v>
      </c>
      <c r="G344" s="36">
        <f t="shared" si="59"/>
        <v>1</v>
      </c>
      <c r="H344" s="36">
        <f t="shared" si="60"/>
        <v>0</v>
      </c>
      <c r="I344" s="36"/>
      <c r="J344" s="36">
        <f t="shared" si="61"/>
        <v>0</v>
      </c>
      <c r="K344" s="36">
        <f t="shared" si="64"/>
        <v>0</v>
      </c>
      <c r="L344" s="36">
        <f t="shared" si="65"/>
        <v>1</v>
      </c>
      <c r="M344" s="33"/>
      <c r="N344" s="40">
        <f t="shared" si="63"/>
        <v>0</v>
      </c>
      <c r="O344" s="32">
        <f t="shared" si="66"/>
        <v>0</v>
      </c>
      <c r="P344" s="32">
        <f t="shared" si="67"/>
        <v>1</v>
      </c>
      <c r="Q344" s="33"/>
      <c r="R344" s="33"/>
      <c r="S344" s="33"/>
    </row>
    <row r="345" spans="1:19" ht="14.5" hidden="1" customHeight="1">
      <c r="A345">
        <v>342</v>
      </c>
      <c r="B345" s="37">
        <f t="shared" si="62"/>
        <v>1</v>
      </c>
      <c r="C345" s="38">
        <f t="shared" si="57"/>
        <v>1</v>
      </c>
      <c r="D345" s="33"/>
      <c r="E345" s="33"/>
      <c r="F345" s="39">
        <f t="shared" si="58"/>
        <v>1</v>
      </c>
      <c r="G345" s="36">
        <f t="shared" si="59"/>
        <v>1</v>
      </c>
      <c r="H345" s="36">
        <f t="shared" si="60"/>
        <v>0</v>
      </c>
      <c r="I345" s="36"/>
      <c r="J345" s="36">
        <f t="shared" si="61"/>
        <v>0</v>
      </c>
      <c r="K345" s="36">
        <f t="shared" si="64"/>
        <v>0</v>
      </c>
      <c r="L345" s="36">
        <f t="shared" si="65"/>
        <v>1</v>
      </c>
      <c r="M345" s="33"/>
      <c r="N345" s="40">
        <f t="shared" si="63"/>
        <v>0</v>
      </c>
      <c r="O345" s="32">
        <f t="shared" si="66"/>
        <v>0</v>
      </c>
      <c r="P345" s="32">
        <f t="shared" si="67"/>
        <v>1</v>
      </c>
      <c r="Q345" s="33"/>
      <c r="R345" s="33"/>
      <c r="S345" s="33"/>
    </row>
    <row r="346" spans="1:19" ht="14.5" hidden="1" customHeight="1">
      <c r="A346">
        <v>343</v>
      </c>
      <c r="B346" s="37">
        <f t="shared" si="62"/>
        <v>1</v>
      </c>
      <c r="C346" s="38">
        <f t="shared" si="57"/>
        <v>1</v>
      </c>
      <c r="D346" s="33"/>
      <c r="E346" s="33"/>
      <c r="F346" s="39">
        <f t="shared" si="58"/>
        <v>1</v>
      </c>
      <c r="G346" s="36">
        <f t="shared" si="59"/>
        <v>1</v>
      </c>
      <c r="H346" s="36">
        <f t="shared" si="60"/>
        <v>0</v>
      </c>
      <c r="I346" s="36"/>
      <c r="J346" s="36">
        <f t="shared" si="61"/>
        <v>0</v>
      </c>
      <c r="K346" s="36">
        <f t="shared" si="64"/>
        <v>0</v>
      </c>
      <c r="L346" s="36">
        <f t="shared" si="65"/>
        <v>1</v>
      </c>
      <c r="M346" s="33"/>
      <c r="N346" s="40">
        <f t="shared" si="63"/>
        <v>0</v>
      </c>
      <c r="O346" s="32">
        <f t="shared" si="66"/>
        <v>0</v>
      </c>
      <c r="P346" s="32">
        <f t="shared" si="67"/>
        <v>1</v>
      </c>
      <c r="Q346" s="33"/>
      <c r="R346" s="33"/>
      <c r="S346" s="33"/>
    </row>
    <row r="347" spans="1:19" ht="14.5" hidden="1" customHeight="1">
      <c r="A347">
        <v>344</v>
      </c>
      <c r="B347" s="37">
        <f t="shared" si="62"/>
        <v>1</v>
      </c>
      <c r="C347" s="38">
        <f t="shared" si="57"/>
        <v>1</v>
      </c>
      <c r="D347" s="33"/>
      <c r="E347" s="33"/>
      <c r="F347" s="39">
        <f t="shared" si="58"/>
        <v>1</v>
      </c>
      <c r="G347" s="36">
        <f t="shared" si="59"/>
        <v>1</v>
      </c>
      <c r="H347" s="36">
        <f t="shared" si="60"/>
        <v>0</v>
      </c>
      <c r="I347" s="36"/>
      <c r="J347" s="36">
        <f t="shared" si="61"/>
        <v>0</v>
      </c>
      <c r="K347" s="36">
        <f t="shared" si="64"/>
        <v>0</v>
      </c>
      <c r="L347" s="36">
        <f t="shared" si="65"/>
        <v>1</v>
      </c>
      <c r="M347" s="33"/>
      <c r="N347" s="40">
        <f t="shared" si="63"/>
        <v>0</v>
      </c>
      <c r="O347" s="32">
        <f t="shared" si="66"/>
        <v>0</v>
      </c>
      <c r="P347" s="32">
        <f t="shared" si="67"/>
        <v>1</v>
      </c>
      <c r="Q347" s="33"/>
      <c r="R347" s="33"/>
      <c r="S347" s="33"/>
    </row>
    <row r="348" spans="1:19" ht="14.5" hidden="1" customHeight="1">
      <c r="A348">
        <v>345</v>
      </c>
      <c r="B348" s="37">
        <f t="shared" si="62"/>
        <v>1</v>
      </c>
      <c r="C348" s="38">
        <f t="shared" si="57"/>
        <v>1</v>
      </c>
      <c r="D348" s="33"/>
      <c r="E348" s="33"/>
      <c r="F348" s="39">
        <f t="shared" si="58"/>
        <v>1</v>
      </c>
      <c r="G348" s="36">
        <f t="shared" si="59"/>
        <v>1</v>
      </c>
      <c r="H348" s="36">
        <f t="shared" si="60"/>
        <v>0</v>
      </c>
      <c r="I348" s="36"/>
      <c r="J348" s="36">
        <f t="shared" si="61"/>
        <v>0</v>
      </c>
      <c r="K348" s="36">
        <f t="shared" si="64"/>
        <v>0</v>
      </c>
      <c r="L348" s="36">
        <f t="shared" si="65"/>
        <v>1</v>
      </c>
      <c r="M348" s="33"/>
      <c r="N348" s="40">
        <f t="shared" si="63"/>
        <v>0</v>
      </c>
      <c r="O348" s="32">
        <f t="shared" si="66"/>
        <v>0</v>
      </c>
      <c r="P348" s="32">
        <f t="shared" si="67"/>
        <v>1</v>
      </c>
      <c r="Q348" s="33"/>
      <c r="R348" s="33"/>
      <c r="S348" s="33"/>
    </row>
    <row r="349" spans="1:19" ht="14.5" hidden="1" customHeight="1">
      <c r="A349">
        <v>346</v>
      </c>
      <c r="B349" s="37">
        <f t="shared" si="62"/>
        <v>1</v>
      </c>
      <c r="C349" s="38">
        <f t="shared" si="57"/>
        <v>1</v>
      </c>
      <c r="D349" s="33"/>
      <c r="E349" s="33"/>
      <c r="F349" s="39">
        <f t="shared" si="58"/>
        <v>1</v>
      </c>
      <c r="G349" s="36">
        <f t="shared" si="59"/>
        <v>1</v>
      </c>
      <c r="H349" s="36">
        <f t="shared" si="60"/>
        <v>0</v>
      </c>
      <c r="I349" s="36"/>
      <c r="J349" s="36">
        <f t="shared" si="61"/>
        <v>0</v>
      </c>
      <c r="K349" s="36">
        <f t="shared" si="64"/>
        <v>0</v>
      </c>
      <c r="L349" s="36">
        <f t="shared" si="65"/>
        <v>1</v>
      </c>
      <c r="M349" s="33"/>
      <c r="N349" s="40">
        <f t="shared" si="63"/>
        <v>0</v>
      </c>
      <c r="O349" s="32">
        <f t="shared" si="66"/>
        <v>0</v>
      </c>
      <c r="P349" s="32">
        <f t="shared" si="67"/>
        <v>1</v>
      </c>
      <c r="Q349" s="33"/>
      <c r="R349" s="33"/>
      <c r="S349" s="33"/>
    </row>
    <row r="350" spans="1:19" ht="14.5" hidden="1" customHeight="1">
      <c r="A350">
        <v>347</v>
      </c>
      <c r="B350" s="37">
        <f t="shared" si="62"/>
        <v>1</v>
      </c>
      <c r="C350" s="38">
        <f t="shared" si="57"/>
        <v>1</v>
      </c>
      <c r="D350" s="33"/>
      <c r="E350" s="33"/>
      <c r="F350" s="39">
        <f t="shared" si="58"/>
        <v>1</v>
      </c>
      <c r="G350" s="36">
        <f t="shared" si="59"/>
        <v>1</v>
      </c>
      <c r="H350" s="36">
        <f t="shared" si="60"/>
        <v>0</v>
      </c>
      <c r="I350" s="36"/>
      <c r="J350" s="36">
        <f t="shared" si="61"/>
        <v>0</v>
      </c>
      <c r="K350" s="36">
        <f t="shared" si="64"/>
        <v>0</v>
      </c>
      <c r="L350" s="36">
        <f t="shared" si="65"/>
        <v>1</v>
      </c>
      <c r="M350" s="33"/>
      <c r="N350" s="40">
        <f t="shared" si="63"/>
        <v>0</v>
      </c>
      <c r="O350" s="32">
        <f t="shared" si="66"/>
        <v>0</v>
      </c>
      <c r="P350" s="32">
        <f t="shared" si="67"/>
        <v>1</v>
      </c>
      <c r="Q350" s="33"/>
      <c r="R350" s="33"/>
      <c r="S350" s="33"/>
    </row>
    <row r="351" spans="1:19" ht="14.5" hidden="1" customHeight="1">
      <c r="A351">
        <v>348</v>
      </c>
      <c r="B351" s="37">
        <f t="shared" si="62"/>
        <v>1</v>
      </c>
      <c r="C351" s="38">
        <f t="shared" si="57"/>
        <v>1</v>
      </c>
      <c r="D351" s="33"/>
      <c r="E351" s="33"/>
      <c r="F351" s="39">
        <f t="shared" si="58"/>
        <v>1</v>
      </c>
      <c r="G351" s="36">
        <f t="shared" si="59"/>
        <v>1</v>
      </c>
      <c r="H351" s="36">
        <f t="shared" si="60"/>
        <v>0</v>
      </c>
      <c r="I351" s="36"/>
      <c r="J351" s="36">
        <f t="shared" si="61"/>
        <v>0</v>
      </c>
      <c r="K351" s="36">
        <f t="shared" si="64"/>
        <v>0</v>
      </c>
      <c r="L351" s="36">
        <f t="shared" si="65"/>
        <v>1</v>
      </c>
      <c r="M351" s="33"/>
      <c r="N351" s="40">
        <f t="shared" si="63"/>
        <v>0</v>
      </c>
      <c r="O351" s="32">
        <f t="shared" si="66"/>
        <v>0</v>
      </c>
      <c r="P351" s="32">
        <f t="shared" si="67"/>
        <v>1</v>
      </c>
      <c r="Q351" s="33"/>
      <c r="R351" s="33"/>
      <c r="S351" s="33"/>
    </row>
    <row r="352" spans="1:19" ht="14.5" hidden="1" customHeight="1">
      <c r="A352">
        <v>349</v>
      </c>
      <c r="B352" s="37">
        <f t="shared" si="62"/>
        <v>1</v>
      </c>
      <c r="C352" s="38">
        <f t="shared" si="57"/>
        <v>1</v>
      </c>
      <c r="D352" s="33"/>
      <c r="E352" s="33"/>
      <c r="F352" s="39">
        <f t="shared" si="58"/>
        <v>1</v>
      </c>
      <c r="G352" s="36">
        <f t="shared" si="59"/>
        <v>1</v>
      </c>
      <c r="H352" s="36">
        <f t="shared" si="60"/>
        <v>0</v>
      </c>
      <c r="I352" s="36"/>
      <c r="J352" s="36">
        <f t="shared" si="61"/>
        <v>0</v>
      </c>
      <c r="K352" s="36">
        <f t="shared" si="64"/>
        <v>0</v>
      </c>
      <c r="L352" s="36">
        <f t="shared" si="65"/>
        <v>1</v>
      </c>
      <c r="M352" s="33"/>
      <c r="N352" s="40">
        <f t="shared" si="63"/>
        <v>0</v>
      </c>
      <c r="O352" s="32">
        <f t="shared" si="66"/>
        <v>0</v>
      </c>
      <c r="P352" s="32">
        <f t="shared" si="67"/>
        <v>1</v>
      </c>
      <c r="Q352" s="33"/>
      <c r="R352" s="33"/>
      <c r="S352" s="33"/>
    </row>
    <row r="353" spans="1:19" ht="14.5" hidden="1" customHeight="1">
      <c r="A353">
        <v>350</v>
      </c>
      <c r="B353" s="37">
        <f t="shared" si="62"/>
        <v>1</v>
      </c>
      <c r="C353" s="38">
        <f t="shared" si="57"/>
        <v>1</v>
      </c>
      <c r="D353" s="33"/>
      <c r="E353" s="33"/>
      <c r="F353" s="39">
        <f t="shared" si="58"/>
        <v>1</v>
      </c>
      <c r="G353" s="36">
        <f t="shared" si="59"/>
        <v>1</v>
      </c>
      <c r="H353" s="36">
        <f t="shared" si="60"/>
        <v>0</v>
      </c>
      <c r="I353" s="36"/>
      <c r="J353" s="36">
        <f t="shared" si="61"/>
        <v>0</v>
      </c>
      <c r="K353" s="36">
        <f t="shared" si="64"/>
        <v>0</v>
      </c>
      <c r="L353" s="36">
        <f t="shared" si="65"/>
        <v>1</v>
      </c>
      <c r="M353" s="33"/>
      <c r="N353" s="40">
        <f t="shared" si="63"/>
        <v>0</v>
      </c>
      <c r="O353" s="32">
        <f t="shared" si="66"/>
        <v>0</v>
      </c>
      <c r="P353" s="32">
        <f t="shared" si="67"/>
        <v>1</v>
      </c>
      <c r="Q353" s="33"/>
      <c r="R353" s="33"/>
      <c r="S353" s="33"/>
    </row>
    <row r="354" spans="1:19" ht="14.5" hidden="1" customHeight="1">
      <c r="A354">
        <v>351</v>
      </c>
      <c r="B354" s="37">
        <f t="shared" si="62"/>
        <v>1</v>
      </c>
      <c r="C354" s="38">
        <f t="shared" si="57"/>
        <v>1</v>
      </c>
      <c r="D354" s="33"/>
      <c r="E354" s="33"/>
      <c r="F354" s="39">
        <f t="shared" si="58"/>
        <v>1</v>
      </c>
      <c r="G354" s="36">
        <f t="shared" si="59"/>
        <v>1</v>
      </c>
      <c r="H354" s="36">
        <f t="shared" si="60"/>
        <v>0</v>
      </c>
      <c r="I354" s="36"/>
      <c r="J354" s="36">
        <f t="shared" si="61"/>
        <v>0</v>
      </c>
      <c r="K354" s="36">
        <f t="shared" si="64"/>
        <v>0</v>
      </c>
      <c r="L354" s="36">
        <f t="shared" si="65"/>
        <v>1</v>
      </c>
      <c r="M354" s="33"/>
      <c r="N354" s="40">
        <f t="shared" si="63"/>
        <v>0</v>
      </c>
      <c r="O354" s="32">
        <f t="shared" si="66"/>
        <v>0</v>
      </c>
      <c r="P354" s="32">
        <f t="shared" si="67"/>
        <v>1</v>
      </c>
      <c r="Q354" s="33"/>
      <c r="R354" s="33"/>
      <c r="S354" s="33"/>
    </row>
    <row r="355" spans="1:19" ht="14.5" hidden="1" customHeight="1">
      <c r="A355">
        <v>352</v>
      </c>
      <c r="B355" s="37">
        <f t="shared" si="62"/>
        <v>1</v>
      </c>
      <c r="C355" s="38">
        <f t="shared" si="57"/>
        <v>1</v>
      </c>
      <c r="D355" s="33"/>
      <c r="E355" s="33"/>
      <c r="F355" s="39">
        <f t="shared" si="58"/>
        <v>1</v>
      </c>
      <c r="G355" s="36">
        <f t="shared" si="59"/>
        <v>1</v>
      </c>
      <c r="H355" s="36">
        <f t="shared" si="60"/>
        <v>0</v>
      </c>
      <c r="I355" s="36"/>
      <c r="J355" s="36">
        <f t="shared" si="61"/>
        <v>0</v>
      </c>
      <c r="K355" s="36">
        <f t="shared" si="64"/>
        <v>0</v>
      </c>
      <c r="L355" s="36">
        <f t="shared" si="65"/>
        <v>1</v>
      </c>
      <c r="M355" s="33"/>
      <c r="N355" s="40">
        <f t="shared" si="63"/>
        <v>0</v>
      </c>
      <c r="O355" s="32">
        <f t="shared" si="66"/>
        <v>0</v>
      </c>
      <c r="P355" s="32">
        <f t="shared" si="67"/>
        <v>1</v>
      </c>
      <c r="Q355" s="33"/>
      <c r="R355" s="33"/>
      <c r="S355" s="33"/>
    </row>
    <row r="356" spans="1:19" ht="14.5" hidden="1" customHeight="1">
      <c r="A356">
        <v>353</v>
      </c>
      <c r="B356" s="37">
        <f t="shared" si="62"/>
        <v>1</v>
      </c>
      <c r="C356" s="38">
        <f t="shared" si="57"/>
        <v>1</v>
      </c>
      <c r="D356" s="33"/>
      <c r="E356" s="33"/>
      <c r="F356" s="39">
        <f t="shared" si="58"/>
        <v>1</v>
      </c>
      <c r="G356" s="36">
        <f t="shared" si="59"/>
        <v>1</v>
      </c>
      <c r="H356" s="36">
        <f t="shared" si="60"/>
        <v>0</v>
      </c>
      <c r="I356" s="36"/>
      <c r="J356" s="36">
        <f t="shared" si="61"/>
        <v>0</v>
      </c>
      <c r="K356" s="36">
        <f t="shared" si="64"/>
        <v>0</v>
      </c>
      <c r="L356" s="36">
        <f t="shared" si="65"/>
        <v>1</v>
      </c>
      <c r="M356" s="33"/>
      <c r="N356" s="40">
        <f t="shared" si="63"/>
        <v>0</v>
      </c>
      <c r="O356" s="32">
        <f t="shared" si="66"/>
        <v>0</v>
      </c>
      <c r="P356" s="32">
        <f t="shared" si="67"/>
        <v>1</v>
      </c>
      <c r="Q356" s="33"/>
      <c r="R356" s="33"/>
      <c r="S356" s="33"/>
    </row>
    <row r="357" spans="1:19" ht="14.5" hidden="1" customHeight="1">
      <c r="A357">
        <v>354</v>
      </c>
      <c r="B357" s="37">
        <f t="shared" si="62"/>
        <v>1</v>
      </c>
      <c r="C357" s="38">
        <f t="shared" si="57"/>
        <v>1</v>
      </c>
      <c r="D357" s="33"/>
      <c r="E357" s="33"/>
      <c r="F357" s="39">
        <f t="shared" si="58"/>
        <v>1</v>
      </c>
      <c r="G357" s="36">
        <f t="shared" si="59"/>
        <v>1</v>
      </c>
      <c r="H357" s="36">
        <f t="shared" si="60"/>
        <v>0</v>
      </c>
      <c r="I357" s="36"/>
      <c r="J357" s="36">
        <f t="shared" si="61"/>
        <v>0</v>
      </c>
      <c r="K357" s="36">
        <f t="shared" si="64"/>
        <v>0</v>
      </c>
      <c r="L357" s="36">
        <f t="shared" si="65"/>
        <v>1</v>
      </c>
      <c r="M357" s="33"/>
      <c r="N357" s="40">
        <f t="shared" si="63"/>
        <v>0</v>
      </c>
      <c r="O357" s="32">
        <f t="shared" si="66"/>
        <v>0</v>
      </c>
      <c r="P357" s="32">
        <f t="shared" si="67"/>
        <v>1</v>
      </c>
      <c r="Q357" s="33"/>
      <c r="R357" s="33"/>
      <c r="S357" s="33"/>
    </row>
    <row r="358" spans="1:19" ht="14.5" hidden="1" customHeight="1">
      <c r="A358">
        <v>355</v>
      </c>
      <c r="B358" s="37">
        <f t="shared" si="62"/>
        <v>1</v>
      </c>
      <c r="C358" s="38">
        <f t="shared" si="57"/>
        <v>1</v>
      </c>
      <c r="D358" s="33"/>
      <c r="E358" s="33"/>
      <c r="F358" s="39">
        <f t="shared" si="58"/>
        <v>1</v>
      </c>
      <c r="G358" s="36">
        <f t="shared" si="59"/>
        <v>1</v>
      </c>
      <c r="H358" s="36">
        <f t="shared" si="60"/>
        <v>0</v>
      </c>
      <c r="I358" s="36"/>
      <c r="J358" s="36">
        <f t="shared" si="61"/>
        <v>0</v>
      </c>
      <c r="K358" s="36">
        <f t="shared" si="64"/>
        <v>0</v>
      </c>
      <c r="L358" s="36">
        <f t="shared" si="65"/>
        <v>1</v>
      </c>
      <c r="M358" s="33"/>
      <c r="N358" s="40">
        <f t="shared" si="63"/>
        <v>0</v>
      </c>
      <c r="O358" s="32">
        <f t="shared" si="66"/>
        <v>0</v>
      </c>
      <c r="P358" s="32">
        <f t="shared" si="67"/>
        <v>1</v>
      </c>
      <c r="Q358" s="33"/>
      <c r="R358" s="33"/>
      <c r="S358" s="33"/>
    </row>
    <row r="359" spans="1:19">
      <c r="A359">
        <v>356</v>
      </c>
      <c r="B359" s="37">
        <f t="shared" si="62"/>
        <v>1</v>
      </c>
      <c r="C359" s="38">
        <f t="shared" si="57"/>
        <v>1</v>
      </c>
      <c r="D359" s="33"/>
      <c r="E359" s="33"/>
      <c r="F359" s="39">
        <f t="shared" si="58"/>
        <v>1</v>
      </c>
      <c r="G359" s="36">
        <f t="shared" si="59"/>
        <v>1</v>
      </c>
      <c r="H359" s="36">
        <f t="shared" si="60"/>
        <v>0</v>
      </c>
      <c r="I359" s="36"/>
      <c r="J359" s="36">
        <f t="shared" si="61"/>
        <v>0</v>
      </c>
      <c r="K359" s="36">
        <f t="shared" si="64"/>
        <v>0</v>
      </c>
      <c r="L359" s="36">
        <f t="shared" si="65"/>
        <v>1</v>
      </c>
      <c r="M359" s="33"/>
      <c r="N359" s="40">
        <f t="shared" si="63"/>
        <v>0</v>
      </c>
      <c r="O359" s="32">
        <f t="shared" si="66"/>
        <v>0</v>
      </c>
      <c r="P359" s="32">
        <f t="shared" si="67"/>
        <v>1</v>
      </c>
      <c r="Q359" s="33"/>
      <c r="R359" s="33"/>
      <c r="S359" s="33"/>
    </row>
    <row r="360" spans="1:19">
      <c r="A360">
        <v>357</v>
      </c>
      <c r="B360" s="37">
        <f t="shared" si="62"/>
        <v>1</v>
      </c>
      <c r="C360" s="38">
        <f t="shared" si="57"/>
        <v>1</v>
      </c>
      <c r="D360" s="33"/>
      <c r="E360" s="33"/>
      <c r="F360" s="39">
        <f t="shared" si="58"/>
        <v>1</v>
      </c>
      <c r="G360" s="36">
        <f t="shared" si="59"/>
        <v>1</v>
      </c>
      <c r="H360" s="36">
        <f t="shared" si="60"/>
        <v>0</v>
      </c>
      <c r="I360" s="36"/>
      <c r="J360" s="36">
        <f t="shared" si="61"/>
        <v>0</v>
      </c>
      <c r="K360" s="36">
        <f t="shared" si="64"/>
        <v>0</v>
      </c>
      <c r="L360" s="36">
        <f t="shared" si="65"/>
        <v>1</v>
      </c>
      <c r="M360" s="33"/>
      <c r="N360" s="40">
        <f t="shared" si="63"/>
        <v>0</v>
      </c>
      <c r="O360" s="32">
        <f t="shared" si="66"/>
        <v>0</v>
      </c>
      <c r="P360" s="32">
        <f t="shared" si="67"/>
        <v>1</v>
      </c>
      <c r="Q360" s="33"/>
      <c r="R360" s="33"/>
      <c r="S360" s="33"/>
    </row>
    <row r="361" spans="1:19">
      <c r="A361">
        <v>358</v>
      </c>
      <c r="B361" s="37">
        <f t="shared" si="62"/>
        <v>1</v>
      </c>
      <c r="C361" s="38">
        <f t="shared" si="57"/>
        <v>1</v>
      </c>
      <c r="D361" s="33"/>
      <c r="E361" s="33"/>
      <c r="F361" s="39">
        <f t="shared" si="58"/>
        <v>1</v>
      </c>
      <c r="G361" s="36">
        <f t="shared" si="59"/>
        <v>1</v>
      </c>
      <c r="H361" s="36">
        <f t="shared" si="60"/>
        <v>0</v>
      </c>
      <c r="I361" s="36"/>
      <c r="J361" s="36">
        <f t="shared" si="61"/>
        <v>0</v>
      </c>
      <c r="K361" s="36">
        <f t="shared" si="64"/>
        <v>0</v>
      </c>
      <c r="L361" s="36">
        <f t="shared" si="65"/>
        <v>1</v>
      </c>
      <c r="M361" s="33"/>
      <c r="N361" s="40">
        <f t="shared" si="63"/>
        <v>0</v>
      </c>
      <c r="O361" s="32">
        <f t="shared" si="66"/>
        <v>0</v>
      </c>
      <c r="P361" s="32">
        <f t="shared" si="67"/>
        <v>1</v>
      </c>
      <c r="Q361" s="33"/>
      <c r="R361" s="33"/>
      <c r="S361" s="33"/>
    </row>
    <row r="362" spans="1:19">
      <c r="A362">
        <v>359</v>
      </c>
      <c r="B362" s="37">
        <f t="shared" si="62"/>
        <v>1</v>
      </c>
      <c r="C362" s="38">
        <f t="shared" si="57"/>
        <v>1</v>
      </c>
      <c r="D362" s="33"/>
      <c r="E362" s="33"/>
      <c r="F362" s="39">
        <f t="shared" si="58"/>
        <v>1</v>
      </c>
      <c r="G362" s="36">
        <f t="shared" si="59"/>
        <v>1</v>
      </c>
      <c r="H362" s="36">
        <f t="shared" si="60"/>
        <v>0</v>
      </c>
      <c r="I362" s="36"/>
      <c r="J362" s="36">
        <f t="shared" si="61"/>
        <v>0</v>
      </c>
      <c r="K362" s="36">
        <f t="shared" si="64"/>
        <v>0</v>
      </c>
      <c r="L362" s="36">
        <f t="shared" si="65"/>
        <v>1</v>
      </c>
      <c r="M362" s="33"/>
      <c r="N362" s="40">
        <f t="shared" si="63"/>
        <v>0</v>
      </c>
      <c r="O362" s="32">
        <f t="shared" si="66"/>
        <v>0</v>
      </c>
      <c r="P362" s="32">
        <f t="shared" si="67"/>
        <v>1</v>
      </c>
      <c r="Q362" s="33"/>
      <c r="R362" s="33"/>
      <c r="S362" s="33"/>
    </row>
    <row r="363" spans="1:19">
      <c r="A363">
        <v>360</v>
      </c>
      <c r="B363" s="37">
        <f t="shared" si="62"/>
        <v>1</v>
      </c>
      <c r="C363" s="38">
        <f t="shared" si="57"/>
        <v>1</v>
      </c>
      <c r="D363" s="33"/>
      <c r="E363" s="33"/>
      <c r="F363" s="39">
        <f t="shared" si="58"/>
        <v>1</v>
      </c>
      <c r="G363" s="36">
        <f t="shared" si="59"/>
        <v>1</v>
      </c>
      <c r="H363" s="36">
        <f t="shared" si="60"/>
        <v>0</v>
      </c>
      <c r="I363" s="36"/>
      <c r="J363" s="36">
        <f t="shared" si="61"/>
        <v>0</v>
      </c>
      <c r="K363" s="36">
        <f t="shared" si="64"/>
        <v>0</v>
      </c>
      <c r="L363" s="36">
        <f t="shared" si="65"/>
        <v>1</v>
      </c>
      <c r="M363" s="33"/>
      <c r="N363" s="40">
        <f t="shared" si="63"/>
        <v>0</v>
      </c>
      <c r="O363" s="32">
        <f t="shared" si="66"/>
        <v>0</v>
      </c>
      <c r="P363" s="32">
        <f t="shared" si="67"/>
        <v>1</v>
      </c>
      <c r="Q363" s="33"/>
      <c r="R363" s="33"/>
      <c r="S363" s="33"/>
    </row>
    <row r="364" spans="1:19">
      <c r="B364" s="37"/>
      <c r="C364" s="36"/>
      <c r="D364" s="33"/>
      <c r="E364" s="33"/>
      <c r="F364" s="33"/>
      <c r="G364" s="33"/>
      <c r="H364" s="33"/>
      <c r="I364" s="33"/>
      <c r="J364" s="33"/>
      <c r="K364" s="33"/>
      <c r="L364" s="33"/>
      <c r="M364" s="33"/>
      <c r="N364" s="33"/>
      <c r="O364" s="33"/>
      <c r="P364" s="33"/>
      <c r="Q364" s="33"/>
      <c r="R364" s="33"/>
      <c r="S364" s="33"/>
    </row>
  </sheetData>
  <mergeCells count="5">
    <mergeCell ref="B1:D1"/>
    <mergeCell ref="F1:H1"/>
    <mergeCell ref="N1:P1"/>
    <mergeCell ref="J1:L1"/>
    <mergeCell ref="T1:U1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8144C-378F-461C-B736-FC6EB60D1176}">
  <sheetPr codeName="Sheet7"/>
  <dimension ref="A1:H369"/>
  <sheetViews>
    <sheetView topLeftCell="B1" zoomScale="90" zoomScaleNormal="90" workbookViewId="0">
      <selection activeCell="L16" sqref="L16"/>
    </sheetView>
  </sheetViews>
  <sheetFormatPr baseColWidth="10" defaultColWidth="8.83203125" defaultRowHeight="15"/>
  <cols>
    <col min="1" max="1" width="25" customWidth="1"/>
    <col min="2" max="2" width="20.33203125" customWidth="1"/>
    <col min="3" max="3" width="17.1640625" customWidth="1"/>
    <col min="4" max="4" width="27" customWidth="1"/>
    <col min="5" max="5" width="26.1640625" bestFit="1" customWidth="1"/>
    <col min="6" max="6" width="25.5" bestFit="1" customWidth="1"/>
    <col min="7" max="7" width="25.5" customWidth="1"/>
    <col min="8" max="8" width="26.33203125" customWidth="1"/>
  </cols>
  <sheetData>
    <row r="1" spans="1:8">
      <c r="A1" t="s">
        <v>3</v>
      </c>
      <c r="B1">
        <v>5</v>
      </c>
      <c r="C1" t="s">
        <v>2</v>
      </c>
      <c r="D1">
        <v>360</v>
      </c>
    </row>
    <row r="2" spans="1:8" ht="16">
      <c r="A2" s="27" t="s">
        <v>17</v>
      </c>
      <c r="B2" s="27" t="s">
        <v>12</v>
      </c>
      <c r="C2" s="27" t="s">
        <v>13</v>
      </c>
      <c r="D2" s="27" t="s">
        <v>29</v>
      </c>
      <c r="E2" s="27" t="s">
        <v>31</v>
      </c>
      <c r="F2" s="27" t="s">
        <v>30</v>
      </c>
      <c r="G2" s="27" t="s">
        <v>32</v>
      </c>
      <c r="H2" s="27" t="s">
        <v>16</v>
      </c>
    </row>
    <row r="3" spans="1:8">
      <c r="A3">
        <f>'PSA&amp;CPR'!A3</f>
        <v>1</v>
      </c>
      <c r="B3" s="19">
        <f>100000</f>
        <v>100000</v>
      </c>
      <c r="C3" s="19">
        <f>B3*($B$1/1200)</f>
        <v>416.66666666666669</v>
      </c>
      <c r="D3" s="19">
        <f>Monthly_payment($B$1,$D$1,$B$3)*1</f>
        <v>536.82162301213975</v>
      </c>
      <c r="E3" s="19">
        <f>Principle_portion_of_payment($B$1,$D$1,A3,$B$3)*1</f>
        <v>120.15495634547315</v>
      </c>
      <c r="F3" s="19">
        <f>Interest_portion_of_payment($B$1,$D$1,A3,$B$3)*1</f>
        <v>416.66666666666669</v>
      </c>
      <c r="G3" s="19">
        <f>(B3-E3)*'PSA&amp;CPR（function) '!F4</f>
        <v>10353.813338999666</v>
      </c>
      <c r="H3" s="19">
        <f>Remaining_balance($B$1,$D$1,A3,$B$3)*'PSA&amp;CPR（function) '!N4</f>
        <v>89526.031704654873</v>
      </c>
    </row>
    <row r="4" spans="1:8">
      <c r="A4">
        <f>'PSA&amp;CPR'!A4</f>
        <v>2</v>
      </c>
      <c r="B4" s="19">
        <f>H3</f>
        <v>89526.031704654873</v>
      </c>
      <c r="C4" s="19">
        <f>B4*($B$1/1200)</f>
        <v>373.02513210272866</v>
      </c>
      <c r="D4" s="19">
        <f>Monthly_payment($B$1,$D$1,$B$3)*'PSA&amp;CPR（function) '!N4</f>
        <v>481.17324992368293</v>
      </c>
      <c r="E4" s="19">
        <f>Principle_portion_of_payment($B$1,$D$1,A4,$B$3)*'PSA&amp;CPR（function) '!N4</f>
        <v>108.14811782095438</v>
      </c>
      <c r="F4" s="19">
        <f>Interest_portion_of_payment($B$1,$D$1,A4,$B$3)*'PSA&amp;CPR（function) '!N4</f>
        <v>373.02513210272855</v>
      </c>
      <c r="G4" s="19">
        <f>(B4-E4)*'PSA&amp;CPR（function) '!F5</f>
        <v>14523.664830900987</v>
      </c>
      <c r="H4" s="19">
        <f>Remaining_balance($B$1,$D$1,A4,$B$3)*'PSA&amp;CPR（function) '!N5</f>
        <v>74894.218755932918</v>
      </c>
    </row>
    <row r="5" spans="1:8">
      <c r="A5">
        <f>'PSA&amp;CPR'!A5</f>
        <v>3</v>
      </c>
      <c r="B5" s="19">
        <f t="shared" ref="B5:B68" si="0">H4</f>
        <v>74894.218755932918</v>
      </c>
      <c r="C5" s="19">
        <f t="shared" ref="C5:C68" si="1">B5*($B$1/1200)</f>
        <v>312.05924481638715</v>
      </c>
      <c r="D5" s="19">
        <f>Monthly_payment($B$1,$D$1,$B$3)*'PSA&amp;CPR（function) '!N5</f>
        <v>403.01887266535209</v>
      </c>
      <c r="E5" s="19">
        <f>Principle_portion_of_payment($B$1,$D$1,A5,$B$3)*'PSA&amp;CPR（function) '!N5</f>
        <v>90.959627848964985</v>
      </c>
      <c r="F5" s="19">
        <f>Interest_portion_of_payment($B$1,$D$1,A5,$B$3)*'PSA&amp;CPR（function) '!N5</f>
        <v>312.05924481638721</v>
      </c>
      <c r="G5" s="19">
        <f>(B5-E5)*'PSA&amp;CPR（function) '!F6</f>
        <v>16781.824240664333</v>
      </c>
      <c r="H5" s="19">
        <f>Remaining_balance($B$1,$D$1,A5,$B$3)*'PSA&amp;CPR（function) '!N6</f>
        <v>64731.696640862567</v>
      </c>
    </row>
    <row r="6" spans="1:8">
      <c r="A6">
        <f>'PSA&amp;CPR'!A6</f>
        <v>4</v>
      </c>
      <c r="B6" s="19">
        <f t="shared" si="0"/>
        <v>64731.696640862567</v>
      </c>
      <c r="C6" s="19">
        <f t="shared" si="1"/>
        <v>269.71540267026069</v>
      </c>
      <c r="D6" s="19">
        <f>Monthly_payment($B$1,$D$1,$B$3)*'PSA&amp;CPR（function) '!N6</f>
        <v>348.75613322202878</v>
      </c>
      <c r="E6" s="19">
        <f>Principle_portion_of_payment($B$1,$D$1,A6,$B$3)*'PSA&amp;CPR（function) '!N6</f>
        <v>79.040730551768149</v>
      </c>
      <c r="F6" s="19">
        <f>Interest_portion_of_payment($B$1,$D$1,A6,$B$3)*'PSA&amp;CPR（function) '!N6</f>
        <v>269.71540267026069</v>
      </c>
      <c r="G6" s="19">
        <f>(B6-E6)*'PSA&amp;CPR（function) '!F7</f>
        <v>18397.017948150558</v>
      </c>
      <c r="H6" s="19">
        <f>Remaining_balance($B$1,$D$1,A6,$B$3)*'PSA&amp;CPR（function) '!N7</f>
        <v>55225.641167497066</v>
      </c>
    </row>
    <row r="7" spans="1:8">
      <c r="A7">
        <f>'PSA&amp;CPR'!A7</f>
        <v>5</v>
      </c>
      <c r="B7" s="19">
        <f t="shared" si="0"/>
        <v>55225.641167497066</v>
      </c>
      <c r="C7" s="19">
        <f t="shared" si="1"/>
        <v>230.10683819790444</v>
      </c>
      <c r="D7" s="19">
        <f>Monthly_payment($B$1,$D$1,$B$3)*'PSA&amp;CPR（function) '!N7</f>
        <v>297.90394218301458</v>
      </c>
      <c r="E7" s="19">
        <f>Principle_portion_of_payment($B$1,$D$1,A7,$B$3)*'PSA&amp;CPR（function) '!N7</f>
        <v>67.797103985110184</v>
      </c>
      <c r="F7" s="19">
        <f>Interest_portion_of_payment($B$1,$D$1,A7,$B$3)*'PSA&amp;CPR（function) '!N7</f>
        <v>230.10683819790444</v>
      </c>
      <c r="G7" s="19">
        <f>(B7-E7)*'PSA&amp;CPR（function) '!F8</f>
        <v>18815.895278416567</v>
      </c>
      <c r="H7" s="19">
        <f>Remaining_balance($B$1,$D$1,A7,$B$3)*'PSA&amp;CPR（function) '!N8</f>
        <v>46853.308910160697</v>
      </c>
    </row>
    <row r="8" spans="1:8">
      <c r="A8">
        <f>'PSA&amp;CPR'!A8</f>
        <v>6</v>
      </c>
      <c r="B8" s="19">
        <f t="shared" si="0"/>
        <v>46853.308910160697</v>
      </c>
      <c r="C8" s="19">
        <f t="shared" si="1"/>
        <v>195.22212045900289</v>
      </c>
      <c r="D8" s="19">
        <f>Monthly_payment($B$1,$D$1,$B$3)*'PSA&amp;CPR（function) '!N8</f>
        <v>253.05168585965083</v>
      </c>
      <c r="E8" s="19">
        <f>Principle_portion_of_payment($B$1,$D$1,A8,$B$3)*'PSA&amp;CPR（function) '!N8</f>
        <v>57.829565400647972</v>
      </c>
      <c r="F8" s="19">
        <f>Interest_portion_of_payment($B$1,$D$1,A8,$B$3)*'PSA&amp;CPR（function) '!N8</f>
        <v>195.22212045900287</v>
      </c>
      <c r="G8" s="19">
        <f>(B8-E8)*'PSA&amp;CPR（function) '!F9</f>
        <v>18418.44137441897</v>
      </c>
      <c r="H8" s="19">
        <f>Remaining_balance($B$1,$D$1,A8,$B$3)*'PSA&amp;CPR（function) '!N9</f>
        <v>39663.291924567879</v>
      </c>
    </row>
    <row r="9" spans="1:8">
      <c r="A9">
        <f>'PSA&amp;CPR'!A9</f>
        <v>7</v>
      </c>
      <c r="B9" s="19">
        <f t="shared" si="0"/>
        <v>39663.291924567879</v>
      </c>
      <c r="C9" s="19">
        <f t="shared" si="1"/>
        <v>165.26371635236615</v>
      </c>
      <c r="D9" s="19">
        <f>Monthly_payment($B$1,$D$1,$B$3)*'PSA&amp;CPR（function) '!N9</f>
        <v>214.4836003133978</v>
      </c>
      <c r="E9" s="19">
        <f>Principle_portion_of_payment($B$1,$D$1,A9,$B$3)*'PSA&amp;CPR（function) '!N9</f>
        <v>49.219883961031684</v>
      </c>
      <c r="F9" s="19">
        <f>Interest_portion_of_payment($B$1,$D$1,A9,$B$3)*'PSA&amp;CPR（function) '!N9</f>
        <v>165.26371635236615</v>
      </c>
      <c r="G9" s="19">
        <f>(B9-E9)*'PSA&amp;CPR（function) '!F10</f>
        <v>17509.706587612131</v>
      </c>
      <c r="H9" s="19">
        <f>Remaining_balance($B$1,$D$1,A9,$B$3)*'PSA&amp;CPR（function) '!N10</f>
        <v>33548.810218982959</v>
      </c>
    </row>
    <row r="10" spans="1:8">
      <c r="A10">
        <f>'PSA&amp;CPR'!A10</f>
        <v>8</v>
      </c>
      <c r="B10" s="19">
        <f t="shared" si="0"/>
        <v>33548.810218982959</v>
      </c>
      <c r="C10" s="19">
        <f t="shared" si="1"/>
        <v>139.78670924576232</v>
      </c>
      <c r="D10" s="19">
        <f>Monthly_payment($B$1,$D$1,$B$3)*'PSA&amp;CPR（function) '!N10</f>
        <v>181.64428020988035</v>
      </c>
      <c r="E10" s="19">
        <f>Principle_portion_of_payment($B$1,$D$1,A10,$B$3)*'PSA&amp;CPR（function) '!N10</f>
        <v>41.857570964118054</v>
      </c>
      <c r="F10" s="19">
        <f>Interest_portion_of_payment($B$1,$D$1,A10,$B$3)*'PSA&amp;CPR（function) '!N10</f>
        <v>139.78670924576235</v>
      </c>
      <c r="G10" s="19">
        <f>(B10-E10)*'PSA&amp;CPR（function) '!F11</f>
        <v>16304.390379382894</v>
      </c>
      <c r="H10" s="19">
        <f>Remaining_balance($B$1,$D$1,A10,$B$3)*'PSA&amp;CPR（function) '!N11</f>
        <v>28368.082255810805</v>
      </c>
    </row>
    <row r="11" spans="1:8">
      <c r="A11">
        <f>'PSA&amp;CPR'!A11</f>
        <v>9</v>
      </c>
      <c r="B11" s="19">
        <f t="shared" si="0"/>
        <v>28368.082255810805</v>
      </c>
      <c r="C11" s="19">
        <f t="shared" si="1"/>
        <v>118.20034273254502</v>
      </c>
      <c r="D11" s="19">
        <f>Monthly_payment($B$1,$D$1,$B$3)*'PSA&amp;CPR（function) '!N11</f>
        <v>153.78598992338109</v>
      </c>
      <c r="E11" s="19">
        <f>Principle_portion_of_payment($B$1,$D$1,A11,$B$3)*'PSA&amp;CPR（function) '!N11</f>
        <v>35.585647190836085</v>
      </c>
      <c r="F11" s="19">
        <f>Interest_portion_of_payment($B$1,$D$1,A11,$B$3)*'PSA&amp;CPR（function) '!N11</f>
        <v>118.20034273254501</v>
      </c>
      <c r="G11" s="19">
        <f>(B11-E11)*'PSA&amp;CPR（function) '!F12</f>
        <v>14949.310481972698</v>
      </c>
      <c r="H11" s="19">
        <f>Remaining_balance($B$1,$D$1,A11,$B$3)*'PSA&amp;CPR（function) '!N12</f>
        <v>23984.515659644421</v>
      </c>
    </row>
    <row r="12" spans="1:8">
      <c r="A12">
        <f>'PSA&amp;CPR'!A12</f>
        <v>10</v>
      </c>
      <c r="B12" s="19">
        <f t="shared" si="0"/>
        <v>23984.515659644421</v>
      </c>
      <c r="C12" s="19">
        <f t="shared" si="1"/>
        <v>99.935481915185093</v>
      </c>
      <c r="D12" s="19">
        <f>Monthly_payment($B$1,$D$1,$B$3)*'PSA&amp;CPR（function) '!N12</f>
        <v>130.18557928386224</v>
      </c>
      <c r="E12" s="19">
        <f>Principle_portion_of_payment($B$1,$D$1,A12,$B$3)*'PSA&amp;CPR（function) '!N12</f>
        <v>30.250097368677164</v>
      </c>
      <c r="F12" s="19">
        <f>Interest_portion_of_payment($B$1,$D$1,A12,$B$3)*'PSA&amp;CPR（function) '!N12</f>
        <v>99.935481915185093</v>
      </c>
      <c r="G12" s="19">
        <f>(B12-E12)*'PSA&amp;CPR（function) '!F13</f>
        <v>13543.824048098673</v>
      </c>
      <c r="H12" s="19">
        <f>Remaining_balance($B$1,$D$1,A12,$B$3)*'PSA&amp;CPR（function) '!N13</f>
        <v>20277.338074019368</v>
      </c>
    </row>
    <row r="13" spans="1:8">
      <c r="A13">
        <f>'PSA&amp;CPR'!A13</f>
        <v>11</v>
      </c>
      <c r="B13" s="19">
        <f t="shared" si="0"/>
        <v>20277.338074019368</v>
      </c>
      <c r="C13" s="19">
        <f t="shared" si="1"/>
        <v>84.488908641747372</v>
      </c>
      <c r="D13" s="19">
        <f>Monthly_payment($B$1,$D$1,$B$3)*'PSA&amp;CPR（function) '!N13</f>
        <v>110.20237696864433</v>
      </c>
      <c r="E13" s="19">
        <f>Principle_portion_of_payment($B$1,$D$1,A13,$B$3)*'PSA&amp;CPR（function) '!N13</f>
        <v>25.713468326896983</v>
      </c>
      <c r="F13" s="19">
        <f>Interest_portion_of_payment($B$1,$D$1,A13,$B$3)*'PSA&amp;CPR（function) '!N13</f>
        <v>84.488908641747372</v>
      </c>
      <c r="G13" s="19">
        <f>(B13-E13)*'PSA&amp;CPR（function) '!F14</f>
        <v>12154.030777403294</v>
      </c>
      <c r="H13" s="19">
        <f>Remaining_balance($B$1,$D$1,A13,$B$3)*'PSA&amp;CPR（function) '!N14</f>
        <v>17142.782556178965</v>
      </c>
    </row>
    <row r="14" spans="1:8">
      <c r="A14">
        <f>'PSA&amp;CPR'!A14</f>
        <v>12</v>
      </c>
      <c r="B14" s="19">
        <f t="shared" si="0"/>
        <v>17142.782556178965</v>
      </c>
      <c r="C14" s="19">
        <f t="shared" si="1"/>
        <v>71.428260650745685</v>
      </c>
      <c r="D14" s="19">
        <f>Monthly_payment($B$1,$D$1,$B$3)*'PSA&amp;CPR（function) '!N14</f>
        <v>93.28512760484962</v>
      </c>
      <c r="E14" s="19">
        <f>Principle_portion_of_payment($B$1,$D$1,A14,$B$3)*'PSA&amp;CPR（function) '!N14</f>
        <v>21.856866954103953</v>
      </c>
      <c r="F14" s="19">
        <f>Interest_portion_of_payment($B$1,$D$1,A14,$B$3)*'PSA&amp;CPR（function) '!N14</f>
        <v>71.428260650745685</v>
      </c>
      <c r="G14" s="19">
        <f>(B14-E14)*'PSA&amp;CPR（function) '!F15</f>
        <v>10822.492339235912</v>
      </c>
      <c r="H14" s="19">
        <f>Remaining_balance($B$1,$D$1,A14,$B$3)*'PSA&amp;CPR（function) '!N15</f>
        <v>14492.598117617459</v>
      </c>
    </row>
    <row r="15" spans="1:8">
      <c r="A15">
        <f>'PSA&amp;CPR'!A15</f>
        <v>13</v>
      </c>
      <c r="B15" s="19">
        <f t="shared" si="0"/>
        <v>14492.598117617459</v>
      </c>
      <c r="C15" s="19">
        <f t="shared" si="1"/>
        <v>60.385825490072747</v>
      </c>
      <c r="D15" s="19">
        <f>Monthly_payment($B$1,$D$1,$B$3)*'PSA&amp;CPR（function) '!N15</f>
        <v>78.964414031573114</v>
      </c>
      <c r="E15" s="19">
        <f>Principle_portion_of_payment($B$1,$D$1,A15,$B$3)*'PSA&amp;CPR（function) '!N15</f>
        <v>18.578588541500377</v>
      </c>
      <c r="F15" s="19">
        <f>Interest_portion_of_payment($B$1,$D$1,A15,$B$3)*'PSA&amp;CPR（function) '!N15</f>
        <v>60.385825490072747</v>
      </c>
      <c r="G15" s="19">
        <f>(B15-E15)*'PSA&amp;CPR（function) '!F16</f>
        <v>9575.0652789248597</v>
      </c>
      <c r="H15" s="19">
        <f>Remaining_balance($B$1,$D$1,A15,$B$3)*'PSA&amp;CPR（function) '!N16</f>
        <v>12252.007761604749</v>
      </c>
    </row>
    <row r="16" spans="1:8">
      <c r="A16">
        <f>'PSA&amp;CPR'!A16</f>
        <v>14</v>
      </c>
      <c r="B16" s="19">
        <f t="shared" si="0"/>
        <v>12252.007761604749</v>
      </c>
      <c r="C16" s="19">
        <f t="shared" si="1"/>
        <v>51.05003234001979</v>
      </c>
      <c r="D16" s="19">
        <f>Monthly_payment($B$1,$D$1,$B$3)*'PSA&amp;CPR（function) '!N16</f>
        <v>66.842013834644135</v>
      </c>
      <c r="E16" s="19">
        <f>Principle_portion_of_payment($B$1,$D$1,A16,$B$3)*'PSA&amp;CPR（function) '!N16</f>
        <v>15.791981494624364</v>
      </c>
      <c r="F16" s="19">
        <f>Interest_portion_of_payment($B$1,$D$1,A16,$B$3)*'PSA&amp;CPR（function) '!N16</f>
        <v>51.050032340019776</v>
      </c>
      <c r="G16" s="19">
        <f>(B16-E16)*'PSA&amp;CPR（function) '!F17</f>
        <v>8425.8190016676035</v>
      </c>
      <c r="H16" s="19">
        <f>Remaining_balance($B$1,$D$1,A16,$B$3)*'PSA&amp;CPR（function) '!N17</f>
        <v>10357.737625387543</v>
      </c>
    </row>
    <row r="17" spans="1:8">
      <c r="A17">
        <f>'PSA&amp;CPR'!A17</f>
        <v>15</v>
      </c>
      <c r="B17" s="19">
        <f t="shared" si="0"/>
        <v>10357.737625387543</v>
      </c>
      <c r="C17" s="19">
        <f t="shared" si="1"/>
        <v>43.157240105781426</v>
      </c>
      <c r="D17" s="19">
        <f>Monthly_payment($B$1,$D$1,$B$3)*'PSA&amp;CPR（function) '!N17</f>
        <v>56.580568215963368</v>
      </c>
      <c r="E17" s="19">
        <f>Principle_portion_of_payment($B$1,$D$1,A17,$B$3)*'PSA&amp;CPR（function) '!N17</f>
        <v>13.423328110181949</v>
      </c>
      <c r="F17" s="19">
        <f>Interest_portion_of_payment($B$1,$D$1,A17,$B$3)*'PSA&amp;CPR（function) '!N17</f>
        <v>43.157240105781433</v>
      </c>
      <c r="G17" s="19">
        <f>(B17-E17)*'PSA&amp;CPR（function) '!F18</f>
        <v>7380.6187063732041</v>
      </c>
      <c r="H17" s="19">
        <f>Remaining_balance($B$1,$D$1,A17,$B$3)*'PSA&amp;CPR（function) '!N18</f>
        <v>8756.2744354389542</v>
      </c>
    </row>
    <row r="18" spans="1:8">
      <c r="A18">
        <f>'PSA&amp;CPR'!A18</f>
        <v>16</v>
      </c>
      <c r="B18" s="19">
        <f t="shared" si="0"/>
        <v>8756.2744354389542</v>
      </c>
      <c r="C18" s="19">
        <f t="shared" si="1"/>
        <v>36.484476814328978</v>
      </c>
      <c r="D18" s="19">
        <f>Monthly_payment($B$1,$D$1,$B$3)*'PSA&amp;CPR（function) '!N18</f>
        <v>47.894424780040673</v>
      </c>
      <c r="E18" s="19">
        <f>Principle_portion_of_payment($B$1,$D$1,A18,$B$3)*'PSA&amp;CPR（function) '!N18</f>
        <v>11.409947965711707</v>
      </c>
      <c r="F18" s="19">
        <f>Interest_portion_of_payment($B$1,$D$1,A18,$B$3)*'PSA&amp;CPR（function) '!N18</f>
        <v>36.484476814328978</v>
      </c>
      <c r="G18" s="19">
        <f>(B18-E18)*'PSA&amp;CPR（function) '!F19</f>
        <v>6439.7432569438242</v>
      </c>
      <c r="H18" s="19">
        <f>Remaining_balance($B$1,$D$1,A18,$B$3)*'PSA&amp;CPR（function) '!N19</f>
        <v>7402.3684188605557</v>
      </c>
    </row>
    <row r="19" spans="1:8">
      <c r="A19">
        <f>'PSA&amp;CPR'!A19</f>
        <v>17</v>
      </c>
      <c r="B19" s="19">
        <f t="shared" si="0"/>
        <v>7402.3684188605557</v>
      </c>
      <c r="C19" s="19">
        <f t="shared" si="1"/>
        <v>30.843201745252316</v>
      </c>
      <c r="D19" s="19">
        <f>Monthly_payment($B$1,$D$1,$B$3)*'PSA&amp;CPR（function) '!N19</f>
        <v>40.541757729822145</v>
      </c>
      <c r="E19" s="19">
        <f>Principle_portion_of_payment($B$1,$D$1,A19,$B$3)*'PSA&amp;CPR（function) '!N19</f>
        <v>9.6985559845698361</v>
      </c>
      <c r="F19" s="19">
        <f>Interest_portion_of_payment($B$1,$D$1,A19,$B$3)*'PSA&amp;CPR（function) '!N19</f>
        <v>30.843201745252316</v>
      </c>
      <c r="G19" s="19">
        <f>(B19-E19)*'PSA&amp;CPR（function) '!F20</f>
        <v>5599.7916290555968</v>
      </c>
      <c r="H19" s="19">
        <f>Remaining_balance($B$1,$D$1,A19,$B$3)*'PSA&amp;CPR（function) '!N20</f>
        <v>6257.7600764077251</v>
      </c>
    </row>
    <row r="20" spans="1:8">
      <c r="A20">
        <f>'PSA&amp;CPR'!A20</f>
        <v>18</v>
      </c>
      <c r="B20" s="19">
        <f t="shared" si="0"/>
        <v>6257.7600764077251</v>
      </c>
      <c r="C20" s="19">
        <f t="shared" si="1"/>
        <v>26.07400031836552</v>
      </c>
      <c r="D20" s="19">
        <f>Monthly_payment($B$1,$D$1,$B$3)*'PSA&amp;CPR（function) '!N20</f>
        <v>34.317857777349417</v>
      </c>
      <c r="E20" s="19">
        <f>Principle_portion_of_payment($B$1,$D$1,A20,$B$3)*'PSA&amp;CPR（function) '!N20</f>
        <v>8.2438574589839</v>
      </c>
      <c r="F20" s="19">
        <f>Interest_portion_of_payment($B$1,$D$1,A20,$B$3)*'PSA&amp;CPR（function) '!N20</f>
        <v>26.074000318365524</v>
      </c>
      <c r="G20" s="19">
        <f>(B20-E20)*'PSA&amp;CPR（function) '!F21</f>
        <v>4855.0606660334497</v>
      </c>
      <c r="H20" s="19">
        <f>Remaining_balance($B$1,$D$1,A20,$B$3)*'PSA&amp;CPR（function) '!N21</f>
        <v>5290.1013111783795</v>
      </c>
    </row>
    <row r="21" spans="1:8">
      <c r="A21">
        <f>'PSA&amp;CPR'!A21</f>
        <v>19</v>
      </c>
      <c r="B21" s="19">
        <f t="shared" si="0"/>
        <v>5290.1013111783795</v>
      </c>
      <c r="C21" s="19">
        <f t="shared" si="1"/>
        <v>22.042088796576582</v>
      </c>
      <c r="D21" s="19">
        <f>Monthly_payment($B$1,$D$1,$B$3)*'PSA&amp;CPR（function) '!N21</f>
        <v>29.049439678920901</v>
      </c>
      <c r="E21" s="19">
        <f>Principle_portion_of_payment($B$1,$D$1,A21,$B$3)*'PSA&amp;CPR（function) '!N21</f>
        <v>7.0073508823443253</v>
      </c>
      <c r="F21" s="19">
        <f>Interest_portion_of_payment($B$1,$D$1,A21,$B$3)*'PSA&amp;CPR（function) '!N21</f>
        <v>22.042088796576579</v>
      </c>
      <c r="G21" s="19">
        <f>(B21-E21)*'PSA&amp;CPR（function) '!F22</f>
        <v>4198.5294100392839</v>
      </c>
      <c r="H21" s="19">
        <f>Remaining_balance($B$1,$D$1,A21,$B$3)*'PSA&amp;CPR（function) '!N22</f>
        <v>4472.042503378374</v>
      </c>
    </row>
    <row r="22" spans="1:8">
      <c r="A22">
        <f>'PSA&amp;CPR'!A22</f>
        <v>20</v>
      </c>
      <c r="B22" s="19">
        <f t="shared" si="0"/>
        <v>4472.042503378374</v>
      </c>
      <c r="C22" s="19">
        <f t="shared" si="1"/>
        <v>18.633510430743225</v>
      </c>
      <c r="D22" s="19">
        <f>Monthly_payment($B$1,$D$1,$B$3)*'PSA&amp;CPR（function) '!N22</f>
        <v>24.58981988959005</v>
      </c>
      <c r="E22" s="19">
        <f>Principle_portion_of_payment($B$1,$D$1,A22,$B$3)*'PSA&amp;CPR（function) '!N22</f>
        <v>5.9563094588468273</v>
      </c>
      <c r="F22" s="19">
        <f>Interest_portion_of_payment($B$1,$D$1,A22,$B$3)*'PSA&amp;CPR（function) '!N22</f>
        <v>18.633510430743225</v>
      </c>
      <c r="G22" s="19">
        <f>(B22-E22)*'PSA&amp;CPR（function) '!F23</f>
        <v>3622.551469340387</v>
      </c>
      <c r="H22" s="19">
        <f>Remaining_balance($B$1,$D$1,A22,$B$3)*'PSA&amp;CPR（function) '!N23</f>
        <v>3780.4603606638134</v>
      </c>
    </row>
    <row r="23" spans="1:8">
      <c r="A23">
        <f>'PSA&amp;CPR'!A23</f>
        <v>21</v>
      </c>
      <c r="B23" s="19">
        <f t="shared" si="0"/>
        <v>3780.4603606638134</v>
      </c>
      <c r="C23" s="19">
        <f t="shared" si="1"/>
        <v>15.751918169432555</v>
      </c>
      <c r="D23" s="19">
        <f>Monthly_payment($B$1,$D$1,$B$3)*'PSA&amp;CPR（function) '!N23</f>
        <v>20.814833241468076</v>
      </c>
      <c r="E23" s="19">
        <f>Principle_portion_of_payment($B$1,$D$1,A23,$B$3)*'PSA&amp;CPR（function) '!N23</f>
        <v>5.0629150720355227</v>
      </c>
      <c r="F23" s="19">
        <f>Interest_portion_of_payment($B$1,$D$1,A23,$B$3)*'PSA&amp;CPR（function) '!N23</f>
        <v>15.751918169432559</v>
      </c>
      <c r="G23" s="19">
        <f>(B23-E23)*'PSA&amp;CPR（function) '!F24</f>
        <v>3119.3317374831404</v>
      </c>
      <c r="H23" s="19">
        <f>Remaining_balance($B$1,$D$1,A23,$B$3)*'PSA&amp;CPR（function) '!N24</f>
        <v>3195.8049700643055</v>
      </c>
    </row>
    <row r="24" spans="1:8">
      <c r="A24">
        <f>'PSA&amp;CPR'!A24</f>
        <v>22</v>
      </c>
      <c r="B24" s="19">
        <f t="shared" si="0"/>
        <v>3195.8049700643055</v>
      </c>
      <c r="C24" s="19">
        <f t="shared" si="1"/>
        <v>13.315854041934607</v>
      </c>
      <c r="D24" s="19">
        <f>Monthly_payment($B$1,$D$1,$B$3)*'PSA&amp;CPR（function) '!N24</f>
        <v>17.619376100869463</v>
      </c>
      <c r="E24" s="19">
        <f>Principle_portion_of_payment($B$1,$D$1,A24,$B$3)*'PSA&amp;CPR（function) '!N24</f>
        <v>4.3035220589348606</v>
      </c>
      <c r="F24" s="19">
        <f>Interest_portion_of_payment($B$1,$D$1,A24,$B$3)*'PSA&amp;CPR（function) '!N24</f>
        <v>13.315854041934605</v>
      </c>
      <c r="G24" s="19">
        <f>(B24-E24)*'PSA&amp;CPR（function) '!F25</f>
        <v>2681.2449983002493</v>
      </c>
      <c r="H24" s="19">
        <f>Remaining_balance($B$1,$D$1,A24,$B$3)*'PSA&amp;CPR（function) '!N25</f>
        <v>2701.5476885357716</v>
      </c>
    </row>
    <row r="25" spans="1:8">
      <c r="A25">
        <f>'PSA&amp;CPR'!A25</f>
        <v>23</v>
      </c>
      <c r="B25" s="19">
        <f t="shared" si="0"/>
        <v>2701.5476885357716</v>
      </c>
      <c r="C25" s="19">
        <f t="shared" si="1"/>
        <v>11.256448702232381</v>
      </c>
      <c r="D25" s="19">
        <f>Monthly_payment($B$1,$D$1,$B$3)*'PSA&amp;CPR（function) '!N25</f>
        <v>14.914480082249428</v>
      </c>
      <c r="E25" s="19">
        <f>Principle_portion_of_payment($B$1,$D$1,A25,$B$3)*'PSA&amp;CPR（function) '!N25</f>
        <v>3.6580313800170501</v>
      </c>
      <c r="F25" s="19">
        <f>Interest_portion_of_payment($B$1,$D$1,A25,$B$3)*'PSA&amp;CPR（function) '!N25</f>
        <v>11.256448702232381</v>
      </c>
      <c r="G25" s="19">
        <f>(B25-E25)*'PSA&amp;CPR（function) '!F26</f>
        <v>2301.0396172296173</v>
      </c>
      <c r="H25" s="19">
        <f>Remaining_balance($B$1,$D$1,A25,$B$3)*'PSA&amp;CPR（function) '!N26</f>
        <v>2283.714281210438</v>
      </c>
    </row>
    <row r="26" spans="1:8">
      <c r="A26">
        <f>'PSA&amp;CPR'!A26</f>
        <v>24</v>
      </c>
      <c r="B26" s="19">
        <f t="shared" si="0"/>
        <v>2283.714281210438</v>
      </c>
      <c r="C26" s="19">
        <f t="shared" si="1"/>
        <v>9.5154761717101586</v>
      </c>
      <c r="D26" s="19">
        <f>Monthly_payment($B$1,$D$1,$B$3)*'PSA&amp;CPR（function) '!N26</f>
        <v>12.624834774217481</v>
      </c>
      <c r="E26" s="19">
        <f>Principle_portion_of_payment($B$1,$D$1,A26,$B$3)*'PSA&amp;CPR（function) '!N26</f>
        <v>3.1093586025073248</v>
      </c>
      <c r="F26" s="19">
        <f>Interest_portion_of_payment($B$1,$D$1,A26,$B$3)*'PSA&amp;CPR（function) '!N26</f>
        <v>9.5154761717101586</v>
      </c>
      <c r="G26" s="19">
        <f>(B26-E26)*'PSA&amp;CPR（function) '!F27</f>
        <v>1971.9586011761353</v>
      </c>
      <c r="H26" s="19">
        <f>Remaining_balance($B$1,$D$1,A26,$B$3)*'PSA&amp;CPR（function) '!N27</f>
        <v>1930.4904079906621</v>
      </c>
    </row>
    <row r="27" spans="1:8">
      <c r="A27">
        <f>'PSA&amp;CPR'!A27</f>
        <v>25</v>
      </c>
      <c r="B27" s="19">
        <f t="shared" si="0"/>
        <v>1930.4904079906621</v>
      </c>
      <c r="C27" s="19">
        <f t="shared" si="1"/>
        <v>8.0437100332944258</v>
      </c>
      <c r="D27" s="19">
        <f>Monthly_payment($B$1,$D$1,$B$3)*'PSA&amp;CPR（function) '!N27</f>
        <v>10.686692023019775</v>
      </c>
      <c r="E27" s="19">
        <f>Principle_portion_of_payment($B$1,$D$1,A27,$B$3)*'PSA&amp;CPR（function) '!N27</f>
        <v>2.6429819897253517</v>
      </c>
      <c r="F27" s="19">
        <f>Interest_portion_of_payment($B$1,$D$1,A27,$B$3)*'PSA&amp;CPR（function) '!N27</f>
        <v>8.043710033294424</v>
      </c>
      <c r="G27" s="19">
        <f>(B27-E27)*'PSA&amp;CPR（function) '!F28</f>
        <v>1687.8024391940335</v>
      </c>
      <c r="H27" s="19">
        <f>Remaining_balance($B$1,$D$1,A27,$B$3)*'PSA&amp;CPR（function) '!N28</f>
        <v>1631.8881743818642</v>
      </c>
    </row>
    <row r="28" spans="1:8">
      <c r="A28">
        <f>'PSA&amp;CPR'!A28</f>
        <v>26</v>
      </c>
      <c r="B28" s="19">
        <f t="shared" si="0"/>
        <v>1631.8881743818642</v>
      </c>
      <c r="C28" s="19">
        <f t="shared" si="1"/>
        <v>6.7995340599244338</v>
      </c>
      <c r="D28" s="19">
        <f>Monthly_payment($B$1,$D$1,$B$3)*'PSA&amp;CPR（function) '!N28</f>
        <v>9.0460926007007032</v>
      </c>
      <c r="E28" s="19">
        <f>Principle_portion_of_payment($B$1,$D$1,A28,$B$3)*'PSA&amp;CPR（function) '!N28</f>
        <v>2.2465585407762716</v>
      </c>
      <c r="F28" s="19">
        <f>Interest_portion_of_payment($B$1,$D$1,A28,$B$3)*'PSA&amp;CPR（function) '!N28</f>
        <v>6.7995340599244347</v>
      </c>
      <c r="G28" s="19">
        <f>(B28-E28)*'PSA&amp;CPR（function) '!F29</f>
        <v>1442.9519532651861</v>
      </c>
      <c r="H28" s="19">
        <f>Remaining_balance($B$1,$D$1,A28,$B$3)*'PSA&amp;CPR（function) '!N29</f>
        <v>1379.4603528579587</v>
      </c>
    </row>
    <row r="29" spans="1:8">
      <c r="A29">
        <f>'PSA&amp;CPR'!A29</f>
        <v>27</v>
      </c>
      <c r="B29" s="19">
        <f t="shared" si="0"/>
        <v>1379.4603528579587</v>
      </c>
      <c r="C29" s="19">
        <f t="shared" si="1"/>
        <v>5.7477514702414947</v>
      </c>
      <c r="D29" s="19">
        <f>Monthly_payment($B$1,$D$1,$B$3)*'PSA&amp;CPR（function) '!N29</f>
        <v>7.6573437801585982</v>
      </c>
      <c r="E29" s="19">
        <f>Principle_portion_of_payment($B$1,$D$1,A29,$B$3)*'PSA&amp;CPR（function) '!N29</f>
        <v>1.9095923099171048</v>
      </c>
      <c r="F29" s="19">
        <f>Interest_portion_of_payment($B$1,$D$1,A29,$B$3)*'PSA&amp;CPR（function) '!N29</f>
        <v>5.7477514702414947</v>
      </c>
      <c r="G29" s="19">
        <f>(B29-E29)*'PSA&amp;CPR（function) '!F30</f>
        <v>1232.3574715600466</v>
      </c>
      <c r="H29" s="19">
        <f>Remaining_balance($B$1,$D$1,A29,$B$3)*'PSA&amp;CPR（function) '!N30</f>
        <v>1166.0752101991684</v>
      </c>
    </row>
    <row r="30" spans="1:8">
      <c r="A30">
        <f>'PSA&amp;CPR'!A30</f>
        <v>28</v>
      </c>
      <c r="B30" s="19">
        <f t="shared" si="0"/>
        <v>1166.0752101991684</v>
      </c>
      <c r="C30" s="19">
        <f t="shared" si="1"/>
        <v>4.8586467091632013</v>
      </c>
      <c r="D30" s="19">
        <f>Monthly_payment($B$1,$D$1,$B$3)*'PSA&amp;CPR（function) '!N30</f>
        <v>6.4818219507667543</v>
      </c>
      <c r="E30" s="19">
        <f>Principle_portion_of_payment($B$1,$D$1,A30,$B$3)*'PSA&amp;CPR（function) '!N30</f>
        <v>1.6231752416035534</v>
      </c>
      <c r="F30" s="19">
        <f>Interest_portion_of_payment($B$1,$D$1,A30,$B$3)*'PSA&amp;CPR（function) '!N30</f>
        <v>4.8586467091632013</v>
      </c>
      <c r="G30" s="19">
        <f>(B30-E30)*'PSA&amp;CPR（function) '!F31</f>
        <v>1051.532735890205</v>
      </c>
      <c r="H30" s="19">
        <f>Remaining_balance($B$1,$D$1,A30,$B$3)*'PSA&amp;CPR（function) '!N31</f>
        <v>985.68922592036631</v>
      </c>
    </row>
    <row r="31" spans="1:8">
      <c r="A31">
        <f>'PSA&amp;CPR'!A31</f>
        <v>29</v>
      </c>
      <c r="B31" s="19">
        <f t="shared" si="0"/>
        <v>985.68922592036631</v>
      </c>
      <c r="C31" s="19">
        <f t="shared" si="1"/>
        <v>4.1070384413348595</v>
      </c>
      <c r="D31" s="19">
        <f>Monthly_payment($B$1,$D$1,$B$3)*'PSA&amp;CPR（function) '!N31</f>
        <v>5.4867541722641677</v>
      </c>
      <c r="E31" s="19">
        <f>Principle_portion_of_payment($B$1,$D$1,A31,$B$3)*'PSA&amp;CPR（function) '!N31</f>
        <v>1.3797157309293095</v>
      </c>
      <c r="F31" s="19">
        <f>Interest_portion_of_payment($B$1,$D$1,A31,$B$3)*'PSA&amp;CPR（function) '!N31</f>
        <v>4.1070384413348586</v>
      </c>
      <c r="G31" s="19">
        <f>(B31-E31)*'PSA&amp;CPR（function) '!F32</f>
        <v>896.48809765054671</v>
      </c>
      <c r="H31" s="19">
        <f>Remaining_balance($B$1,$D$1,A31,$B$3)*'PSA&amp;CPR（function) '!N32</f>
        <v>833.2234532227892</v>
      </c>
    </row>
    <row r="32" spans="1:8">
      <c r="A32">
        <f>'PSA&amp;CPR'!A32</f>
        <v>30</v>
      </c>
      <c r="B32" s="19">
        <f t="shared" si="0"/>
        <v>833.2234532227892</v>
      </c>
      <c r="C32" s="19">
        <f t="shared" si="1"/>
        <v>3.4717643884282885</v>
      </c>
      <c r="D32" s="19">
        <f>Monthly_payment($B$1,$D$1,$B$3)*'PSA&amp;CPR（function) '!N32</f>
        <v>4.6445678021729604</v>
      </c>
      <c r="E32" s="19">
        <f>Principle_portion_of_payment($B$1,$D$1,A32,$B$3)*'PSA&amp;CPR（function) '!N32</f>
        <v>1.172803413744673</v>
      </c>
      <c r="F32" s="19">
        <f>Interest_portion_of_payment($B$1,$D$1,A32,$B$3)*'PSA&amp;CPR（function) '!N32</f>
        <v>3.4717643884282881</v>
      </c>
      <c r="G32" s="19">
        <f>(B32-E32)*'PSA&amp;CPR（function) '!F33</f>
        <v>763.75758168325899</v>
      </c>
      <c r="H32" s="19">
        <f>Remaining_balance($B$1,$D$1,A32,$B$3)*'PSA&amp;CPR（function) '!N33</f>
        <v>704.25518763739581</v>
      </c>
    </row>
    <row r="33" spans="1:8">
      <c r="A33">
        <f>'PSA&amp;CPR'!A33</f>
        <v>31</v>
      </c>
      <c r="B33" s="19">
        <f t="shared" si="0"/>
        <v>704.25518763739581</v>
      </c>
      <c r="C33" s="19">
        <f t="shared" si="1"/>
        <v>2.9343966151558156</v>
      </c>
      <c r="D33" s="19">
        <f>Monthly_payment($B$1,$D$1,$B$3)*'PSA&amp;CPR（function) '!N33</f>
        <v>3.9312041517720231</v>
      </c>
      <c r="E33" s="19">
        <f>Principle_portion_of_payment($B$1,$D$1,A33,$B$3)*'PSA&amp;CPR（function) '!N33</f>
        <v>0.99680753661620769</v>
      </c>
      <c r="F33" s="19">
        <f>Interest_portion_of_payment($B$1,$D$1,A33,$B$3)*'PSA&amp;CPR（function) '!N33</f>
        <v>2.9343966151558161</v>
      </c>
      <c r="G33" s="19">
        <f>(B33-E33)*'PSA&amp;CPR（function) '!F34</f>
        <v>650.14802038047128</v>
      </c>
      <c r="H33" s="19">
        <f>Remaining_balance($B$1,$D$1,A33,$B$3)*'PSA&amp;CPR（function) '!N34</f>
        <v>595.26521665922326</v>
      </c>
    </row>
    <row r="34" spans="1:8">
      <c r="A34">
        <f>'PSA&amp;CPR'!A34</f>
        <v>32</v>
      </c>
      <c r="B34" s="19">
        <f t="shared" si="0"/>
        <v>595.26521665922326</v>
      </c>
      <c r="C34" s="19">
        <f t="shared" si="1"/>
        <v>2.480271736080097</v>
      </c>
      <c r="D34" s="19">
        <f>Monthly_payment($B$1,$D$1,$B$3)*'PSA&amp;CPR（function) '!N34</f>
        <v>3.3275239333811637</v>
      </c>
      <c r="E34" s="19">
        <f>Principle_portion_of_payment($B$1,$D$1,A34,$B$3)*'PSA&amp;CPR（function) '!N34</f>
        <v>0.84725219730106682</v>
      </c>
      <c r="F34" s="19">
        <f>Interest_portion_of_payment($B$1,$D$1,A34,$B$3)*'PSA&amp;CPR（function) '!N34</f>
        <v>2.480271736080097</v>
      </c>
      <c r="G34" s="19">
        <f>(B34-E34)*'PSA&amp;CPR（function) '!F35</f>
        <v>553.11782518200323</v>
      </c>
      <c r="H34" s="19">
        <f>Remaining_balance($B$1,$D$1,A34,$B$3)*'PSA&amp;CPR（function) '!N35</f>
        <v>503.18148925111439</v>
      </c>
    </row>
    <row r="35" spans="1:8">
      <c r="A35">
        <f>'PSA&amp;CPR'!A35</f>
        <v>33</v>
      </c>
      <c r="B35" s="19">
        <f t="shared" si="0"/>
        <v>503.18148925111439</v>
      </c>
      <c r="C35" s="19">
        <f t="shared" si="1"/>
        <v>2.09658953854631</v>
      </c>
      <c r="D35" s="19">
        <f>Monthly_payment($B$1,$D$1,$B$3)*'PSA&amp;CPR（function) '!N35</f>
        <v>2.8167864170005528</v>
      </c>
      <c r="E35" s="19">
        <f>Principle_portion_of_payment($B$1,$D$1,A35,$B$3)*'PSA&amp;CPR（function) '!N35</f>
        <v>0.72019687845424329</v>
      </c>
      <c r="F35" s="19">
        <f>Interest_portion_of_payment($B$1,$D$1,A35,$B$3)*'PSA&amp;CPR（function) '!N35</f>
        <v>2.09658953854631</v>
      </c>
      <c r="G35" s="19">
        <f>(B35-E35)*'PSA&amp;CPR（function) '!F36</f>
        <v>470.33769028205398</v>
      </c>
      <c r="H35" s="19">
        <f>Remaining_balance($B$1,$D$1,A35,$B$3)*'PSA&amp;CPR（function) '!N36</f>
        <v>425.36319633706552</v>
      </c>
    </row>
    <row r="36" spans="1:8">
      <c r="A36">
        <f>'PSA&amp;CPR'!A36</f>
        <v>34</v>
      </c>
      <c r="B36" s="19">
        <f t="shared" si="0"/>
        <v>425.36319633706552</v>
      </c>
      <c r="C36" s="19">
        <f t="shared" si="1"/>
        <v>1.7723466514044397</v>
      </c>
      <c r="D36" s="19">
        <f>Monthly_payment($B$1,$D$1,$B$3)*'PSA&amp;CPR（function) '!N36</f>
        <v>2.3845762687039955</v>
      </c>
      <c r="E36" s="19">
        <f>Principle_portion_of_payment($B$1,$D$1,A36,$B$3)*'PSA&amp;CPR（function) '!N36</f>
        <v>0.61222961729955627</v>
      </c>
      <c r="F36" s="19">
        <f>Interest_portion_of_payment($B$1,$D$1,A36,$B$3)*'PSA&amp;CPR（function) '!N36</f>
        <v>1.7723466514044395</v>
      </c>
      <c r="G36" s="19">
        <f>(B36-E36)*'PSA&amp;CPR（function) '!F37</f>
        <v>399.69399629642197</v>
      </c>
      <c r="H36" s="19">
        <f>Remaining_balance($B$1,$D$1,A36,$B$3)*'PSA&amp;CPR（function) '!N37</f>
        <v>360.63591102388045</v>
      </c>
    </row>
    <row r="37" spans="1:8">
      <c r="A37">
        <f>'PSA&amp;CPR'!A37</f>
        <v>35</v>
      </c>
      <c r="B37" s="19">
        <f t="shared" si="0"/>
        <v>360.63591102388045</v>
      </c>
      <c r="C37" s="19">
        <f t="shared" si="1"/>
        <v>1.5026496292661686</v>
      </c>
      <c r="D37" s="19">
        <f>Monthly_payment($B$1,$D$1,$B$3)*'PSA&amp;CPR（function) '!N37</f>
        <v>2.0246306717351428</v>
      </c>
      <c r="E37" s="19">
        <f>Principle_portion_of_payment($B$1,$D$1,A37,$B$3)*'PSA&amp;CPR（function) '!N37</f>
        <v>0.52198104246897448</v>
      </c>
      <c r="F37" s="19">
        <f>Interest_portion_of_payment($B$1,$D$1,A37,$B$3)*'PSA&amp;CPR（function) '!N37</f>
        <v>1.5026496292661684</v>
      </c>
      <c r="G37" s="19">
        <f>(B37-E37)*'PSA&amp;CPR（function) '!F38</f>
        <v>340.53735504458575</v>
      </c>
      <c r="H37" s="19">
        <f>Remaining_balance($B$1,$D$1,A37,$B$3)*'PSA&amp;CPR（function) '!N38</f>
        <v>306.2069787579693</v>
      </c>
    </row>
    <row r="38" spans="1:8">
      <c r="A38">
        <f>'PSA&amp;CPR'!A38</f>
        <v>36</v>
      </c>
      <c r="B38" s="19">
        <f t="shared" si="0"/>
        <v>306.2069787579693</v>
      </c>
      <c r="C38" s="19">
        <f t="shared" si="1"/>
        <v>1.2758624114915387</v>
      </c>
      <c r="D38" s="19">
        <f>Monthly_payment($B$1,$D$1,$B$3)*'PSA&amp;CPR（function) '!N38</f>
        <v>1.7215552898071369</v>
      </c>
      <c r="E38" s="19">
        <f>Principle_portion_of_payment($B$1,$D$1,A38,$B$3)*'PSA&amp;CPR（function) '!N38</f>
        <v>0.44569287831559867</v>
      </c>
      <c r="F38" s="19">
        <f>Interest_portion_of_payment($B$1,$D$1,A38,$B$3)*'PSA&amp;CPR（function) '!N38</f>
        <v>1.2758624114915385</v>
      </c>
      <c r="G38" s="19">
        <f>(B38-E38)*'PSA&amp;CPR（function) '!F39</f>
        <v>290.59360504038773</v>
      </c>
      <c r="H38" s="19">
        <f>Remaining_balance($B$1,$D$1,A38,$B$3)*'PSA&amp;CPR（function) '!N39</f>
        <v>257.11356921956724</v>
      </c>
    </row>
    <row r="39" spans="1:8">
      <c r="A39">
        <f>'PSA&amp;CPR'!A39</f>
        <v>37</v>
      </c>
      <c r="B39" s="19">
        <f t="shared" si="0"/>
        <v>257.11356921956724</v>
      </c>
      <c r="C39" s="19">
        <f t="shared" si="1"/>
        <v>1.0713065384148635</v>
      </c>
      <c r="D39" s="19">
        <f>Monthly_payment($B$1,$D$1,$B$3)*'PSA&amp;CPR（function) '!N39</f>
        <v>1.4476496718598926</v>
      </c>
      <c r="E39" s="19">
        <f>Principle_portion_of_payment($B$1,$D$1,A39,$B$3)*'PSA&amp;CPR（function) '!N39</f>
        <v>0.37634313344502934</v>
      </c>
      <c r="F39" s="19">
        <f>Interest_portion_of_payment($B$1,$D$1,A39,$B$3)*'PSA&amp;CPR（function) '!N39</f>
        <v>1.0713065384148635</v>
      </c>
      <c r="G39" s="19">
        <f>(B39-E39)*'PSA&amp;CPR（function) '!F40</f>
        <v>256.73722608612223</v>
      </c>
      <c r="H39" s="19">
        <f>Remaining_balance($B$1,$D$1,A39,$B$3)*'PSA&amp;CPR（function) '!N40</f>
        <v>0</v>
      </c>
    </row>
    <row r="40" spans="1:8">
      <c r="A40">
        <f>'PSA&amp;CPR'!A40</f>
        <v>38</v>
      </c>
      <c r="B40" s="19">
        <f t="shared" si="0"/>
        <v>0</v>
      </c>
      <c r="C40" s="19">
        <f t="shared" si="1"/>
        <v>0</v>
      </c>
      <c r="D40" s="19">
        <f>Monthly_payment($B$1,$D$1,$B$3)*'PSA&amp;CPR（function) '!N40</f>
        <v>0</v>
      </c>
      <c r="E40" s="19">
        <f>Principle_portion_of_payment($B$1,$D$1,A40,$B$3)*'PSA&amp;CPR（function) '!N40</f>
        <v>0</v>
      </c>
      <c r="F40" s="19">
        <f>Interest_portion_of_payment($B$1,$D$1,A40,$B$3)*'PSA&amp;CPR（function) '!N40</f>
        <v>0</v>
      </c>
      <c r="G40" s="19">
        <f>(B40-E40)*'PSA&amp;CPR（function) '!F41</f>
        <v>0</v>
      </c>
      <c r="H40" s="19">
        <f>Remaining_balance($B$1,$D$1,A40,$B$3)*'PSA&amp;CPR（function) '!N41</f>
        <v>0</v>
      </c>
    </row>
    <row r="41" spans="1:8">
      <c r="A41">
        <f>'PSA&amp;CPR'!A41</f>
        <v>39</v>
      </c>
      <c r="B41" s="19">
        <f t="shared" si="0"/>
        <v>0</v>
      </c>
      <c r="C41" s="19">
        <f t="shared" si="1"/>
        <v>0</v>
      </c>
      <c r="D41" s="19">
        <f>Monthly_payment($B$1,$D$1,$B$3)*'PSA&amp;CPR（function) '!N41</f>
        <v>0</v>
      </c>
      <c r="E41" s="19">
        <f>Principle_portion_of_payment($B$1,$D$1,A41,$B$3)*'PSA&amp;CPR（function) '!N41</f>
        <v>0</v>
      </c>
      <c r="F41" s="19">
        <f>Interest_portion_of_payment($B$1,$D$1,A41,$B$3)*'PSA&amp;CPR（function) '!N41</f>
        <v>0</v>
      </c>
      <c r="G41" s="19">
        <f>(B41-E41)*'PSA&amp;CPR（function) '!F42</f>
        <v>0</v>
      </c>
      <c r="H41" s="19">
        <f>Remaining_balance($B$1,$D$1,A41,$B$3)*'PSA&amp;CPR（function) '!N42</f>
        <v>0</v>
      </c>
    </row>
    <row r="42" spans="1:8">
      <c r="A42">
        <f>'PSA&amp;CPR'!A42</f>
        <v>40</v>
      </c>
      <c r="B42" s="19">
        <f t="shared" si="0"/>
        <v>0</v>
      </c>
      <c r="C42" s="19">
        <f t="shared" si="1"/>
        <v>0</v>
      </c>
      <c r="D42" s="19">
        <f>Monthly_payment($B$1,$D$1,$B$3)*'PSA&amp;CPR（function) '!N42</f>
        <v>0</v>
      </c>
      <c r="E42" s="19">
        <f>Principle_portion_of_payment($B$1,$D$1,A42,$B$3)*'PSA&amp;CPR（function) '!N42</f>
        <v>0</v>
      </c>
      <c r="F42" s="19">
        <f>Interest_portion_of_payment($B$1,$D$1,A42,$B$3)*'PSA&amp;CPR（function) '!N42</f>
        <v>0</v>
      </c>
      <c r="G42" s="19">
        <f>(B42-E42)*'PSA&amp;CPR（function) '!F43</f>
        <v>0</v>
      </c>
      <c r="H42" s="19">
        <f>Remaining_balance($B$1,$D$1,A42,$B$3)*'PSA&amp;CPR（function) '!N43</f>
        <v>0</v>
      </c>
    </row>
    <row r="43" spans="1:8">
      <c r="A43">
        <f>'PSA&amp;CPR'!A43</f>
        <v>41</v>
      </c>
      <c r="B43" s="19">
        <f t="shared" si="0"/>
        <v>0</v>
      </c>
      <c r="C43" s="19">
        <f t="shared" si="1"/>
        <v>0</v>
      </c>
      <c r="D43" s="19">
        <f>Monthly_payment($B$1,$D$1,$B$3)*'PSA&amp;CPR（function) '!N43</f>
        <v>0</v>
      </c>
      <c r="E43" s="19">
        <f>Principle_portion_of_payment($B$1,$D$1,A43,$B$3)*'PSA&amp;CPR（function) '!N43</f>
        <v>0</v>
      </c>
      <c r="F43" s="19">
        <f>Interest_portion_of_payment($B$1,$D$1,A43,$B$3)*'PSA&amp;CPR（function) '!N43</f>
        <v>0</v>
      </c>
      <c r="G43" s="19">
        <f>(B43-E43)*'PSA&amp;CPR（function) '!F44</f>
        <v>0</v>
      </c>
      <c r="H43" s="19">
        <f>Remaining_balance($B$1,$D$1,A43,$B$3)*'PSA&amp;CPR（function) '!N44</f>
        <v>0</v>
      </c>
    </row>
    <row r="44" spans="1:8">
      <c r="A44">
        <f>'PSA&amp;CPR'!A44</f>
        <v>42</v>
      </c>
      <c r="B44" s="19">
        <f t="shared" si="0"/>
        <v>0</v>
      </c>
      <c r="C44" s="19">
        <f t="shared" si="1"/>
        <v>0</v>
      </c>
      <c r="D44" s="19">
        <f>Monthly_payment($B$1,$D$1,$B$3)*'PSA&amp;CPR（function) '!N44</f>
        <v>0</v>
      </c>
      <c r="E44" s="19">
        <f>Principle_portion_of_payment($B$1,$D$1,A44,$B$3)*'PSA&amp;CPR（function) '!N44</f>
        <v>0</v>
      </c>
      <c r="F44" s="19">
        <f>Interest_portion_of_payment($B$1,$D$1,A44,$B$3)*'PSA&amp;CPR（function) '!N44</f>
        <v>0</v>
      </c>
      <c r="G44" s="19">
        <f>(B44-E44)*'PSA&amp;CPR（function) '!F45</f>
        <v>0</v>
      </c>
      <c r="H44" s="19">
        <f>Remaining_balance($B$1,$D$1,A44,$B$3)*'PSA&amp;CPR（function) '!N45</f>
        <v>0</v>
      </c>
    </row>
    <row r="45" spans="1:8">
      <c r="A45">
        <f>'PSA&amp;CPR'!A45</f>
        <v>43</v>
      </c>
      <c r="B45" s="19">
        <f t="shared" si="0"/>
        <v>0</v>
      </c>
      <c r="C45" s="19">
        <f t="shared" si="1"/>
        <v>0</v>
      </c>
      <c r="D45" s="19">
        <f>Monthly_payment($B$1,$D$1,$B$3)*'PSA&amp;CPR（function) '!N45</f>
        <v>0</v>
      </c>
      <c r="E45" s="19">
        <f>Principle_portion_of_payment($B$1,$D$1,A45,$B$3)*'PSA&amp;CPR（function) '!N45</f>
        <v>0</v>
      </c>
      <c r="F45" s="19">
        <f>Interest_portion_of_payment($B$1,$D$1,A45,$B$3)*'PSA&amp;CPR（function) '!N45</f>
        <v>0</v>
      </c>
      <c r="G45" s="19">
        <f>(B45-E45)*'PSA&amp;CPR（function) '!F46</f>
        <v>0</v>
      </c>
      <c r="H45" s="19">
        <f>Remaining_balance($B$1,$D$1,A45,$B$3)*'PSA&amp;CPR（function) '!N46</f>
        <v>0</v>
      </c>
    </row>
    <row r="46" spans="1:8">
      <c r="A46">
        <f>'PSA&amp;CPR'!A46</f>
        <v>44</v>
      </c>
      <c r="B46" s="19">
        <f t="shared" si="0"/>
        <v>0</v>
      </c>
      <c r="C46" s="19">
        <f t="shared" si="1"/>
        <v>0</v>
      </c>
      <c r="D46" s="19">
        <f>Monthly_payment($B$1,$D$1,$B$3)*'PSA&amp;CPR（function) '!N46</f>
        <v>0</v>
      </c>
      <c r="E46" s="19">
        <f>Principle_portion_of_payment($B$1,$D$1,A46,$B$3)*'PSA&amp;CPR（function) '!N46</f>
        <v>0</v>
      </c>
      <c r="F46" s="19">
        <f>Interest_portion_of_payment($B$1,$D$1,A46,$B$3)*'PSA&amp;CPR（function) '!N46</f>
        <v>0</v>
      </c>
      <c r="G46" s="19">
        <f>(B46-E46)*'PSA&amp;CPR（function) '!F47</f>
        <v>0</v>
      </c>
      <c r="H46" s="19">
        <f>Remaining_balance($B$1,$D$1,A46,$B$3)*'PSA&amp;CPR（function) '!N47</f>
        <v>0</v>
      </c>
    </row>
    <row r="47" spans="1:8">
      <c r="A47">
        <f>'PSA&amp;CPR'!A47</f>
        <v>45</v>
      </c>
      <c r="B47" s="19">
        <f t="shared" si="0"/>
        <v>0</v>
      </c>
      <c r="C47" s="19">
        <f t="shared" si="1"/>
        <v>0</v>
      </c>
      <c r="D47" s="19">
        <f>Monthly_payment($B$1,$D$1,$B$3)*'PSA&amp;CPR（function) '!N47</f>
        <v>0</v>
      </c>
      <c r="E47" s="19">
        <f>Principle_portion_of_payment($B$1,$D$1,A47,$B$3)*'PSA&amp;CPR（function) '!N47</f>
        <v>0</v>
      </c>
      <c r="F47" s="19">
        <f>Interest_portion_of_payment($B$1,$D$1,A47,$B$3)*'PSA&amp;CPR（function) '!N47</f>
        <v>0</v>
      </c>
      <c r="G47" s="19">
        <f>(B47-E47)*'PSA&amp;CPR（function) '!F48</f>
        <v>0</v>
      </c>
      <c r="H47" s="19">
        <f>Remaining_balance($B$1,$D$1,A47,$B$3)*'PSA&amp;CPR（function) '!N48</f>
        <v>0</v>
      </c>
    </row>
    <row r="48" spans="1:8">
      <c r="A48">
        <f>'PSA&amp;CPR'!A48</f>
        <v>46</v>
      </c>
      <c r="B48" s="19">
        <f t="shared" si="0"/>
        <v>0</v>
      </c>
      <c r="C48" s="19">
        <f t="shared" si="1"/>
        <v>0</v>
      </c>
      <c r="D48" s="19">
        <f>Monthly_payment($B$1,$D$1,$B$3)*'PSA&amp;CPR（function) '!N48</f>
        <v>0</v>
      </c>
      <c r="E48" s="19">
        <f>Principle_portion_of_payment($B$1,$D$1,A48,$B$3)*'PSA&amp;CPR（function) '!N48</f>
        <v>0</v>
      </c>
      <c r="F48" s="19">
        <f>Interest_portion_of_payment($B$1,$D$1,A48,$B$3)*'PSA&amp;CPR（function) '!N48</f>
        <v>0</v>
      </c>
      <c r="G48" s="19">
        <f>(B48-E48)*'PSA&amp;CPR（function) '!F49</f>
        <v>0</v>
      </c>
      <c r="H48" s="19">
        <f>Remaining_balance($B$1,$D$1,A48,$B$3)*'PSA&amp;CPR（function) '!N49</f>
        <v>0</v>
      </c>
    </row>
    <row r="49" spans="1:8">
      <c r="A49">
        <f>'PSA&amp;CPR'!A49</f>
        <v>47</v>
      </c>
      <c r="B49" s="19">
        <f t="shared" si="0"/>
        <v>0</v>
      </c>
      <c r="C49" s="19">
        <f t="shared" si="1"/>
        <v>0</v>
      </c>
      <c r="D49" s="19">
        <f>Monthly_payment($B$1,$D$1,$B$3)*'PSA&amp;CPR（function) '!N49</f>
        <v>0</v>
      </c>
      <c r="E49" s="19">
        <f>Principle_portion_of_payment($B$1,$D$1,A49,$B$3)*'PSA&amp;CPR（function) '!N49</f>
        <v>0</v>
      </c>
      <c r="F49" s="19">
        <f>Interest_portion_of_payment($B$1,$D$1,A49,$B$3)*'PSA&amp;CPR（function) '!N49</f>
        <v>0</v>
      </c>
      <c r="G49" s="19">
        <f>(B49-E49)*'PSA&amp;CPR（function) '!F50</f>
        <v>0</v>
      </c>
      <c r="H49" s="19">
        <f>Remaining_balance($B$1,$D$1,A49,$B$3)*'PSA&amp;CPR（function) '!N50</f>
        <v>0</v>
      </c>
    </row>
    <row r="50" spans="1:8">
      <c r="A50">
        <f>'PSA&amp;CPR'!A50</f>
        <v>48</v>
      </c>
      <c r="B50" s="19">
        <f t="shared" si="0"/>
        <v>0</v>
      </c>
      <c r="C50" s="19">
        <f t="shared" si="1"/>
        <v>0</v>
      </c>
      <c r="D50" s="19">
        <f>Monthly_payment($B$1,$D$1,$B$3)*'PSA&amp;CPR（function) '!N50</f>
        <v>0</v>
      </c>
      <c r="E50" s="19">
        <f>Principle_portion_of_payment($B$1,$D$1,A50,$B$3)*'PSA&amp;CPR（function) '!N50</f>
        <v>0</v>
      </c>
      <c r="F50" s="19">
        <f>Interest_portion_of_payment($B$1,$D$1,A50,$B$3)*'PSA&amp;CPR（function) '!N50</f>
        <v>0</v>
      </c>
      <c r="G50" s="19">
        <f>(B50-E50)*'PSA&amp;CPR（function) '!F51</f>
        <v>0</v>
      </c>
      <c r="H50" s="19">
        <f>Remaining_balance($B$1,$D$1,A50,$B$3)*'PSA&amp;CPR（function) '!N51</f>
        <v>0</v>
      </c>
    </row>
    <row r="51" spans="1:8">
      <c r="A51">
        <f>'PSA&amp;CPR'!A51</f>
        <v>49</v>
      </c>
      <c r="B51" s="19">
        <f t="shared" si="0"/>
        <v>0</v>
      </c>
      <c r="C51" s="19">
        <f t="shared" si="1"/>
        <v>0</v>
      </c>
      <c r="D51" s="19">
        <f>Monthly_payment($B$1,$D$1,$B$3)*'PSA&amp;CPR（function) '!N51</f>
        <v>0</v>
      </c>
      <c r="E51" s="19">
        <f>Principle_portion_of_payment($B$1,$D$1,A51,$B$3)*'PSA&amp;CPR（function) '!N51</f>
        <v>0</v>
      </c>
      <c r="F51" s="19">
        <f>Interest_portion_of_payment($B$1,$D$1,A51,$B$3)*'PSA&amp;CPR（function) '!N51</f>
        <v>0</v>
      </c>
      <c r="G51" s="19">
        <f>(B51-E51)*'PSA&amp;CPR（function) '!F52</f>
        <v>0</v>
      </c>
      <c r="H51" s="19">
        <f>Remaining_balance($B$1,$D$1,A51,$B$3)*'PSA&amp;CPR（function) '!N52</f>
        <v>0</v>
      </c>
    </row>
    <row r="52" spans="1:8">
      <c r="A52">
        <f>'PSA&amp;CPR'!A52</f>
        <v>50</v>
      </c>
      <c r="B52" s="19">
        <f t="shared" si="0"/>
        <v>0</v>
      </c>
      <c r="C52" s="19">
        <f t="shared" si="1"/>
        <v>0</v>
      </c>
      <c r="D52" s="19">
        <f>Monthly_payment($B$1,$D$1,$B$3)*'PSA&amp;CPR（function) '!N52</f>
        <v>0</v>
      </c>
      <c r="E52" s="19">
        <f>Principle_portion_of_payment($B$1,$D$1,A52,$B$3)*'PSA&amp;CPR（function) '!N52</f>
        <v>0</v>
      </c>
      <c r="F52" s="19">
        <f>Interest_portion_of_payment($B$1,$D$1,A52,$B$3)*'PSA&amp;CPR（function) '!N52</f>
        <v>0</v>
      </c>
      <c r="G52" s="19">
        <f>(B52-E52)*'PSA&amp;CPR（function) '!F53</f>
        <v>0</v>
      </c>
      <c r="H52" s="19">
        <f>Remaining_balance($B$1,$D$1,A52,$B$3)*'PSA&amp;CPR（function) '!N53</f>
        <v>0</v>
      </c>
    </row>
    <row r="53" spans="1:8">
      <c r="A53">
        <f>'PSA&amp;CPR'!A53</f>
        <v>51</v>
      </c>
      <c r="B53" s="19">
        <f t="shared" si="0"/>
        <v>0</v>
      </c>
      <c r="C53" s="19">
        <f t="shared" si="1"/>
        <v>0</v>
      </c>
      <c r="D53" s="19">
        <f>Monthly_payment($B$1,$D$1,$B$3)*'PSA&amp;CPR（function) '!N53</f>
        <v>0</v>
      </c>
      <c r="E53" s="19">
        <f>Principle_portion_of_payment($B$1,$D$1,A53,$B$3)*'PSA&amp;CPR（function) '!N53</f>
        <v>0</v>
      </c>
      <c r="F53" s="19">
        <f>Interest_portion_of_payment($B$1,$D$1,A53,$B$3)*'PSA&amp;CPR（function) '!N53</f>
        <v>0</v>
      </c>
      <c r="G53" s="19">
        <f>(B53-E53)*'PSA&amp;CPR（function) '!F54</f>
        <v>0</v>
      </c>
      <c r="H53" s="19">
        <f>Remaining_balance($B$1,$D$1,A53,$B$3)*'PSA&amp;CPR（function) '!N54</f>
        <v>0</v>
      </c>
    </row>
    <row r="54" spans="1:8">
      <c r="A54">
        <f>'PSA&amp;CPR'!A54</f>
        <v>52</v>
      </c>
      <c r="B54" s="19">
        <f t="shared" si="0"/>
        <v>0</v>
      </c>
      <c r="C54" s="19">
        <f t="shared" si="1"/>
        <v>0</v>
      </c>
      <c r="D54" s="19">
        <f>Monthly_payment($B$1,$D$1,$B$3)*'PSA&amp;CPR（function) '!N54</f>
        <v>0</v>
      </c>
      <c r="E54" s="19">
        <f>Principle_portion_of_payment($B$1,$D$1,A54,$B$3)*'PSA&amp;CPR（function) '!N54</f>
        <v>0</v>
      </c>
      <c r="F54" s="19">
        <f>Interest_portion_of_payment($B$1,$D$1,A54,$B$3)*'PSA&amp;CPR（function) '!N54</f>
        <v>0</v>
      </c>
      <c r="G54" s="19">
        <f>(B54-E54)*'PSA&amp;CPR（function) '!F55</f>
        <v>0</v>
      </c>
      <c r="H54" s="19">
        <f>Remaining_balance($B$1,$D$1,A54,$B$3)*'PSA&amp;CPR（function) '!N55</f>
        <v>0</v>
      </c>
    </row>
    <row r="55" spans="1:8">
      <c r="A55">
        <f>'PSA&amp;CPR'!A55</f>
        <v>53</v>
      </c>
      <c r="B55" s="19">
        <f t="shared" si="0"/>
        <v>0</v>
      </c>
      <c r="C55" s="19">
        <f t="shared" si="1"/>
        <v>0</v>
      </c>
      <c r="D55" s="19">
        <f>Monthly_payment($B$1,$D$1,$B$3)*'PSA&amp;CPR（function) '!N55</f>
        <v>0</v>
      </c>
      <c r="E55" s="19">
        <f>Principle_portion_of_payment($B$1,$D$1,A55,$B$3)*'PSA&amp;CPR（function) '!N55</f>
        <v>0</v>
      </c>
      <c r="F55" s="19">
        <f>Interest_portion_of_payment($B$1,$D$1,A55,$B$3)*'PSA&amp;CPR（function) '!N55</f>
        <v>0</v>
      </c>
      <c r="G55" s="19">
        <f>(B55-E55)*'PSA&amp;CPR（function) '!F56</f>
        <v>0</v>
      </c>
      <c r="H55" s="19">
        <f>Remaining_balance($B$1,$D$1,A55,$B$3)*'PSA&amp;CPR（function) '!N56</f>
        <v>0</v>
      </c>
    </row>
    <row r="56" spans="1:8">
      <c r="A56">
        <f>'PSA&amp;CPR'!A56</f>
        <v>54</v>
      </c>
      <c r="B56" s="19">
        <f t="shared" si="0"/>
        <v>0</v>
      </c>
      <c r="C56" s="19">
        <f t="shared" si="1"/>
        <v>0</v>
      </c>
      <c r="D56" s="19">
        <f>Monthly_payment($B$1,$D$1,$B$3)*'PSA&amp;CPR（function) '!N56</f>
        <v>0</v>
      </c>
      <c r="E56" s="19">
        <f>Principle_portion_of_payment($B$1,$D$1,A56,$B$3)*'PSA&amp;CPR（function) '!N56</f>
        <v>0</v>
      </c>
      <c r="F56" s="19">
        <f>Interest_portion_of_payment($B$1,$D$1,A56,$B$3)*'PSA&amp;CPR（function) '!N56</f>
        <v>0</v>
      </c>
      <c r="G56" s="19">
        <f>(B56-E56)*'PSA&amp;CPR（function) '!F57</f>
        <v>0</v>
      </c>
      <c r="H56" s="19">
        <f>Remaining_balance($B$1,$D$1,A56,$B$3)*'PSA&amp;CPR（function) '!N57</f>
        <v>0</v>
      </c>
    </row>
    <row r="57" spans="1:8">
      <c r="A57">
        <f>'PSA&amp;CPR'!A57</f>
        <v>55</v>
      </c>
      <c r="B57" s="19">
        <f t="shared" si="0"/>
        <v>0</v>
      </c>
      <c r="C57" s="19">
        <f t="shared" si="1"/>
        <v>0</v>
      </c>
      <c r="D57" s="19">
        <f>Monthly_payment($B$1,$D$1,$B$3)*'PSA&amp;CPR（function) '!N57</f>
        <v>0</v>
      </c>
      <c r="E57" s="19">
        <f>Principle_portion_of_payment($B$1,$D$1,A57,$B$3)*'PSA&amp;CPR（function) '!N57</f>
        <v>0</v>
      </c>
      <c r="F57" s="19">
        <f>Interest_portion_of_payment($B$1,$D$1,A57,$B$3)*'PSA&amp;CPR（function) '!N57</f>
        <v>0</v>
      </c>
      <c r="G57" s="19">
        <f>(B57-E57)*'PSA&amp;CPR（function) '!F58</f>
        <v>0</v>
      </c>
      <c r="H57" s="19">
        <f>Remaining_balance($B$1,$D$1,A57,$B$3)*'PSA&amp;CPR（function) '!N58</f>
        <v>0</v>
      </c>
    </row>
    <row r="58" spans="1:8">
      <c r="A58">
        <f>'PSA&amp;CPR'!A58</f>
        <v>56</v>
      </c>
      <c r="B58" s="19">
        <f t="shared" si="0"/>
        <v>0</v>
      </c>
      <c r="C58" s="19">
        <f t="shared" si="1"/>
        <v>0</v>
      </c>
      <c r="D58" s="19">
        <f>Monthly_payment($B$1,$D$1,$B$3)*'PSA&amp;CPR（function) '!N58</f>
        <v>0</v>
      </c>
      <c r="E58" s="19">
        <f>Principle_portion_of_payment($B$1,$D$1,A58,$B$3)*'PSA&amp;CPR（function) '!N58</f>
        <v>0</v>
      </c>
      <c r="F58" s="19">
        <f>Interest_portion_of_payment($B$1,$D$1,A58,$B$3)*'PSA&amp;CPR（function) '!N58</f>
        <v>0</v>
      </c>
      <c r="G58" s="19">
        <f>(B58-E58)*'PSA&amp;CPR（function) '!F59</f>
        <v>0</v>
      </c>
      <c r="H58" s="19">
        <f>Remaining_balance($B$1,$D$1,A58,$B$3)*'PSA&amp;CPR（function) '!N59</f>
        <v>0</v>
      </c>
    </row>
    <row r="59" spans="1:8">
      <c r="A59">
        <f>'PSA&amp;CPR'!A59</f>
        <v>57</v>
      </c>
      <c r="B59" s="19">
        <f t="shared" si="0"/>
        <v>0</v>
      </c>
      <c r="C59" s="19">
        <f t="shared" si="1"/>
        <v>0</v>
      </c>
      <c r="D59" s="19">
        <f>Monthly_payment($B$1,$D$1,$B$3)*'PSA&amp;CPR（function) '!N59</f>
        <v>0</v>
      </c>
      <c r="E59" s="19">
        <f>Principle_portion_of_payment($B$1,$D$1,A59,$B$3)*'PSA&amp;CPR（function) '!N59</f>
        <v>0</v>
      </c>
      <c r="F59" s="19">
        <f>Interest_portion_of_payment($B$1,$D$1,A59,$B$3)*'PSA&amp;CPR（function) '!N59</f>
        <v>0</v>
      </c>
      <c r="G59" s="19">
        <f>(B59-E59)*'PSA&amp;CPR（function) '!F60</f>
        <v>0</v>
      </c>
      <c r="H59" s="19">
        <f>Remaining_balance($B$1,$D$1,A59,$B$3)*'PSA&amp;CPR（function) '!N60</f>
        <v>0</v>
      </c>
    </row>
    <row r="60" spans="1:8">
      <c r="A60">
        <f>'PSA&amp;CPR'!A60</f>
        <v>58</v>
      </c>
      <c r="B60" s="19">
        <f t="shared" si="0"/>
        <v>0</v>
      </c>
      <c r="C60" s="19">
        <f t="shared" si="1"/>
        <v>0</v>
      </c>
      <c r="D60" s="19">
        <f>Monthly_payment($B$1,$D$1,$B$3)*'PSA&amp;CPR（function) '!N60</f>
        <v>0</v>
      </c>
      <c r="E60" s="19">
        <f>Principle_portion_of_payment($B$1,$D$1,A60,$B$3)*'PSA&amp;CPR（function) '!N60</f>
        <v>0</v>
      </c>
      <c r="F60" s="19">
        <f>Interest_portion_of_payment($B$1,$D$1,A60,$B$3)*'PSA&amp;CPR（function) '!N60</f>
        <v>0</v>
      </c>
      <c r="G60" s="19">
        <f>(B60-E60)*'PSA&amp;CPR（function) '!F61</f>
        <v>0</v>
      </c>
      <c r="H60" s="19">
        <f>Remaining_balance($B$1,$D$1,A60,$B$3)*'PSA&amp;CPR（function) '!N61</f>
        <v>0</v>
      </c>
    </row>
    <row r="61" spans="1:8">
      <c r="A61">
        <f>'PSA&amp;CPR'!A61</f>
        <v>59</v>
      </c>
      <c r="B61" s="19">
        <f t="shared" si="0"/>
        <v>0</v>
      </c>
      <c r="C61" s="19">
        <f t="shared" si="1"/>
        <v>0</v>
      </c>
      <c r="D61" s="19">
        <f>Monthly_payment($B$1,$D$1,$B$3)*'PSA&amp;CPR（function) '!N61</f>
        <v>0</v>
      </c>
      <c r="E61" s="19">
        <f>Principle_portion_of_payment($B$1,$D$1,A61,$B$3)*'PSA&amp;CPR（function) '!N61</f>
        <v>0</v>
      </c>
      <c r="F61" s="19">
        <f>Interest_portion_of_payment($B$1,$D$1,A61,$B$3)*'PSA&amp;CPR（function) '!N61</f>
        <v>0</v>
      </c>
      <c r="G61" s="19">
        <f>(B61-E61)*'PSA&amp;CPR（function) '!F62</f>
        <v>0</v>
      </c>
      <c r="H61" s="19">
        <f>Remaining_balance($B$1,$D$1,A61,$B$3)*'PSA&amp;CPR（function) '!N62</f>
        <v>0</v>
      </c>
    </row>
    <row r="62" spans="1:8">
      <c r="A62">
        <f>'PSA&amp;CPR'!A62</f>
        <v>60</v>
      </c>
      <c r="B62" s="19">
        <f t="shared" si="0"/>
        <v>0</v>
      </c>
      <c r="C62" s="19">
        <f t="shared" si="1"/>
        <v>0</v>
      </c>
      <c r="D62" s="19">
        <f>Monthly_payment($B$1,$D$1,$B$3)*'PSA&amp;CPR（function) '!N62</f>
        <v>0</v>
      </c>
      <c r="E62" s="19">
        <f>Principle_portion_of_payment($B$1,$D$1,A62,$B$3)*'PSA&amp;CPR（function) '!N62</f>
        <v>0</v>
      </c>
      <c r="F62" s="19">
        <f>Interest_portion_of_payment($B$1,$D$1,A62,$B$3)*'PSA&amp;CPR（function) '!N62</f>
        <v>0</v>
      </c>
      <c r="G62" s="19">
        <f>(B62-E62)*'PSA&amp;CPR（function) '!F63</f>
        <v>0</v>
      </c>
      <c r="H62" s="19">
        <f>Remaining_balance($B$1,$D$1,A62,$B$3)*'PSA&amp;CPR（function) '!N63</f>
        <v>0</v>
      </c>
    </row>
    <row r="63" spans="1:8">
      <c r="A63">
        <f>'PSA&amp;CPR'!A63</f>
        <v>61</v>
      </c>
      <c r="B63" s="19">
        <f t="shared" si="0"/>
        <v>0</v>
      </c>
      <c r="C63" s="19">
        <f t="shared" si="1"/>
        <v>0</v>
      </c>
      <c r="D63" s="19">
        <f>Monthly_payment($B$1,$D$1,$B$3)*'PSA&amp;CPR（function) '!N63</f>
        <v>0</v>
      </c>
      <c r="E63" s="19">
        <f>Principle_portion_of_payment($B$1,$D$1,A63,$B$3)*'PSA&amp;CPR（function) '!N63</f>
        <v>0</v>
      </c>
      <c r="F63" s="19">
        <f>Interest_portion_of_payment($B$1,$D$1,A63,$B$3)*'PSA&amp;CPR（function) '!N63</f>
        <v>0</v>
      </c>
      <c r="G63" s="19">
        <f>(B63-E63)*'PSA&amp;CPR（function) '!F64</f>
        <v>0</v>
      </c>
      <c r="H63" s="19">
        <f>Remaining_balance($B$1,$D$1,A63,$B$3)*'PSA&amp;CPR（function) '!N64</f>
        <v>0</v>
      </c>
    </row>
    <row r="64" spans="1:8">
      <c r="A64">
        <f>'PSA&amp;CPR'!A64</f>
        <v>62</v>
      </c>
      <c r="B64" s="19">
        <f t="shared" si="0"/>
        <v>0</v>
      </c>
      <c r="C64" s="19">
        <f t="shared" si="1"/>
        <v>0</v>
      </c>
      <c r="D64" s="19">
        <f>Monthly_payment($B$1,$D$1,$B$3)*'PSA&amp;CPR（function) '!N64</f>
        <v>0</v>
      </c>
      <c r="E64" s="19">
        <f>Principle_portion_of_payment($B$1,$D$1,A64,$B$3)*'PSA&amp;CPR（function) '!N64</f>
        <v>0</v>
      </c>
      <c r="F64" s="19">
        <f>Interest_portion_of_payment($B$1,$D$1,A64,$B$3)*'PSA&amp;CPR（function) '!N64</f>
        <v>0</v>
      </c>
      <c r="G64" s="19">
        <f>(B64-E64)*'PSA&amp;CPR（function) '!F65</f>
        <v>0</v>
      </c>
      <c r="H64" s="19">
        <f>Remaining_balance($B$1,$D$1,A64,$B$3)*'PSA&amp;CPR（function) '!N65</f>
        <v>0</v>
      </c>
    </row>
    <row r="65" spans="1:8">
      <c r="A65">
        <f>'PSA&amp;CPR'!A65</f>
        <v>63</v>
      </c>
      <c r="B65" s="19">
        <f t="shared" si="0"/>
        <v>0</v>
      </c>
      <c r="C65" s="19">
        <f t="shared" si="1"/>
        <v>0</v>
      </c>
      <c r="D65" s="19">
        <f>Monthly_payment($B$1,$D$1,$B$3)*'PSA&amp;CPR（function) '!N65</f>
        <v>0</v>
      </c>
      <c r="E65" s="19">
        <f>Principle_portion_of_payment($B$1,$D$1,A65,$B$3)*'PSA&amp;CPR（function) '!N65</f>
        <v>0</v>
      </c>
      <c r="F65" s="19">
        <f>Interest_portion_of_payment($B$1,$D$1,A65,$B$3)*'PSA&amp;CPR（function) '!N65</f>
        <v>0</v>
      </c>
      <c r="G65" s="19">
        <f>(B65-E65)*'PSA&amp;CPR（function) '!F66</f>
        <v>0</v>
      </c>
      <c r="H65" s="19">
        <f>Remaining_balance($B$1,$D$1,A65,$B$3)*'PSA&amp;CPR（function) '!N66</f>
        <v>0</v>
      </c>
    </row>
    <row r="66" spans="1:8">
      <c r="A66">
        <f>'PSA&amp;CPR'!A66</f>
        <v>64</v>
      </c>
      <c r="B66" s="19">
        <f t="shared" si="0"/>
        <v>0</v>
      </c>
      <c r="C66" s="19">
        <f t="shared" si="1"/>
        <v>0</v>
      </c>
      <c r="D66" s="19">
        <f>Monthly_payment($B$1,$D$1,$B$3)*'PSA&amp;CPR（function) '!N66</f>
        <v>0</v>
      </c>
      <c r="E66" s="19">
        <f>Principle_portion_of_payment($B$1,$D$1,A66,$B$3)*'PSA&amp;CPR（function) '!N66</f>
        <v>0</v>
      </c>
      <c r="F66" s="19">
        <f>Interest_portion_of_payment($B$1,$D$1,A66,$B$3)*'PSA&amp;CPR（function) '!N66</f>
        <v>0</v>
      </c>
      <c r="G66" s="19">
        <f>(B66-E66)*'PSA&amp;CPR（function) '!F67</f>
        <v>0</v>
      </c>
      <c r="H66" s="19">
        <f>Remaining_balance($B$1,$D$1,A66,$B$3)*'PSA&amp;CPR（function) '!N67</f>
        <v>0</v>
      </c>
    </row>
    <row r="67" spans="1:8">
      <c r="A67">
        <f>'PSA&amp;CPR'!A67</f>
        <v>65</v>
      </c>
      <c r="B67" s="19">
        <f t="shared" si="0"/>
        <v>0</v>
      </c>
      <c r="C67" s="19">
        <f t="shared" si="1"/>
        <v>0</v>
      </c>
      <c r="D67" s="19">
        <f>Monthly_payment($B$1,$D$1,$B$3)*'PSA&amp;CPR（function) '!N67</f>
        <v>0</v>
      </c>
      <c r="E67" s="19">
        <f>Principle_portion_of_payment($B$1,$D$1,A67,$B$3)*'PSA&amp;CPR（function) '!N67</f>
        <v>0</v>
      </c>
      <c r="F67" s="19">
        <f>Interest_portion_of_payment($B$1,$D$1,A67,$B$3)*'PSA&amp;CPR（function) '!N67</f>
        <v>0</v>
      </c>
      <c r="G67" s="19">
        <f>(B67-E67)*'PSA&amp;CPR（function) '!F68</f>
        <v>0</v>
      </c>
      <c r="H67" s="19">
        <f>Remaining_balance($B$1,$D$1,A67,$B$3)*'PSA&amp;CPR（function) '!N68</f>
        <v>0</v>
      </c>
    </row>
    <row r="68" spans="1:8">
      <c r="A68">
        <f>'PSA&amp;CPR'!A68</f>
        <v>66</v>
      </c>
      <c r="B68" s="19">
        <f t="shared" si="0"/>
        <v>0</v>
      </c>
      <c r="C68" s="19">
        <f t="shared" si="1"/>
        <v>0</v>
      </c>
      <c r="D68" s="19">
        <f>Monthly_payment($B$1,$D$1,$B$3)*'PSA&amp;CPR（function) '!N68</f>
        <v>0</v>
      </c>
      <c r="E68" s="19">
        <f>Principle_portion_of_payment($B$1,$D$1,A68,$B$3)*'PSA&amp;CPR（function) '!N68</f>
        <v>0</v>
      </c>
      <c r="F68" s="19">
        <f>Interest_portion_of_payment($B$1,$D$1,A68,$B$3)*'PSA&amp;CPR（function) '!N68</f>
        <v>0</v>
      </c>
      <c r="G68" s="19">
        <f>(B68-E68)*'PSA&amp;CPR（function) '!F69</f>
        <v>0</v>
      </c>
      <c r="H68" s="19">
        <f>Remaining_balance($B$1,$D$1,A68,$B$3)*'PSA&amp;CPR（function) '!N69</f>
        <v>0</v>
      </c>
    </row>
    <row r="69" spans="1:8">
      <c r="A69">
        <f>'PSA&amp;CPR'!A69</f>
        <v>67</v>
      </c>
      <c r="B69" s="19">
        <f t="shared" ref="B69:B132" si="2">H68</f>
        <v>0</v>
      </c>
      <c r="C69" s="19">
        <f t="shared" ref="C69:C132" si="3">B69*($B$1/1200)</f>
        <v>0</v>
      </c>
      <c r="D69" s="19">
        <f>Monthly_payment($B$1,$D$1,$B$3)*'PSA&amp;CPR（function) '!N69</f>
        <v>0</v>
      </c>
      <c r="E69" s="19">
        <f>Principle_portion_of_payment($B$1,$D$1,A69,$B$3)*'PSA&amp;CPR（function) '!N69</f>
        <v>0</v>
      </c>
      <c r="F69" s="19">
        <f>Interest_portion_of_payment($B$1,$D$1,A69,$B$3)*'PSA&amp;CPR（function) '!N69</f>
        <v>0</v>
      </c>
      <c r="G69" s="19">
        <f>(B69-E69)*'PSA&amp;CPR（function) '!F70</f>
        <v>0</v>
      </c>
      <c r="H69" s="19">
        <f>Remaining_balance($B$1,$D$1,A69,$B$3)*'PSA&amp;CPR（function) '!N70</f>
        <v>0</v>
      </c>
    </row>
    <row r="70" spans="1:8">
      <c r="A70">
        <f>'PSA&amp;CPR'!A70</f>
        <v>68</v>
      </c>
      <c r="B70" s="19">
        <f t="shared" si="2"/>
        <v>0</v>
      </c>
      <c r="C70" s="19">
        <f t="shared" si="3"/>
        <v>0</v>
      </c>
      <c r="D70" s="19">
        <f>Monthly_payment($B$1,$D$1,$B$3)*'PSA&amp;CPR（function) '!N70</f>
        <v>0</v>
      </c>
      <c r="E70" s="19">
        <f>Principle_portion_of_payment($B$1,$D$1,A70,$B$3)*'PSA&amp;CPR（function) '!N70</f>
        <v>0</v>
      </c>
      <c r="F70" s="19">
        <f>Interest_portion_of_payment($B$1,$D$1,A70,$B$3)*'PSA&amp;CPR（function) '!N70</f>
        <v>0</v>
      </c>
      <c r="G70" s="19">
        <f>(B70-E70)*'PSA&amp;CPR（function) '!F71</f>
        <v>0</v>
      </c>
      <c r="H70" s="19">
        <f>Remaining_balance($B$1,$D$1,A70,$B$3)*'PSA&amp;CPR（function) '!N71</f>
        <v>0</v>
      </c>
    </row>
    <row r="71" spans="1:8">
      <c r="A71">
        <f>'PSA&amp;CPR'!A71</f>
        <v>69</v>
      </c>
      <c r="B71" s="19">
        <f t="shared" si="2"/>
        <v>0</v>
      </c>
      <c r="C71" s="19">
        <f t="shared" si="3"/>
        <v>0</v>
      </c>
      <c r="D71" s="19">
        <f>Monthly_payment($B$1,$D$1,$B$3)*'PSA&amp;CPR（function) '!N71</f>
        <v>0</v>
      </c>
      <c r="E71" s="19">
        <f>Principle_portion_of_payment($B$1,$D$1,A71,$B$3)*'PSA&amp;CPR（function) '!N71</f>
        <v>0</v>
      </c>
      <c r="F71" s="19">
        <f>Interest_portion_of_payment($B$1,$D$1,A71,$B$3)*'PSA&amp;CPR（function) '!N71</f>
        <v>0</v>
      </c>
      <c r="G71" s="19">
        <f>(B71-E71)*'PSA&amp;CPR（function) '!F72</f>
        <v>0</v>
      </c>
      <c r="H71" s="19">
        <f>Remaining_balance($B$1,$D$1,A71,$B$3)*'PSA&amp;CPR（function) '!N72</f>
        <v>0</v>
      </c>
    </row>
    <row r="72" spans="1:8">
      <c r="A72">
        <f>'PSA&amp;CPR'!A72</f>
        <v>70</v>
      </c>
      <c r="B72" s="19">
        <f t="shared" si="2"/>
        <v>0</v>
      </c>
      <c r="C72" s="19">
        <f t="shared" si="3"/>
        <v>0</v>
      </c>
      <c r="D72" s="19">
        <f>Monthly_payment($B$1,$D$1,$B$3)*'PSA&amp;CPR（function) '!N72</f>
        <v>0</v>
      </c>
      <c r="E72" s="19">
        <f>Principle_portion_of_payment($B$1,$D$1,A72,$B$3)*'PSA&amp;CPR（function) '!N72</f>
        <v>0</v>
      </c>
      <c r="F72" s="19">
        <f>Interest_portion_of_payment($B$1,$D$1,A72,$B$3)*'PSA&amp;CPR（function) '!N72</f>
        <v>0</v>
      </c>
      <c r="G72" s="19">
        <f>(B72-E72)*'PSA&amp;CPR（function) '!F73</f>
        <v>0</v>
      </c>
      <c r="H72" s="19">
        <f>Remaining_balance($B$1,$D$1,A72,$B$3)*'PSA&amp;CPR（function) '!N73</f>
        <v>0</v>
      </c>
    </row>
    <row r="73" spans="1:8">
      <c r="A73">
        <f>'PSA&amp;CPR'!A73</f>
        <v>71</v>
      </c>
      <c r="B73" s="19">
        <f t="shared" si="2"/>
        <v>0</v>
      </c>
      <c r="C73" s="19">
        <f t="shared" si="3"/>
        <v>0</v>
      </c>
      <c r="D73" s="19">
        <f>Monthly_payment($B$1,$D$1,$B$3)*'PSA&amp;CPR（function) '!N73</f>
        <v>0</v>
      </c>
      <c r="E73" s="19">
        <f>Principle_portion_of_payment($B$1,$D$1,A73,$B$3)*'PSA&amp;CPR（function) '!N73</f>
        <v>0</v>
      </c>
      <c r="F73" s="19">
        <f>Interest_portion_of_payment($B$1,$D$1,A73,$B$3)*'PSA&amp;CPR（function) '!N73</f>
        <v>0</v>
      </c>
      <c r="G73" s="19">
        <f>(B73-E73)*'PSA&amp;CPR（function) '!F74</f>
        <v>0</v>
      </c>
      <c r="H73" s="19">
        <f>Remaining_balance($B$1,$D$1,A73,$B$3)*'PSA&amp;CPR（function) '!N74</f>
        <v>0</v>
      </c>
    </row>
    <row r="74" spans="1:8">
      <c r="A74">
        <f>'PSA&amp;CPR'!A74</f>
        <v>72</v>
      </c>
      <c r="B74" s="19">
        <f t="shared" si="2"/>
        <v>0</v>
      </c>
      <c r="C74" s="19">
        <f t="shared" si="3"/>
        <v>0</v>
      </c>
      <c r="D74" s="19">
        <f>Monthly_payment($B$1,$D$1,$B$3)*'PSA&amp;CPR（function) '!N74</f>
        <v>0</v>
      </c>
      <c r="E74" s="19">
        <f>Principle_portion_of_payment($B$1,$D$1,A74,$B$3)*'PSA&amp;CPR（function) '!N74</f>
        <v>0</v>
      </c>
      <c r="F74" s="19">
        <f>Interest_portion_of_payment($B$1,$D$1,A74,$B$3)*'PSA&amp;CPR（function) '!N74</f>
        <v>0</v>
      </c>
      <c r="G74" s="19">
        <f>(B74-E74)*'PSA&amp;CPR（function) '!F75</f>
        <v>0</v>
      </c>
      <c r="H74" s="19">
        <f>Remaining_balance($B$1,$D$1,A74,$B$3)*'PSA&amp;CPR（function) '!N75</f>
        <v>0</v>
      </c>
    </row>
    <row r="75" spans="1:8">
      <c r="A75">
        <f>'PSA&amp;CPR'!A75</f>
        <v>73</v>
      </c>
      <c r="B75" s="19">
        <f t="shared" si="2"/>
        <v>0</v>
      </c>
      <c r="C75" s="19">
        <f t="shared" si="3"/>
        <v>0</v>
      </c>
      <c r="D75" s="19">
        <f>Monthly_payment($B$1,$D$1,$B$3)*'PSA&amp;CPR（function) '!N75</f>
        <v>0</v>
      </c>
      <c r="E75" s="19">
        <f>Principle_portion_of_payment($B$1,$D$1,A75,$B$3)*'PSA&amp;CPR（function) '!N75</f>
        <v>0</v>
      </c>
      <c r="F75" s="19">
        <f>Interest_portion_of_payment($B$1,$D$1,A75,$B$3)*'PSA&amp;CPR（function) '!N75</f>
        <v>0</v>
      </c>
      <c r="G75" s="19">
        <f>(B75-E75)*'PSA&amp;CPR（function) '!F76</f>
        <v>0</v>
      </c>
      <c r="H75" s="19">
        <f>Remaining_balance($B$1,$D$1,A75,$B$3)*'PSA&amp;CPR（function) '!N76</f>
        <v>0</v>
      </c>
    </row>
    <row r="76" spans="1:8">
      <c r="A76">
        <f>'PSA&amp;CPR'!A76</f>
        <v>74</v>
      </c>
      <c r="B76" s="19">
        <f t="shared" si="2"/>
        <v>0</v>
      </c>
      <c r="C76" s="19">
        <f t="shared" si="3"/>
        <v>0</v>
      </c>
      <c r="D76" s="19">
        <f>Monthly_payment($B$1,$D$1,$B$3)*'PSA&amp;CPR（function) '!N76</f>
        <v>0</v>
      </c>
      <c r="E76" s="19">
        <f>Principle_portion_of_payment($B$1,$D$1,A76,$B$3)*'PSA&amp;CPR（function) '!N76</f>
        <v>0</v>
      </c>
      <c r="F76" s="19">
        <f>Interest_portion_of_payment($B$1,$D$1,A76,$B$3)*'PSA&amp;CPR（function) '!N76</f>
        <v>0</v>
      </c>
      <c r="G76" s="19">
        <f>(B76-E76)*'PSA&amp;CPR（function) '!F77</f>
        <v>0</v>
      </c>
      <c r="H76" s="19">
        <f>Remaining_balance($B$1,$D$1,A76,$B$3)*'PSA&amp;CPR（function) '!N77</f>
        <v>0</v>
      </c>
    </row>
    <row r="77" spans="1:8">
      <c r="A77">
        <f>'PSA&amp;CPR'!A77</f>
        <v>75</v>
      </c>
      <c r="B77" s="19">
        <f t="shared" si="2"/>
        <v>0</v>
      </c>
      <c r="C77" s="19">
        <f t="shared" si="3"/>
        <v>0</v>
      </c>
      <c r="D77" s="19">
        <f>Monthly_payment($B$1,$D$1,$B$3)*'PSA&amp;CPR（function) '!N77</f>
        <v>0</v>
      </c>
      <c r="E77" s="19">
        <f>Principle_portion_of_payment($B$1,$D$1,A77,$B$3)*'PSA&amp;CPR（function) '!N77</f>
        <v>0</v>
      </c>
      <c r="F77" s="19">
        <f>Interest_portion_of_payment($B$1,$D$1,A77,$B$3)*'PSA&amp;CPR（function) '!N77</f>
        <v>0</v>
      </c>
      <c r="G77" s="19">
        <f>(B77-E77)*'PSA&amp;CPR（function) '!F78</f>
        <v>0</v>
      </c>
      <c r="H77" s="19">
        <f>Remaining_balance($B$1,$D$1,A77,$B$3)*'PSA&amp;CPR（function) '!N78</f>
        <v>0</v>
      </c>
    </row>
    <row r="78" spans="1:8">
      <c r="A78">
        <f>'PSA&amp;CPR'!A78</f>
        <v>76</v>
      </c>
      <c r="B78" s="19">
        <f t="shared" si="2"/>
        <v>0</v>
      </c>
      <c r="C78" s="19">
        <f t="shared" si="3"/>
        <v>0</v>
      </c>
      <c r="D78" s="19">
        <f>Monthly_payment($B$1,$D$1,$B$3)*'PSA&amp;CPR（function) '!N78</f>
        <v>0</v>
      </c>
      <c r="E78" s="19">
        <f>Principle_portion_of_payment($B$1,$D$1,A78,$B$3)*'PSA&amp;CPR（function) '!N78</f>
        <v>0</v>
      </c>
      <c r="F78" s="19">
        <f>Interest_portion_of_payment($B$1,$D$1,A78,$B$3)*'PSA&amp;CPR（function) '!N78</f>
        <v>0</v>
      </c>
      <c r="G78" s="19">
        <f>(B78-E78)*'PSA&amp;CPR（function) '!F79</f>
        <v>0</v>
      </c>
      <c r="H78" s="19">
        <f>Remaining_balance($B$1,$D$1,A78,$B$3)*'PSA&amp;CPR（function) '!N79</f>
        <v>0</v>
      </c>
    </row>
    <row r="79" spans="1:8">
      <c r="A79">
        <f>'PSA&amp;CPR'!A79</f>
        <v>77</v>
      </c>
      <c r="B79" s="19">
        <f t="shared" si="2"/>
        <v>0</v>
      </c>
      <c r="C79" s="19">
        <f t="shared" si="3"/>
        <v>0</v>
      </c>
      <c r="D79" s="19">
        <f>Monthly_payment($B$1,$D$1,$B$3)*'PSA&amp;CPR（function) '!N79</f>
        <v>0</v>
      </c>
      <c r="E79" s="19">
        <f>Principle_portion_of_payment($B$1,$D$1,A79,$B$3)*'PSA&amp;CPR（function) '!N79</f>
        <v>0</v>
      </c>
      <c r="F79" s="19">
        <f>Interest_portion_of_payment($B$1,$D$1,A79,$B$3)*'PSA&amp;CPR（function) '!N79</f>
        <v>0</v>
      </c>
      <c r="G79" s="19">
        <f>(B79-E79)*'PSA&amp;CPR（function) '!F80</f>
        <v>0</v>
      </c>
      <c r="H79" s="19">
        <f>Remaining_balance($B$1,$D$1,A79,$B$3)*'PSA&amp;CPR（function) '!N80</f>
        <v>0</v>
      </c>
    </row>
    <row r="80" spans="1:8">
      <c r="A80">
        <f>'PSA&amp;CPR'!A80</f>
        <v>78</v>
      </c>
      <c r="B80" s="19">
        <f t="shared" si="2"/>
        <v>0</v>
      </c>
      <c r="C80" s="19">
        <f t="shared" si="3"/>
        <v>0</v>
      </c>
      <c r="D80" s="19">
        <f>Monthly_payment($B$1,$D$1,$B$3)*'PSA&amp;CPR（function) '!N80</f>
        <v>0</v>
      </c>
      <c r="E80" s="19">
        <f>Principle_portion_of_payment($B$1,$D$1,A80,$B$3)*'PSA&amp;CPR（function) '!N80</f>
        <v>0</v>
      </c>
      <c r="F80" s="19">
        <f>Interest_portion_of_payment($B$1,$D$1,A80,$B$3)*'PSA&amp;CPR（function) '!N80</f>
        <v>0</v>
      </c>
      <c r="G80" s="19">
        <f>(B80-E80)*'PSA&amp;CPR（function) '!F81</f>
        <v>0</v>
      </c>
      <c r="H80" s="19">
        <f>Remaining_balance($B$1,$D$1,A80,$B$3)*'PSA&amp;CPR（function) '!N81</f>
        <v>0</v>
      </c>
    </row>
    <row r="81" spans="1:8">
      <c r="A81">
        <f>'PSA&amp;CPR'!A81</f>
        <v>79</v>
      </c>
      <c r="B81" s="19">
        <f t="shared" si="2"/>
        <v>0</v>
      </c>
      <c r="C81" s="19">
        <f t="shared" si="3"/>
        <v>0</v>
      </c>
      <c r="D81" s="19">
        <f>Monthly_payment($B$1,$D$1,$B$3)*'PSA&amp;CPR（function) '!N81</f>
        <v>0</v>
      </c>
      <c r="E81" s="19">
        <f>Principle_portion_of_payment($B$1,$D$1,A81,$B$3)*'PSA&amp;CPR（function) '!N81</f>
        <v>0</v>
      </c>
      <c r="F81" s="19">
        <f>Interest_portion_of_payment($B$1,$D$1,A81,$B$3)*'PSA&amp;CPR（function) '!N81</f>
        <v>0</v>
      </c>
      <c r="G81" s="19">
        <f>(B81-E81)*'PSA&amp;CPR（function) '!F82</f>
        <v>0</v>
      </c>
      <c r="H81" s="19">
        <f>Remaining_balance($B$1,$D$1,A81,$B$3)*'PSA&amp;CPR（function) '!N82</f>
        <v>0</v>
      </c>
    </row>
    <row r="82" spans="1:8">
      <c r="A82">
        <f>'PSA&amp;CPR'!A82</f>
        <v>80</v>
      </c>
      <c r="B82" s="19">
        <f t="shared" si="2"/>
        <v>0</v>
      </c>
      <c r="C82" s="19">
        <f t="shared" si="3"/>
        <v>0</v>
      </c>
      <c r="D82" s="19">
        <f>Monthly_payment($B$1,$D$1,$B$3)*'PSA&amp;CPR（function) '!N82</f>
        <v>0</v>
      </c>
      <c r="E82" s="19">
        <f>Principle_portion_of_payment($B$1,$D$1,A82,$B$3)*'PSA&amp;CPR（function) '!N82</f>
        <v>0</v>
      </c>
      <c r="F82" s="19">
        <f>Interest_portion_of_payment($B$1,$D$1,A82,$B$3)*'PSA&amp;CPR（function) '!N82</f>
        <v>0</v>
      </c>
      <c r="G82" s="19">
        <f>(B82-E82)*'PSA&amp;CPR（function) '!F83</f>
        <v>0</v>
      </c>
      <c r="H82" s="19">
        <f>Remaining_balance($B$1,$D$1,A82,$B$3)*'PSA&amp;CPR（function) '!N83</f>
        <v>0</v>
      </c>
    </row>
    <row r="83" spans="1:8">
      <c r="A83">
        <f>'PSA&amp;CPR'!A83</f>
        <v>81</v>
      </c>
      <c r="B83" s="19">
        <f t="shared" si="2"/>
        <v>0</v>
      </c>
      <c r="C83" s="19">
        <f t="shared" si="3"/>
        <v>0</v>
      </c>
      <c r="D83" s="19">
        <f>Monthly_payment($B$1,$D$1,$B$3)*'PSA&amp;CPR（function) '!N83</f>
        <v>0</v>
      </c>
      <c r="E83" s="19">
        <f>Principle_portion_of_payment($B$1,$D$1,A83,$B$3)*'PSA&amp;CPR（function) '!N83</f>
        <v>0</v>
      </c>
      <c r="F83" s="19">
        <f>Interest_portion_of_payment($B$1,$D$1,A83,$B$3)*'PSA&amp;CPR（function) '!N83</f>
        <v>0</v>
      </c>
      <c r="G83" s="19">
        <f>(B83-E83)*'PSA&amp;CPR（function) '!F84</f>
        <v>0</v>
      </c>
      <c r="H83" s="19">
        <f>Remaining_balance($B$1,$D$1,A83,$B$3)*'PSA&amp;CPR（function) '!N84</f>
        <v>0</v>
      </c>
    </row>
    <row r="84" spans="1:8">
      <c r="A84">
        <f>'PSA&amp;CPR'!A84</f>
        <v>82</v>
      </c>
      <c r="B84" s="19">
        <f t="shared" si="2"/>
        <v>0</v>
      </c>
      <c r="C84" s="19">
        <f t="shared" si="3"/>
        <v>0</v>
      </c>
      <c r="D84" s="19">
        <f>Monthly_payment($B$1,$D$1,$B$3)*'PSA&amp;CPR（function) '!N84</f>
        <v>0</v>
      </c>
      <c r="E84" s="19">
        <f>Principle_portion_of_payment($B$1,$D$1,A84,$B$3)*'PSA&amp;CPR（function) '!N84</f>
        <v>0</v>
      </c>
      <c r="F84" s="19">
        <f>Interest_portion_of_payment($B$1,$D$1,A84,$B$3)*'PSA&amp;CPR（function) '!N84</f>
        <v>0</v>
      </c>
      <c r="G84" s="19">
        <f>(B84-E84)*'PSA&amp;CPR（function) '!F85</f>
        <v>0</v>
      </c>
      <c r="H84" s="19">
        <f>Remaining_balance($B$1,$D$1,A84,$B$3)*'PSA&amp;CPR（function) '!N85</f>
        <v>0</v>
      </c>
    </row>
    <row r="85" spans="1:8">
      <c r="A85">
        <f>'PSA&amp;CPR'!A85</f>
        <v>83</v>
      </c>
      <c r="B85" s="19">
        <f t="shared" si="2"/>
        <v>0</v>
      </c>
      <c r="C85" s="19">
        <f t="shared" si="3"/>
        <v>0</v>
      </c>
      <c r="D85" s="19">
        <f>Monthly_payment($B$1,$D$1,$B$3)*'PSA&amp;CPR（function) '!N85</f>
        <v>0</v>
      </c>
      <c r="E85" s="19">
        <f>Principle_portion_of_payment($B$1,$D$1,A85,$B$3)*'PSA&amp;CPR（function) '!N85</f>
        <v>0</v>
      </c>
      <c r="F85" s="19">
        <f>Interest_portion_of_payment($B$1,$D$1,A85,$B$3)*'PSA&amp;CPR（function) '!N85</f>
        <v>0</v>
      </c>
      <c r="G85" s="19">
        <f>(B85-E85)*'PSA&amp;CPR（function) '!F86</f>
        <v>0</v>
      </c>
      <c r="H85" s="19">
        <f>Remaining_balance($B$1,$D$1,A85,$B$3)*'PSA&amp;CPR（function) '!N86</f>
        <v>0</v>
      </c>
    </row>
    <row r="86" spans="1:8">
      <c r="A86">
        <f>'PSA&amp;CPR'!A86</f>
        <v>84</v>
      </c>
      <c r="B86" s="19">
        <f t="shared" si="2"/>
        <v>0</v>
      </c>
      <c r="C86" s="19">
        <f t="shared" si="3"/>
        <v>0</v>
      </c>
      <c r="D86" s="19">
        <f>Monthly_payment($B$1,$D$1,$B$3)*'PSA&amp;CPR（function) '!N86</f>
        <v>0</v>
      </c>
      <c r="E86" s="19">
        <f>Principle_portion_of_payment($B$1,$D$1,A86,$B$3)*'PSA&amp;CPR（function) '!N86</f>
        <v>0</v>
      </c>
      <c r="F86" s="19">
        <f>Interest_portion_of_payment($B$1,$D$1,A86,$B$3)*'PSA&amp;CPR（function) '!N86</f>
        <v>0</v>
      </c>
      <c r="G86" s="19">
        <f>(B86-E86)*'PSA&amp;CPR（function) '!F87</f>
        <v>0</v>
      </c>
      <c r="H86" s="19">
        <f>Remaining_balance($B$1,$D$1,A86,$B$3)*'PSA&amp;CPR（function) '!N87</f>
        <v>0</v>
      </c>
    </row>
    <row r="87" spans="1:8">
      <c r="A87">
        <f>'PSA&amp;CPR'!A87</f>
        <v>85</v>
      </c>
      <c r="B87" s="19">
        <f t="shared" si="2"/>
        <v>0</v>
      </c>
      <c r="C87" s="19">
        <f t="shared" si="3"/>
        <v>0</v>
      </c>
      <c r="D87" s="19">
        <f>Monthly_payment($B$1,$D$1,$B$3)*'PSA&amp;CPR（function) '!N87</f>
        <v>0</v>
      </c>
      <c r="E87" s="19">
        <f>Principle_portion_of_payment($B$1,$D$1,A87,$B$3)*'PSA&amp;CPR（function) '!N87</f>
        <v>0</v>
      </c>
      <c r="F87" s="19">
        <f>Interest_portion_of_payment($B$1,$D$1,A87,$B$3)*'PSA&amp;CPR（function) '!N87</f>
        <v>0</v>
      </c>
      <c r="G87" s="19">
        <f>(B87-E87)*'PSA&amp;CPR（function) '!F88</f>
        <v>0</v>
      </c>
      <c r="H87" s="19">
        <f>Remaining_balance($B$1,$D$1,A87,$B$3)*'PSA&amp;CPR（function) '!N88</f>
        <v>0</v>
      </c>
    </row>
    <row r="88" spans="1:8">
      <c r="A88">
        <f>'PSA&amp;CPR'!A88</f>
        <v>86</v>
      </c>
      <c r="B88" s="19">
        <f t="shared" si="2"/>
        <v>0</v>
      </c>
      <c r="C88" s="19">
        <f t="shared" si="3"/>
        <v>0</v>
      </c>
      <c r="D88" s="19">
        <f>Monthly_payment($B$1,$D$1,$B$3)*'PSA&amp;CPR（function) '!N88</f>
        <v>0</v>
      </c>
      <c r="E88" s="19">
        <f>Principle_portion_of_payment($B$1,$D$1,A88,$B$3)*'PSA&amp;CPR（function) '!N88</f>
        <v>0</v>
      </c>
      <c r="F88" s="19">
        <f>Interest_portion_of_payment($B$1,$D$1,A88,$B$3)*'PSA&amp;CPR（function) '!N88</f>
        <v>0</v>
      </c>
      <c r="G88" s="19">
        <f>(B88-E88)*'PSA&amp;CPR（function) '!F89</f>
        <v>0</v>
      </c>
      <c r="H88" s="19">
        <f>Remaining_balance($B$1,$D$1,A88,$B$3)*'PSA&amp;CPR（function) '!N89</f>
        <v>0</v>
      </c>
    </row>
    <row r="89" spans="1:8">
      <c r="A89">
        <f>'PSA&amp;CPR'!A89</f>
        <v>87</v>
      </c>
      <c r="B89" s="19">
        <f t="shared" si="2"/>
        <v>0</v>
      </c>
      <c r="C89" s="19">
        <f t="shared" si="3"/>
        <v>0</v>
      </c>
      <c r="D89" s="19">
        <f>Monthly_payment($B$1,$D$1,$B$3)*'PSA&amp;CPR（function) '!N89</f>
        <v>0</v>
      </c>
      <c r="E89" s="19">
        <f>Principle_portion_of_payment($B$1,$D$1,A89,$B$3)*'PSA&amp;CPR（function) '!N89</f>
        <v>0</v>
      </c>
      <c r="F89" s="19">
        <f>Interest_portion_of_payment($B$1,$D$1,A89,$B$3)*'PSA&amp;CPR（function) '!N89</f>
        <v>0</v>
      </c>
      <c r="G89" s="19">
        <f>(B89-E89)*'PSA&amp;CPR（function) '!F90</f>
        <v>0</v>
      </c>
      <c r="H89" s="19">
        <f>Remaining_balance($B$1,$D$1,A89,$B$3)*'PSA&amp;CPR（function) '!N90</f>
        <v>0</v>
      </c>
    </row>
    <row r="90" spans="1:8">
      <c r="A90">
        <f>'PSA&amp;CPR'!A90</f>
        <v>88</v>
      </c>
      <c r="B90" s="19">
        <f t="shared" si="2"/>
        <v>0</v>
      </c>
      <c r="C90" s="19">
        <f t="shared" si="3"/>
        <v>0</v>
      </c>
      <c r="D90" s="19">
        <f>Monthly_payment($B$1,$D$1,$B$3)*'PSA&amp;CPR（function) '!N90</f>
        <v>0</v>
      </c>
      <c r="E90" s="19">
        <f>Principle_portion_of_payment($B$1,$D$1,A90,$B$3)*'PSA&amp;CPR（function) '!N90</f>
        <v>0</v>
      </c>
      <c r="F90" s="19">
        <f>Interest_portion_of_payment($B$1,$D$1,A90,$B$3)*'PSA&amp;CPR（function) '!N90</f>
        <v>0</v>
      </c>
      <c r="G90" s="19">
        <f>(B90-E90)*'PSA&amp;CPR（function) '!F91</f>
        <v>0</v>
      </c>
      <c r="H90" s="19">
        <f>Remaining_balance($B$1,$D$1,A90,$B$3)*'PSA&amp;CPR（function) '!N91</f>
        <v>0</v>
      </c>
    </row>
    <row r="91" spans="1:8">
      <c r="A91">
        <f>'PSA&amp;CPR'!A91</f>
        <v>89</v>
      </c>
      <c r="B91" s="19">
        <f t="shared" si="2"/>
        <v>0</v>
      </c>
      <c r="C91" s="19">
        <f t="shared" si="3"/>
        <v>0</v>
      </c>
      <c r="D91" s="19">
        <f>Monthly_payment($B$1,$D$1,$B$3)*'PSA&amp;CPR（function) '!N91</f>
        <v>0</v>
      </c>
      <c r="E91" s="19">
        <f>Principle_portion_of_payment($B$1,$D$1,A91,$B$3)*'PSA&amp;CPR（function) '!N91</f>
        <v>0</v>
      </c>
      <c r="F91" s="19">
        <f>Interest_portion_of_payment($B$1,$D$1,A91,$B$3)*'PSA&amp;CPR（function) '!N91</f>
        <v>0</v>
      </c>
      <c r="G91" s="19">
        <f>(B91-E91)*'PSA&amp;CPR（function) '!F92</f>
        <v>0</v>
      </c>
      <c r="H91" s="19">
        <f>Remaining_balance($B$1,$D$1,A91,$B$3)*'PSA&amp;CPR（function) '!N92</f>
        <v>0</v>
      </c>
    </row>
    <row r="92" spans="1:8">
      <c r="A92">
        <f>'PSA&amp;CPR'!A92</f>
        <v>90</v>
      </c>
      <c r="B92" s="19">
        <f t="shared" si="2"/>
        <v>0</v>
      </c>
      <c r="C92" s="19">
        <f t="shared" si="3"/>
        <v>0</v>
      </c>
      <c r="D92" s="19">
        <f>Monthly_payment($B$1,$D$1,$B$3)*'PSA&amp;CPR（function) '!N92</f>
        <v>0</v>
      </c>
      <c r="E92" s="19">
        <f>Principle_portion_of_payment($B$1,$D$1,A92,$B$3)*'PSA&amp;CPR（function) '!N92</f>
        <v>0</v>
      </c>
      <c r="F92" s="19">
        <f>Interest_portion_of_payment($B$1,$D$1,A92,$B$3)*'PSA&amp;CPR（function) '!N92</f>
        <v>0</v>
      </c>
      <c r="G92" s="19">
        <f>(B92-E92)*'PSA&amp;CPR（function) '!F93</f>
        <v>0</v>
      </c>
      <c r="H92" s="19">
        <f>Remaining_balance($B$1,$D$1,A92,$B$3)*'PSA&amp;CPR（function) '!N93</f>
        <v>0</v>
      </c>
    </row>
    <row r="93" spans="1:8">
      <c r="A93">
        <f>'PSA&amp;CPR'!A93</f>
        <v>91</v>
      </c>
      <c r="B93" s="19">
        <f t="shared" si="2"/>
        <v>0</v>
      </c>
      <c r="C93" s="19">
        <f t="shared" si="3"/>
        <v>0</v>
      </c>
      <c r="D93" s="19">
        <f>Monthly_payment($B$1,$D$1,$B$3)*'PSA&amp;CPR（function) '!N93</f>
        <v>0</v>
      </c>
      <c r="E93" s="19">
        <f>Principle_portion_of_payment($B$1,$D$1,A93,$B$3)*'PSA&amp;CPR（function) '!N93</f>
        <v>0</v>
      </c>
      <c r="F93" s="19">
        <f>Interest_portion_of_payment($B$1,$D$1,A93,$B$3)*'PSA&amp;CPR（function) '!N93</f>
        <v>0</v>
      </c>
      <c r="G93" s="19">
        <f>(B93-E93)*'PSA&amp;CPR（function) '!F94</f>
        <v>0</v>
      </c>
      <c r="H93" s="19">
        <f>Remaining_balance($B$1,$D$1,A93,$B$3)*'PSA&amp;CPR（function) '!N94</f>
        <v>0</v>
      </c>
    </row>
    <row r="94" spans="1:8">
      <c r="A94">
        <f>'PSA&amp;CPR'!A94</f>
        <v>92</v>
      </c>
      <c r="B94" s="19">
        <f t="shared" si="2"/>
        <v>0</v>
      </c>
      <c r="C94" s="19">
        <f t="shared" si="3"/>
        <v>0</v>
      </c>
      <c r="D94" s="19">
        <f>Monthly_payment($B$1,$D$1,$B$3)*'PSA&amp;CPR（function) '!N94</f>
        <v>0</v>
      </c>
      <c r="E94" s="19">
        <f>Principle_portion_of_payment($B$1,$D$1,A94,$B$3)*'PSA&amp;CPR（function) '!N94</f>
        <v>0</v>
      </c>
      <c r="F94" s="19">
        <f>Interest_portion_of_payment($B$1,$D$1,A94,$B$3)*'PSA&amp;CPR（function) '!N94</f>
        <v>0</v>
      </c>
      <c r="G94" s="19">
        <f>(B94-E94)*'PSA&amp;CPR（function) '!F95</f>
        <v>0</v>
      </c>
      <c r="H94" s="19">
        <f>Remaining_balance($B$1,$D$1,A94,$B$3)*'PSA&amp;CPR（function) '!N95</f>
        <v>0</v>
      </c>
    </row>
    <row r="95" spans="1:8">
      <c r="A95">
        <f>'PSA&amp;CPR'!A95</f>
        <v>93</v>
      </c>
      <c r="B95" s="19">
        <f t="shared" si="2"/>
        <v>0</v>
      </c>
      <c r="C95" s="19">
        <f t="shared" si="3"/>
        <v>0</v>
      </c>
      <c r="D95" s="19">
        <f>Monthly_payment($B$1,$D$1,$B$3)*'PSA&amp;CPR（function) '!N95</f>
        <v>0</v>
      </c>
      <c r="E95" s="19">
        <f>Principle_portion_of_payment($B$1,$D$1,A95,$B$3)*'PSA&amp;CPR（function) '!N95</f>
        <v>0</v>
      </c>
      <c r="F95" s="19">
        <f>Interest_portion_of_payment($B$1,$D$1,A95,$B$3)*'PSA&amp;CPR（function) '!N95</f>
        <v>0</v>
      </c>
      <c r="G95" s="19">
        <f>(B95-E95)*'PSA&amp;CPR（function) '!F96</f>
        <v>0</v>
      </c>
      <c r="H95" s="19">
        <f>Remaining_balance($B$1,$D$1,A95,$B$3)*'PSA&amp;CPR（function) '!N96</f>
        <v>0</v>
      </c>
    </row>
    <row r="96" spans="1:8">
      <c r="A96">
        <f>'PSA&amp;CPR'!A96</f>
        <v>94</v>
      </c>
      <c r="B96" s="19">
        <f t="shared" si="2"/>
        <v>0</v>
      </c>
      <c r="C96" s="19">
        <f t="shared" si="3"/>
        <v>0</v>
      </c>
      <c r="D96" s="19">
        <f>Monthly_payment($B$1,$D$1,$B$3)*'PSA&amp;CPR（function) '!N96</f>
        <v>0</v>
      </c>
      <c r="E96" s="19">
        <f>Principle_portion_of_payment($B$1,$D$1,A96,$B$3)*'PSA&amp;CPR（function) '!N96</f>
        <v>0</v>
      </c>
      <c r="F96" s="19">
        <f>Interest_portion_of_payment($B$1,$D$1,A96,$B$3)*'PSA&amp;CPR（function) '!N96</f>
        <v>0</v>
      </c>
      <c r="G96" s="19">
        <f>(B96-E96)*'PSA&amp;CPR（function) '!F97</f>
        <v>0</v>
      </c>
      <c r="H96" s="19">
        <f>Remaining_balance($B$1,$D$1,A96,$B$3)*'PSA&amp;CPR（function) '!N97</f>
        <v>0</v>
      </c>
    </row>
    <row r="97" spans="1:8">
      <c r="A97">
        <f>'PSA&amp;CPR'!A97</f>
        <v>95</v>
      </c>
      <c r="B97" s="19">
        <f t="shared" si="2"/>
        <v>0</v>
      </c>
      <c r="C97" s="19">
        <f t="shared" si="3"/>
        <v>0</v>
      </c>
      <c r="D97" s="19">
        <f>Monthly_payment($B$1,$D$1,$B$3)*'PSA&amp;CPR（function) '!N97</f>
        <v>0</v>
      </c>
      <c r="E97" s="19">
        <f>Principle_portion_of_payment($B$1,$D$1,A97,$B$3)*'PSA&amp;CPR（function) '!N97</f>
        <v>0</v>
      </c>
      <c r="F97" s="19">
        <f>Interest_portion_of_payment($B$1,$D$1,A97,$B$3)*'PSA&amp;CPR（function) '!N97</f>
        <v>0</v>
      </c>
      <c r="G97" s="19">
        <f>(B97-E97)*'PSA&amp;CPR（function) '!F98</f>
        <v>0</v>
      </c>
      <c r="H97" s="19">
        <f>Remaining_balance($B$1,$D$1,A97,$B$3)*'PSA&amp;CPR（function) '!N98</f>
        <v>0</v>
      </c>
    </row>
    <row r="98" spans="1:8">
      <c r="A98">
        <f>'PSA&amp;CPR'!A98</f>
        <v>96</v>
      </c>
      <c r="B98" s="19">
        <f t="shared" si="2"/>
        <v>0</v>
      </c>
      <c r="C98" s="19">
        <f t="shared" si="3"/>
        <v>0</v>
      </c>
      <c r="D98" s="19">
        <f>Monthly_payment($B$1,$D$1,$B$3)*'PSA&amp;CPR（function) '!N98</f>
        <v>0</v>
      </c>
      <c r="E98" s="19">
        <f>Principle_portion_of_payment($B$1,$D$1,A98,$B$3)*'PSA&amp;CPR（function) '!N98</f>
        <v>0</v>
      </c>
      <c r="F98" s="19">
        <f>Interest_portion_of_payment($B$1,$D$1,A98,$B$3)*'PSA&amp;CPR（function) '!N98</f>
        <v>0</v>
      </c>
      <c r="G98" s="19">
        <f>(B98-E98)*'PSA&amp;CPR（function) '!F99</f>
        <v>0</v>
      </c>
      <c r="H98" s="19">
        <f>Remaining_balance($B$1,$D$1,A98,$B$3)*'PSA&amp;CPR（function) '!N99</f>
        <v>0</v>
      </c>
    </row>
    <row r="99" spans="1:8">
      <c r="A99">
        <f>'PSA&amp;CPR'!A99</f>
        <v>97</v>
      </c>
      <c r="B99" s="19">
        <f t="shared" si="2"/>
        <v>0</v>
      </c>
      <c r="C99" s="19">
        <f t="shared" si="3"/>
        <v>0</v>
      </c>
      <c r="D99" s="19">
        <f>Monthly_payment($B$1,$D$1,$B$3)*'PSA&amp;CPR（function) '!N99</f>
        <v>0</v>
      </c>
      <c r="E99" s="19">
        <f>Principle_portion_of_payment($B$1,$D$1,A99,$B$3)*'PSA&amp;CPR（function) '!N99</f>
        <v>0</v>
      </c>
      <c r="F99" s="19">
        <f>Interest_portion_of_payment($B$1,$D$1,A99,$B$3)*'PSA&amp;CPR（function) '!N99</f>
        <v>0</v>
      </c>
      <c r="G99" s="19">
        <f>(B99-E99)*'PSA&amp;CPR（function) '!F100</f>
        <v>0</v>
      </c>
      <c r="H99" s="19">
        <f>Remaining_balance($B$1,$D$1,A99,$B$3)*'PSA&amp;CPR（function) '!N100</f>
        <v>0</v>
      </c>
    </row>
    <row r="100" spans="1:8">
      <c r="A100">
        <f>'PSA&amp;CPR'!A100</f>
        <v>98</v>
      </c>
      <c r="B100" s="19">
        <f t="shared" si="2"/>
        <v>0</v>
      </c>
      <c r="C100" s="19">
        <f t="shared" si="3"/>
        <v>0</v>
      </c>
      <c r="D100" s="19">
        <f>Monthly_payment($B$1,$D$1,$B$3)*'PSA&amp;CPR（function) '!N100</f>
        <v>0</v>
      </c>
      <c r="E100" s="19">
        <f>Principle_portion_of_payment($B$1,$D$1,A100,$B$3)*'PSA&amp;CPR（function) '!N100</f>
        <v>0</v>
      </c>
      <c r="F100" s="19">
        <f>Interest_portion_of_payment($B$1,$D$1,A100,$B$3)*'PSA&amp;CPR（function) '!N100</f>
        <v>0</v>
      </c>
      <c r="G100" s="19">
        <f>(B100-E100)*'PSA&amp;CPR（function) '!F101</f>
        <v>0</v>
      </c>
      <c r="H100" s="19">
        <f>Remaining_balance($B$1,$D$1,A100,$B$3)*'PSA&amp;CPR（function) '!N101</f>
        <v>0</v>
      </c>
    </row>
    <row r="101" spans="1:8">
      <c r="A101">
        <f>'PSA&amp;CPR'!A101</f>
        <v>99</v>
      </c>
      <c r="B101" s="19">
        <f t="shared" si="2"/>
        <v>0</v>
      </c>
      <c r="C101" s="19">
        <f t="shared" si="3"/>
        <v>0</v>
      </c>
      <c r="D101" s="19">
        <f>Monthly_payment($B$1,$D$1,$B$3)*'PSA&amp;CPR（function) '!N101</f>
        <v>0</v>
      </c>
      <c r="E101" s="19">
        <f>Principle_portion_of_payment($B$1,$D$1,A101,$B$3)*'PSA&amp;CPR（function) '!N101</f>
        <v>0</v>
      </c>
      <c r="F101" s="19">
        <f>Interest_portion_of_payment($B$1,$D$1,A101,$B$3)*'PSA&amp;CPR（function) '!N101</f>
        <v>0</v>
      </c>
      <c r="G101" s="19">
        <f>(B101-E101)*'PSA&amp;CPR（function) '!F102</f>
        <v>0</v>
      </c>
      <c r="H101" s="19">
        <f>Remaining_balance($B$1,$D$1,A101,$B$3)*'PSA&amp;CPR（function) '!N102</f>
        <v>0</v>
      </c>
    </row>
    <row r="102" spans="1:8">
      <c r="A102">
        <f>'PSA&amp;CPR'!A102</f>
        <v>100</v>
      </c>
      <c r="B102" s="19">
        <f t="shared" si="2"/>
        <v>0</v>
      </c>
      <c r="C102" s="19">
        <f t="shared" si="3"/>
        <v>0</v>
      </c>
      <c r="D102" s="19">
        <f>Monthly_payment($B$1,$D$1,$B$3)*'PSA&amp;CPR（function) '!N102</f>
        <v>0</v>
      </c>
      <c r="E102" s="19">
        <f>Principle_portion_of_payment($B$1,$D$1,A102,$B$3)*'PSA&amp;CPR（function) '!N102</f>
        <v>0</v>
      </c>
      <c r="F102" s="19">
        <f>Interest_portion_of_payment($B$1,$D$1,A102,$B$3)*'PSA&amp;CPR（function) '!N102</f>
        <v>0</v>
      </c>
      <c r="G102" s="19">
        <f>(B102-E102)*'PSA&amp;CPR（function) '!F103</f>
        <v>0</v>
      </c>
      <c r="H102" s="19">
        <f>Remaining_balance($B$1,$D$1,A102,$B$3)*'PSA&amp;CPR（function) '!N103</f>
        <v>0</v>
      </c>
    </row>
    <row r="103" spans="1:8">
      <c r="A103">
        <f>'PSA&amp;CPR'!A103</f>
        <v>101</v>
      </c>
      <c r="B103" s="19">
        <f t="shared" si="2"/>
        <v>0</v>
      </c>
      <c r="C103" s="19">
        <f t="shared" si="3"/>
        <v>0</v>
      </c>
      <c r="D103" s="19">
        <f>Monthly_payment($B$1,$D$1,$B$3)*'PSA&amp;CPR（function) '!N103</f>
        <v>0</v>
      </c>
      <c r="E103" s="19">
        <f>Principle_portion_of_payment($B$1,$D$1,A103,$B$3)*'PSA&amp;CPR（function) '!N103</f>
        <v>0</v>
      </c>
      <c r="F103" s="19">
        <f>Interest_portion_of_payment($B$1,$D$1,A103,$B$3)*'PSA&amp;CPR（function) '!N103</f>
        <v>0</v>
      </c>
      <c r="G103" s="19">
        <f>(B103-E103)*'PSA&amp;CPR（function) '!F104</f>
        <v>0</v>
      </c>
      <c r="H103" s="19">
        <f>Remaining_balance($B$1,$D$1,A103,$B$3)*'PSA&amp;CPR（function) '!N104</f>
        <v>0</v>
      </c>
    </row>
    <row r="104" spans="1:8">
      <c r="A104">
        <f>'PSA&amp;CPR'!A104</f>
        <v>102</v>
      </c>
      <c r="B104" s="19">
        <f t="shared" si="2"/>
        <v>0</v>
      </c>
      <c r="C104" s="19">
        <f t="shared" si="3"/>
        <v>0</v>
      </c>
      <c r="D104" s="19">
        <f>Monthly_payment($B$1,$D$1,$B$3)*'PSA&amp;CPR（function) '!N104</f>
        <v>0</v>
      </c>
      <c r="E104" s="19">
        <f>Principle_portion_of_payment($B$1,$D$1,A104,$B$3)*'PSA&amp;CPR（function) '!N104</f>
        <v>0</v>
      </c>
      <c r="F104" s="19">
        <f>Interest_portion_of_payment($B$1,$D$1,A104,$B$3)*'PSA&amp;CPR（function) '!N104</f>
        <v>0</v>
      </c>
      <c r="G104" s="19">
        <f>(B104-E104)*'PSA&amp;CPR（function) '!F105</f>
        <v>0</v>
      </c>
      <c r="H104" s="19">
        <f>Remaining_balance($B$1,$D$1,A104,$B$3)*'PSA&amp;CPR（function) '!N105</f>
        <v>0</v>
      </c>
    </row>
    <row r="105" spans="1:8">
      <c r="A105">
        <f>'PSA&amp;CPR'!A105</f>
        <v>103</v>
      </c>
      <c r="B105" s="19">
        <f t="shared" si="2"/>
        <v>0</v>
      </c>
      <c r="C105" s="19">
        <f t="shared" si="3"/>
        <v>0</v>
      </c>
      <c r="D105" s="19">
        <f>Monthly_payment($B$1,$D$1,$B$3)*'PSA&amp;CPR（function) '!N105</f>
        <v>0</v>
      </c>
      <c r="E105" s="19">
        <f>Principle_portion_of_payment($B$1,$D$1,A105,$B$3)*'PSA&amp;CPR（function) '!N105</f>
        <v>0</v>
      </c>
      <c r="F105" s="19">
        <f>Interest_portion_of_payment($B$1,$D$1,A105,$B$3)*'PSA&amp;CPR（function) '!N105</f>
        <v>0</v>
      </c>
      <c r="G105" s="19">
        <f>(B105-E105)*'PSA&amp;CPR（function) '!F106</f>
        <v>0</v>
      </c>
      <c r="H105" s="19">
        <f>Remaining_balance($B$1,$D$1,A105,$B$3)*'PSA&amp;CPR（function) '!N106</f>
        <v>0</v>
      </c>
    </row>
    <row r="106" spans="1:8">
      <c r="A106">
        <f>'PSA&amp;CPR'!A106</f>
        <v>104</v>
      </c>
      <c r="B106" s="19">
        <f t="shared" si="2"/>
        <v>0</v>
      </c>
      <c r="C106" s="19">
        <f t="shared" si="3"/>
        <v>0</v>
      </c>
      <c r="D106" s="19">
        <f>Monthly_payment($B$1,$D$1,$B$3)*'PSA&amp;CPR（function) '!N106</f>
        <v>0</v>
      </c>
      <c r="E106" s="19">
        <f>Principle_portion_of_payment($B$1,$D$1,A106,$B$3)*'PSA&amp;CPR（function) '!N106</f>
        <v>0</v>
      </c>
      <c r="F106" s="19">
        <f>Interest_portion_of_payment($B$1,$D$1,A106,$B$3)*'PSA&amp;CPR（function) '!N106</f>
        <v>0</v>
      </c>
      <c r="G106" s="19">
        <f>(B106-E106)*'PSA&amp;CPR（function) '!F107</f>
        <v>0</v>
      </c>
      <c r="H106" s="19">
        <f>Remaining_balance($B$1,$D$1,A106,$B$3)*'PSA&amp;CPR（function) '!N107</f>
        <v>0</v>
      </c>
    </row>
    <row r="107" spans="1:8">
      <c r="A107">
        <f>'PSA&amp;CPR'!A107</f>
        <v>105</v>
      </c>
      <c r="B107" s="19">
        <f t="shared" si="2"/>
        <v>0</v>
      </c>
      <c r="C107" s="19">
        <f t="shared" si="3"/>
        <v>0</v>
      </c>
      <c r="D107" s="19">
        <f>Monthly_payment($B$1,$D$1,$B$3)*'PSA&amp;CPR（function) '!N107</f>
        <v>0</v>
      </c>
      <c r="E107" s="19">
        <f>Principle_portion_of_payment($B$1,$D$1,A107,$B$3)*'PSA&amp;CPR（function) '!N107</f>
        <v>0</v>
      </c>
      <c r="F107" s="19">
        <f>Interest_portion_of_payment($B$1,$D$1,A107,$B$3)*'PSA&amp;CPR（function) '!N107</f>
        <v>0</v>
      </c>
      <c r="G107" s="19">
        <f>(B107-E107)*'PSA&amp;CPR（function) '!F108</f>
        <v>0</v>
      </c>
      <c r="H107" s="19">
        <f>Remaining_balance($B$1,$D$1,A107,$B$3)*'PSA&amp;CPR（function) '!N108</f>
        <v>0</v>
      </c>
    </row>
    <row r="108" spans="1:8">
      <c r="A108">
        <f>'PSA&amp;CPR'!A108</f>
        <v>106</v>
      </c>
      <c r="B108" s="19">
        <f t="shared" si="2"/>
        <v>0</v>
      </c>
      <c r="C108" s="19">
        <f t="shared" si="3"/>
        <v>0</v>
      </c>
      <c r="D108" s="19">
        <f>Monthly_payment($B$1,$D$1,$B$3)*'PSA&amp;CPR（function) '!N108</f>
        <v>0</v>
      </c>
      <c r="E108" s="19">
        <f>Principle_portion_of_payment($B$1,$D$1,A108,$B$3)*'PSA&amp;CPR（function) '!N108</f>
        <v>0</v>
      </c>
      <c r="F108" s="19">
        <f>Interest_portion_of_payment($B$1,$D$1,A108,$B$3)*'PSA&amp;CPR（function) '!N108</f>
        <v>0</v>
      </c>
      <c r="G108" s="19">
        <f>(B108-E108)*'PSA&amp;CPR（function) '!F109</f>
        <v>0</v>
      </c>
      <c r="H108" s="19">
        <f>Remaining_balance($B$1,$D$1,A108,$B$3)*'PSA&amp;CPR（function) '!N109</f>
        <v>0</v>
      </c>
    </row>
    <row r="109" spans="1:8">
      <c r="A109">
        <f>'PSA&amp;CPR'!A109</f>
        <v>107</v>
      </c>
      <c r="B109" s="19">
        <f t="shared" si="2"/>
        <v>0</v>
      </c>
      <c r="C109" s="19">
        <f t="shared" si="3"/>
        <v>0</v>
      </c>
      <c r="D109" s="19">
        <f>Monthly_payment($B$1,$D$1,$B$3)*'PSA&amp;CPR（function) '!N109</f>
        <v>0</v>
      </c>
      <c r="E109" s="19">
        <f>Principle_portion_of_payment($B$1,$D$1,A109,$B$3)*'PSA&amp;CPR（function) '!N109</f>
        <v>0</v>
      </c>
      <c r="F109" s="19">
        <f>Interest_portion_of_payment($B$1,$D$1,A109,$B$3)*'PSA&amp;CPR（function) '!N109</f>
        <v>0</v>
      </c>
      <c r="G109" s="19">
        <f>(B109-E109)*'PSA&amp;CPR（function) '!F110</f>
        <v>0</v>
      </c>
      <c r="H109" s="19">
        <f>Remaining_balance($B$1,$D$1,A109,$B$3)*'PSA&amp;CPR（function) '!N110</f>
        <v>0</v>
      </c>
    </row>
    <row r="110" spans="1:8">
      <c r="A110">
        <f>'PSA&amp;CPR'!A110</f>
        <v>108</v>
      </c>
      <c r="B110" s="19">
        <f t="shared" si="2"/>
        <v>0</v>
      </c>
      <c r="C110" s="19">
        <f t="shared" si="3"/>
        <v>0</v>
      </c>
      <c r="D110" s="19">
        <f>Monthly_payment($B$1,$D$1,$B$3)*'PSA&amp;CPR（function) '!N110</f>
        <v>0</v>
      </c>
      <c r="E110" s="19">
        <f>Principle_portion_of_payment($B$1,$D$1,A110,$B$3)*'PSA&amp;CPR（function) '!N110</f>
        <v>0</v>
      </c>
      <c r="F110" s="19">
        <f>Interest_portion_of_payment($B$1,$D$1,A110,$B$3)*'PSA&amp;CPR（function) '!N110</f>
        <v>0</v>
      </c>
      <c r="G110" s="19">
        <f>(B110-E110)*'PSA&amp;CPR（function) '!F111</f>
        <v>0</v>
      </c>
      <c r="H110" s="19">
        <f>Remaining_balance($B$1,$D$1,A110,$B$3)*'PSA&amp;CPR（function) '!N111</f>
        <v>0</v>
      </c>
    </row>
    <row r="111" spans="1:8">
      <c r="A111">
        <f>'PSA&amp;CPR'!A111</f>
        <v>109</v>
      </c>
      <c r="B111" s="19">
        <f t="shared" si="2"/>
        <v>0</v>
      </c>
      <c r="C111" s="19">
        <f t="shared" si="3"/>
        <v>0</v>
      </c>
      <c r="D111" s="19">
        <f>Monthly_payment($B$1,$D$1,$B$3)*'PSA&amp;CPR（function) '!N111</f>
        <v>0</v>
      </c>
      <c r="E111" s="19">
        <f>Principle_portion_of_payment($B$1,$D$1,A111,$B$3)*'PSA&amp;CPR（function) '!N111</f>
        <v>0</v>
      </c>
      <c r="F111" s="19">
        <f>Interest_portion_of_payment($B$1,$D$1,A111,$B$3)*'PSA&amp;CPR（function) '!N111</f>
        <v>0</v>
      </c>
      <c r="G111" s="19">
        <f>(B111-E111)*'PSA&amp;CPR（function) '!F112</f>
        <v>0</v>
      </c>
      <c r="H111" s="19">
        <f>Remaining_balance($B$1,$D$1,A111,$B$3)*'PSA&amp;CPR（function) '!N112</f>
        <v>0</v>
      </c>
    </row>
    <row r="112" spans="1:8">
      <c r="A112">
        <f>'PSA&amp;CPR'!A112</f>
        <v>110</v>
      </c>
      <c r="B112" s="19">
        <f t="shared" si="2"/>
        <v>0</v>
      </c>
      <c r="C112" s="19">
        <f t="shared" si="3"/>
        <v>0</v>
      </c>
      <c r="D112" s="19">
        <f>Monthly_payment($B$1,$D$1,$B$3)*'PSA&amp;CPR（function) '!N112</f>
        <v>0</v>
      </c>
      <c r="E112" s="19">
        <f>Principle_portion_of_payment($B$1,$D$1,A112,$B$3)*'PSA&amp;CPR（function) '!N112</f>
        <v>0</v>
      </c>
      <c r="F112" s="19">
        <f>Interest_portion_of_payment($B$1,$D$1,A112,$B$3)*'PSA&amp;CPR（function) '!N112</f>
        <v>0</v>
      </c>
      <c r="G112" s="19">
        <f>(B112-E112)*'PSA&amp;CPR（function) '!F113</f>
        <v>0</v>
      </c>
      <c r="H112" s="19">
        <f>Remaining_balance($B$1,$D$1,A112,$B$3)*'PSA&amp;CPR（function) '!N113</f>
        <v>0</v>
      </c>
    </row>
    <row r="113" spans="1:8">
      <c r="A113">
        <f>'PSA&amp;CPR'!A113</f>
        <v>111</v>
      </c>
      <c r="B113" s="19">
        <f t="shared" si="2"/>
        <v>0</v>
      </c>
      <c r="C113" s="19">
        <f t="shared" si="3"/>
        <v>0</v>
      </c>
      <c r="D113" s="19">
        <f>Monthly_payment($B$1,$D$1,$B$3)*'PSA&amp;CPR（function) '!N113</f>
        <v>0</v>
      </c>
      <c r="E113" s="19">
        <f>Principle_portion_of_payment($B$1,$D$1,A113,$B$3)*'PSA&amp;CPR（function) '!N113</f>
        <v>0</v>
      </c>
      <c r="F113" s="19">
        <f>Interest_portion_of_payment($B$1,$D$1,A113,$B$3)*'PSA&amp;CPR（function) '!N113</f>
        <v>0</v>
      </c>
      <c r="G113" s="19">
        <f>(B113-E113)*'PSA&amp;CPR（function) '!F114</f>
        <v>0</v>
      </c>
      <c r="H113" s="19">
        <f>Remaining_balance($B$1,$D$1,A113,$B$3)*'PSA&amp;CPR（function) '!N114</f>
        <v>0</v>
      </c>
    </row>
    <row r="114" spans="1:8">
      <c r="A114">
        <f>'PSA&amp;CPR'!A114</f>
        <v>112</v>
      </c>
      <c r="B114" s="19">
        <f t="shared" si="2"/>
        <v>0</v>
      </c>
      <c r="C114" s="19">
        <f t="shared" si="3"/>
        <v>0</v>
      </c>
      <c r="D114" s="19">
        <f>Monthly_payment($B$1,$D$1,$B$3)*'PSA&amp;CPR（function) '!N114</f>
        <v>0</v>
      </c>
      <c r="E114" s="19">
        <f>Principle_portion_of_payment($B$1,$D$1,A114,$B$3)*'PSA&amp;CPR（function) '!N114</f>
        <v>0</v>
      </c>
      <c r="F114" s="19">
        <f>Interest_portion_of_payment($B$1,$D$1,A114,$B$3)*'PSA&amp;CPR（function) '!N114</f>
        <v>0</v>
      </c>
      <c r="G114" s="19">
        <f>(B114-E114)*'PSA&amp;CPR（function) '!F115</f>
        <v>0</v>
      </c>
      <c r="H114" s="19">
        <f>Remaining_balance($B$1,$D$1,A114,$B$3)*'PSA&amp;CPR（function) '!N115</f>
        <v>0</v>
      </c>
    </row>
    <row r="115" spans="1:8">
      <c r="A115">
        <f>'PSA&amp;CPR'!A115</f>
        <v>113</v>
      </c>
      <c r="B115" s="19">
        <f t="shared" si="2"/>
        <v>0</v>
      </c>
      <c r="C115" s="19">
        <f t="shared" si="3"/>
        <v>0</v>
      </c>
      <c r="D115" s="19">
        <f>Monthly_payment($B$1,$D$1,$B$3)*'PSA&amp;CPR（function) '!N115</f>
        <v>0</v>
      </c>
      <c r="E115" s="19">
        <f>Principle_portion_of_payment($B$1,$D$1,A115,$B$3)*'PSA&amp;CPR（function) '!N115</f>
        <v>0</v>
      </c>
      <c r="F115" s="19">
        <f>Interest_portion_of_payment($B$1,$D$1,A115,$B$3)*'PSA&amp;CPR（function) '!N115</f>
        <v>0</v>
      </c>
      <c r="G115" s="19">
        <f>(B115-E115)*'PSA&amp;CPR（function) '!F116</f>
        <v>0</v>
      </c>
      <c r="H115" s="19">
        <f>Remaining_balance($B$1,$D$1,A115,$B$3)*'PSA&amp;CPR（function) '!N116</f>
        <v>0</v>
      </c>
    </row>
    <row r="116" spans="1:8">
      <c r="A116">
        <f>'PSA&amp;CPR'!A116</f>
        <v>114</v>
      </c>
      <c r="B116" s="19">
        <f t="shared" si="2"/>
        <v>0</v>
      </c>
      <c r="C116" s="19">
        <f t="shared" si="3"/>
        <v>0</v>
      </c>
      <c r="D116" s="19">
        <f>Monthly_payment($B$1,$D$1,$B$3)*'PSA&amp;CPR（function) '!N116</f>
        <v>0</v>
      </c>
      <c r="E116" s="19">
        <f>Principle_portion_of_payment($B$1,$D$1,A116,$B$3)*'PSA&amp;CPR（function) '!N116</f>
        <v>0</v>
      </c>
      <c r="F116" s="19">
        <f>Interest_portion_of_payment($B$1,$D$1,A116,$B$3)*'PSA&amp;CPR（function) '!N116</f>
        <v>0</v>
      </c>
      <c r="G116" s="19">
        <f>(B116-E116)*'PSA&amp;CPR（function) '!F117</f>
        <v>0</v>
      </c>
      <c r="H116" s="19">
        <f>Remaining_balance($B$1,$D$1,A116,$B$3)*'PSA&amp;CPR（function) '!N117</f>
        <v>0</v>
      </c>
    </row>
    <row r="117" spans="1:8">
      <c r="A117">
        <f>'PSA&amp;CPR'!A117</f>
        <v>115</v>
      </c>
      <c r="B117" s="19">
        <f t="shared" si="2"/>
        <v>0</v>
      </c>
      <c r="C117" s="19">
        <f t="shared" si="3"/>
        <v>0</v>
      </c>
      <c r="D117" s="19">
        <f>Monthly_payment($B$1,$D$1,$B$3)*'PSA&amp;CPR（function) '!N117</f>
        <v>0</v>
      </c>
      <c r="E117" s="19">
        <f>Principle_portion_of_payment($B$1,$D$1,A117,$B$3)*'PSA&amp;CPR（function) '!N117</f>
        <v>0</v>
      </c>
      <c r="F117" s="19">
        <f>Interest_portion_of_payment($B$1,$D$1,A117,$B$3)*'PSA&amp;CPR（function) '!N117</f>
        <v>0</v>
      </c>
      <c r="G117" s="19">
        <f>(B117-E117)*'PSA&amp;CPR（function) '!F118</f>
        <v>0</v>
      </c>
      <c r="H117" s="19">
        <f>Remaining_balance($B$1,$D$1,A117,$B$3)*'PSA&amp;CPR（function) '!N118</f>
        <v>0</v>
      </c>
    </row>
    <row r="118" spans="1:8">
      <c r="A118">
        <f>'PSA&amp;CPR'!A118</f>
        <v>116</v>
      </c>
      <c r="B118" s="19">
        <f t="shared" si="2"/>
        <v>0</v>
      </c>
      <c r="C118" s="19">
        <f t="shared" si="3"/>
        <v>0</v>
      </c>
      <c r="D118" s="19">
        <f>Monthly_payment($B$1,$D$1,$B$3)*'PSA&amp;CPR（function) '!N118</f>
        <v>0</v>
      </c>
      <c r="E118" s="19">
        <f>Principle_portion_of_payment($B$1,$D$1,A118,$B$3)*'PSA&amp;CPR（function) '!N118</f>
        <v>0</v>
      </c>
      <c r="F118" s="19">
        <f>Interest_portion_of_payment($B$1,$D$1,A118,$B$3)*'PSA&amp;CPR（function) '!N118</f>
        <v>0</v>
      </c>
      <c r="G118" s="19">
        <f>(B118-E118)*'PSA&amp;CPR（function) '!F119</f>
        <v>0</v>
      </c>
      <c r="H118" s="19">
        <f>Remaining_balance($B$1,$D$1,A118,$B$3)*'PSA&amp;CPR（function) '!N119</f>
        <v>0</v>
      </c>
    </row>
    <row r="119" spans="1:8">
      <c r="A119">
        <f>'PSA&amp;CPR'!A119</f>
        <v>117</v>
      </c>
      <c r="B119" s="19">
        <f t="shared" si="2"/>
        <v>0</v>
      </c>
      <c r="C119" s="19">
        <f t="shared" si="3"/>
        <v>0</v>
      </c>
      <c r="D119" s="19">
        <f>Monthly_payment($B$1,$D$1,$B$3)*'PSA&amp;CPR（function) '!N119</f>
        <v>0</v>
      </c>
      <c r="E119" s="19">
        <f>Principle_portion_of_payment($B$1,$D$1,A119,$B$3)*'PSA&amp;CPR（function) '!N119</f>
        <v>0</v>
      </c>
      <c r="F119" s="19">
        <f>Interest_portion_of_payment($B$1,$D$1,A119,$B$3)*'PSA&amp;CPR（function) '!N119</f>
        <v>0</v>
      </c>
      <c r="G119" s="19">
        <f>(B119-E119)*'PSA&amp;CPR（function) '!F120</f>
        <v>0</v>
      </c>
      <c r="H119" s="19">
        <f>Remaining_balance($B$1,$D$1,A119,$B$3)*'PSA&amp;CPR（function) '!N120</f>
        <v>0</v>
      </c>
    </row>
    <row r="120" spans="1:8">
      <c r="A120">
        <f>'PSA&amp;CPR'!A120</f>
        <v>118</v>
      </c>
      <c r="B120" s="19">
        <f t="shared" si="2"/>
        <v>0</v>
      </c>
      <c r="C120" s="19">
        <f t="shared" si="3"/>
        <v>0</v>
      </c>
      <c r="D120" s="19">
        <f>Monthly_payment($B$1,$D$1,$B$3)*'PSA&amp;CPR（function) '!N120</f>
        <v>0</v>
      </c>
      <c r="E120" s="19">
        <f>Principle_portion_of_payment($B$1,$D$1,A120,$B$3)*'PSA&amp;CPR（function) '!N120</f>
        <v>0</v>
      </c>
      <c r="F120" s="19">
        <f>Interest_portion_of_payment($B$1,$D$1,A120,$B$3)*'PSA&amp;CPR（function) '!N120</f>
        <v>0</v>
      </c>
      <c r="G120" s="19">
        <f>(B120-E120)*'PSA&amp;CPR（function) '!F121</f>
        <v>0</v>
      </c>
      <c r="H120" s="19">
        <f>Remaining_balance($B$1,$D$1,A120,$B$3)*'PSA&amp;CPR（function) '!N121</f>
        <v>0</v>
      </c>
    </row>
    <row r="121" spans="1:8">
      <c r="A121">
        <f>'PSA&amp;CPR'!A121</f>
        <v>119</v>
      </c>
      <c r="B121" s="19">
        <f t="shared" si="2"/>
        <v>0</v>
      </c>
      <c r="C121" s="19">
        <f t="shared" si="3"/>
        <v>0</v>
      </c>
      <c r="D121" s="19">
        <f>Monthly_payment($B$1,$D$1,$B$3)*'PSA&amp;CPR（function) '!N121</f>
        <v>0</v>
      </c>
      <c r="E121" s="19">
        <f>Principle_portion_of_payment($B$1,$D$1,A121,$B$3)*'PSA&amp;CPR（function) '!N121</f>
        <v>0</v>
      </c>
      <c r="F121" s="19">
        <f>Interest_portion_of_payment($B$1,$D$1,A121,$B$3)*'PSA&amp;CPR（function) '!N121</f>
        <v>0</v>
      </c>
      <c r="G121" s="19">
        <f>(B121-E121)*'PSA&amp;CPR（function) '!F122</f>
        <v>0</v>
      </c>
      <c r="H121" s="19">
        <f>Remaining_balance($B$1,$D$1,A121,$B$3)*'PSA&amp;CPR（function) '!N122</f>
        <v>0</v>
      </c>
    </row>
    <row r="122" spans="1:8">
      <c r="A122">
        <f>'PSA&amp;CPR'!A122</f>
        <v>120</v>
      </c>
      <c r="B122" s="19">
        <f t="shared" si="2"/>
        <v>0</v>
      </c>
      <c r="C122" s="19">
        <f t="shared" si="3"/>
        <v>0</v>
      </c>
      <c r="D122" s="19">
        <f>Monthly_payment($B$1,$D$1,$B$3)*'PSA&amp;CPR（function) '!N122</f>
        <v>0</v>
      </c>
      <c r="E122" s="19">
        <f>Principle_portion_of_payment($B$1,$D$1,A122,$B$3)*'PSA&amp;CPR（function) '!N122</f>
        <v>0</v>
      </c>
      <c r="F122" s="19">
        <f>Interest_portion_of_payment($B$1,$D$1,A122,$B$3)*'PSA&amp;CPR（function) '!N122</f>
        <v>0</v>
      </c>
      <c r="G122" s="19">
        <f>(B122-E122)*'PSA&amp;CPR（function) '!F123</f>
        <v>0</v>
      </c>
      <c r="H122" s="19">
        <f>Remaining_balance($B$1,$D$1,A122,$B$3)*'PSA&amp;CPR（function) '!N123</f>
        <v>0</v>
      </c>
    </row>
    <row r="123" spans="1:8">
      <c r="A123">
        <f>'PSA&amp;CPR'!A123</f>
        <v>121</v>
      </c>
      <c r="B123" s="19">
        <f t="shared" si="2"/>
        <v>0</v>
      </c>
      <c r="C123" s="19">
        <f t="shared" si="3"/>
        <v>0</v>
      </c>
      <c r="D123" s="19">
        <f>Monthly_payment($B$1,$D$1,$B$3)*'PSA&amp;CPR（function) '!N123</f>
        <v>0</v>
      </c>
      <c r="E123" s="19">
        <f>Principle_portion_of_payment($B$1,$D$1,A123,$B$3)*'PSA&amp;CPR（function) '!N123</f>
        <v>0</v>
      </c>
      <c r="F123" s="19">
        <f>Interest_portion_of_payment($B$1,$D$1,A123,$B$3)*'PSA&amp;CPR（function) '!N123</f>
        <v>0</v>
      </c>
      <c r="G123" s="19">
        <f>(B123-E123)*'PSA&amp;CPR（function) '!F124</f>
        <v>0</v>
      </c>
      <c r="H123" s="19">
        <f>Remaining_balance($B$1,$D$1,A123,$B$3)*'PSA&amp;CPR（function) '!N124</f>
        <v>0</v>
      </c>
    </row>
    <row r="124" spans="1:8">
      <c r="A124">
        <f>'PSA&amp;CPR'!A124</f>
        <v>122</v>
      </c>
      <c r="B124" s="19">
        <f t="shared" si="2"/>
        <v>0</v>
      </c>
      <c r="C124" s="19">
        <f t="shared" si="3"/>
        <v>0</v>
      </c>
      <c r="D124" s="19">
        <f>Monthly_payment($B$1,$D$1,$B$3)*'PSA&amp;CPR（function) '!N124</f>
        <v>0</v>
      </c>
      <c r="E124" s="19">
        <f>Principle_portion_of_payment($B$1,$D$1,A124,$B$3)*'PSA&amp;CPR（function) '!N124</f>
        <v>0</v>
      </c>
      <c r="F124" s="19">
        <f>Interest_portion_of_payment($B$1,$D$1,A124,$B$3)*'PSA&amp;CPR（function) '!N124</f>
        <v>0</v>
      </c>
      <c r="G124" s="19">
        <f>(B124-E124)*'PSA&amp;CPR（function) '!F125</f>
        <v>0</v>
      </c>
      <c r="H124" s="19">
        <f>Remaining_balance($B$1,$D$1,A124,$B$3)*'PSA&amp;CPR（function) '!N125</f>
        <v>0</v>
      </c>
    </row>
    <row r="125" spans="1:8">
      <c r="A125">
        <f>'PSA&amp;CPR'!A125</f>
        <v>123</v>
      </c>
      <c r="B125" s="19">
        <f t="shared" si="2"/>
        <v>0</v>
      </c>
      <c r="C125" s="19">
        <f t="shared" si="3"/>
        <v>0</v>
      </c>
      <c r="D125" s="19">
        <f>Monthly_payment($B$1,$D$1,$B$3)*'PSA&amp;CPR（function) '!N125</f>
        <v>0</v>
      </c>
      <c r="E125" s="19">
        <f>Principle_portion_of_payment($B$1,$D$1,A125,$B$3)*'PSA&amp;CPR（function) '!N125</f>
        <v>0</v>
      </c>
      <c r="F125" s="19">
        <f>Interest_portion_of_payment($B$1,$D$1,A125,$B$3)*'PSA&amp;CPR（function) '!N125</f>
        <v>0</v>
      </c>
      <c r="G125" s="19">
        <f>(B125-E125)*'PSA&amp;CPR（function) '!F126</f>
        <v>0</v>
      </c>
      <c r="H125" s="19">
        <f>Remaining_balance($B$1,$D$1,A125,$B$3)*'PSA&amp;CPR（function) '!N126</f>
        <v>0</v>
      </c>
    </row>
    <row r="126" spans="1:8">
      <c r="A126">
        <f>'PSA&amp;CPR'!A126</f>
        <v>124</v>
      </c>
      <c r="B126" s="19">
        <f t="shared" si="2"/>
        <v>0</v>
      </c>
      <c r="C126" s="19">
        <f t="shared" si="3"/>
        <v>0</v>
      </c>
      <c r="D126" s="19">
        <f>Monthly_payment($B$1,$D$1,$B$3)*'PSA&amp;CPR（function) '!N126</f>
        <v>0</v>
      </c>
      <c r="E126" s="19">
        <f>Principle_portion_of_payment($B$1,$D$1,A126,$B$3)*'PSA&amp;CPR（function) '!N126</f>
        <v>0</v>
      </c>
      <c r="F126" s="19">
        <f>Interest_portion_of_payment($B$1,$D$1,A126,$B$3)*'PSA&amp;CPR（function) '!N126</f>
        <v>0</v>
      </c>
      <c r="G126" s="19">
        <f>(B126-E126)*'PSA&amp;CPR（function) '!F127</f>
        <v>0</v>
      </c>
      <c r="H126" s="19">
        <f>Remaining_balance($B$1,$D$1,A126,$B$3)*'PSA&amp;CPR（function) '!N127</f>
        <v>0</v>
      </c>
    </row>
    <row r="127" spans="1:8">
      <c r="A127">
        <f>'PSA&amp;CPR'!A127</f>
        <v>125</v>
      </c>
      <c r="B127" s="19">
        <f t="shared" si="2"/>
        <v>0</v>
      </c>
      <c r="C127" s="19">
        <f t="shared" si="3"/>
        <v>0</v>
      </c>
      <c r="D127" s="19">
        <f>Monthly_payment($B$1,$D$1,$B$3)*'PSA&amp;CPR（function) '!N127</f>
        <v>0</v>
      </c>
      <c r="E127" s="19">
        <f>Principle_portion_of_payment($B$1,$D$1,A127,$B$3)*'PSA&amp;CPR（function) '!N127</f>
        <v>0</v>
      </c>
      <c r="F127" s="19">
        <f>Interest_portion_of_payment($B$1,$D$1,A127,$B$3)*'PSA&amp;CPR（function) '!N127</f>
        <v>0</v>
      </c>
      <c r="G127" s="19">
        <f>(B127-E127)*'PSA&amp;CPR（function) '!F128</f>
        <v>0</v>
      </c>
      <c r="H127" s="19">
        <f>Remaining_balance($B$1,$D$1,A127,$B$3)*'PSA&amp;CPR（function) '!N128</f>
        <v>0</v>
      </c>
    </row>
    <row r="128" spans="1:8">
      <c r="A128">
        <f>'PSA&amp;CPR'!A128</f>
        <v>126</v>
      </c>
      <c r="B128" s="19">
        <f t="shared" si="2"/>
        <v>0</v>
      </c>
      <c r="C128" s="19">
        <f t="shared" si="3"/>
        <v>0</v>
      </c>
      <c r="D128" s="19">
        <f>Monthly_payment($B$1,$D$1,$B$3)*'PSA&amp;CPR（function) '!N128</f>
        <v>0</v>
      </c>
      <c r="E128" s="19">
        <f>Principle_portion_of_payment($B$1,$D$1,A128,$B$3)*'PSA&amp;CPR（function) '!N128</f>
        <v>0</v>
      </c>
      <c r="F128" s="19">
        <f>Interest_portion_of_payment($B$1,$D$1,A128,$B$3)*'PSA&amp;CPR（function) '!N128</f>
        <v>0</v>
      </c>
      <c r="G128" s="19">
        <f>(B128-E128)*'PSA&amp;CPR（function) '!F129</f>
        <v>0</v>
      </c>
      <c r="H128" s="19">
        <f>Remaining_balance($B$1,$D$1,A128,$B$3)*'PSA&amp;CPR（function) '!N129</f>
        <v>0</v>
      </c>
    </row>
    <row r="129" spans="1:8">
      <c r="A129">
        <f>'PSA&amp;CPR'!A129</f>
        <v>127</v>
      </c>
      <c r="B129" s="19">
        <f t="shared" si="2"/>
        <v>0</v>
      </c>
      <c r="C129" s="19">
        <f t="shared" si="3"/>
        <v>0</v>
      </c>
      <c r="D129" s="19">
        <f>Monthly_payment($B$1,$D$1,$B$3)*'PSA&amp;CPR（function) '!N129</f>
        <v>0</v>
      </c>
      <c r="E129" s="19">
        <f>Principle_portion_of_payment($B$1,$D$1,A129,$B$3)*'PSA&amp;CPR（function) '!N129</f>
        <v>0</v>
      </c>
      <c r="F129" s="19">
        <f>Interest_portion_of_payment($B$1,$D$1,A129,$B$3)*'PSA&amp;CPR（function) '!N129</f>
        <v>0</v>
      </c>
      <c r="G129" s="19">
        <f>(B129-E129)*'PSA&amp;CPR（function) '!F130</f>
        <v>0</v>
      </c>
      <c r="H129" s="19">
        <f>Remaining_balance($B$1,$D$1,A129,$B$3)*'PSA&amp;CPR（function) '!N130</f>
        <v>0</v>
      </c>
    </row>
    <row r="130" spans="1:8">
      <c r="A130">
        <f>'PSA&amp;CPR'!A130</f>
        <v>128</v>
      </c>
      <c r="B130" s="19">
        <f t="shared" si="2"/>
        <v>0</v>
      </c>
      <c r="C130" s="19">
        <f t="shared" si="3"/>
        <v>0</v>
      </c>
      <c r="D130" s="19">
        <f>Monthly_payment($B$1,$D$1,$B$3)*'PSA&amp;CPR（function) '!N130</f>
        <v>0</v>
      </c>
      <c r="E130" s="19">
        <f>Principle_portion_of_payment($B$1,$D$1,A130,$B$3)*'PSA&amp;CPR（function) '!N130</f>
        <v>0</v>
      </c>
      <c r="F130" s="19">
        <f>Interest_portion_of_payment($B$1,$D$1,A130,$B$3)*'PSA&amp;CPR（function) '!N130</f>
        <v>0</v>
      </c>
      <c r="G130" s="19">
        <f>(B130-E130)*'PSA&amp;CPR（function) '!F131</f>
        <v>0</v>
      </c>
      <c r="H130" s="19">
        <f>Remaining_balance($B$1,$D$1,A130,$B$3)*'PSA&amp;CPR（function) '!N131</f>
        <v>0</v>
      </c>
    </row>
    <row r="131" spans="1:8">
      <c r="A131">
        <f>'PSA&amp;CPR'!A131</f>
        <v>129</v>
      </c>
      <c r="B131" s="19">
        <f t="shared" si="2"/>
        <v>0</v>
      </c>
      <c r="C131" s="19">
        <f t="shared" si="3"/>
        <v>0</v>
      </c>
      <c r="D131" s="19">
        <f>Monthly_payment($B$1,$D$1,$B$3)*'PSA&amp;CPR（function) '!N131</f>
        <v>0</v>
      </c>
      <c r="E131" s="19">
        <f>Principle_portion_of_payment($B$1,$D$1,A131,$B$3)*'PSA&amp;CPR（function) '!N131</f>
        <v>0</v>
      </c>
      <c r="F131" s="19">
        <f>Interest_portion_of_payment($B$1,$D$1,A131,$B$3)*'PSA&amp;CPR（function) '!N131</f>
        <v>0</v>
      </c>
      <c r="G131" s="19">
        <f>(B131-E131)*'PSA&amp;CPR（function) '!F132</f>
        <v>0</v>
      </c>
      <c r="H131" s="19">
        <f>Remaining_balance($B$1,$D$1,A131,$B$3)*'PSA&amp;CPR（function) '!N132</f>
        <v>0</v>
      </c>
    </row>
    <row r="132" spans="1:8">
      <c r="A132">
        <f>'PSA&amp;CPR'!A132</f>
        <v>130</v>
      </c>
      <c r="B132" s="19">
        <f t="shared" si="2"/>
        <v>0</v>
      </c>
      <c r="C132" s="19">
        <f t="shared" si="3"/>
        <v>0</v>
      </c>
      <c r="D132" s="19">
        <f>Monthly_payment($B$1,$D$1,$B$3)*'PSA&amp;CPR（function) '!N132</f>
        <v>0</v>
      </c>
      <c r="E132" s="19">
        <f>Principle_portion_of_payment($B$1,$D$1,A132,$B$3)*'PSA&amp;CPR（function) '!N132</f>
        <v>0</v>
      </c>
      <c r="F132" s="19">
        <f>Interest_portion_of_payment($B$1,$D$1,A132,$B$3)*'PSA&amp;CPR（function) '!N132</f>
        <v>0</v>
      </c>
      <c r="G132" s="19">
        <f>(B132-E132)*'PSA&amp;CPR（function) '!F133</f>
        <v>0</v>
      </c>
      <c r="H132" s="19">
        <f>Remaining_balance($B$1,$D$1,A132,$B$3)*'PSA&amp;CPR（function) '!N133</f>
        <v>0</v>
      </c>
    </row>
    <row r="133" spans="1:8">
      <c r="A133">
        <f>'PSA&amp;CPR'!A133</f>
        <v>131</v>
      </c>
      <c r="B133" s="19">
        <f t="shared" ref="B133:B196" si="4">H132</f>
        <v>0</v>
      </c>
      <c r="C133" s="19">
        <f t="shared" ref="C133:C196" si="5">B133*($B$1/1200)</f>
        <v>0</v>
      </c>
      <c r="D133" s="19">
        <f>Monthly_payment($B$1,$D$1,$B$3)*'PSA&amp;CPR（function) '!N133</f>
        <v>0</v>
      </c>
      <c r="E133" s="19">
        <f>Principle_portion_of_payment($B$1,$D$1,A133,$B$3)*'PSA&amp;CPR（function) '!N133</f>
        <v>0</v>
      </c>
      <c r="F133" s="19">
        <f>Interest_portion_of_payment($B$1,$D$1,A133,$B$3)*'PSA&amp;CPR（function) '!N133</f>
        <v>0</v>
      </c>
      <c r="G133" s="19">
        <f>(B133-E133)*'PSA&amp;CPR（function) '!F134</f>
        <v>0</v>
      </c>
      <c r="H133" s="19">
        <f>Remaining_balance($B$1,$D$1,A133,$B$3)*'PSA&amp;CPR（function) '!N134</f>
        <v>0</v>
      </c>
    </row>
    <row r="134" spans="1:8">
      <c r="A134">
        <f>'PSA&amp;CPR'!A134</f>
        <v>132</v>
      </c>
      <c r="B134" s="19">
        <f t="shared" si="4"/>
        <v>0</v>
      </c>
      <c r="C134" s="19">
        <f t="shared" si="5"/>
        <v>0</v>
      </c>
      <c r="D134" s="19">
        <f>Monthly_payment($B$1,$D$1,$B$3)*'PSA&amp;CPR（function) '!N134</f>
        <v>0</v>
      </c>
      <c r="E134" s="19">
        <f>Principle_portion_of_payment($B$1,$D$1,A134,$B$3)*'PSA&amp;CPR（function) '!N134</f>
        <v>0</v>
      </c>
      <c r="F134" s="19">
        <f>Interest_portion_of_payment($B$1,$D$1,A134,$B$3)*'PSA&amp;CPR（function) '!N134</f>
        <v>0</v>
      </c>
      <c r="G134" s="19">
        <f>(B134-E134)*'PSA&amp;CPR（function) '!F135</f>
        <v>0</v>
      </c>
      <c r="H134" s="19">
        <f>Remaining_balance($B$1,$D$1,A134,$B$3)*'PSA&amp;CPR（function) '!N135</f>
        <v>0</v>
      </c>
    </row>
    <row r="135" spans="1:8">
      <c r="A135">
        <f>'PSA&amp;CPR'!A135</f>
        <v>133</v>
      </c>
      <c r="B135" s="19">
        <f t="shared" si="4"/>
        <v>0</v>
      </c>
      <c r="C135" s="19">
        <f t="shared" si="5"/>
        <v>0</v>
      </c>
      <c r="D135" s="19">
        <f>Monthly_payment($B$1,$D$1,$B$3)*'PSA&amp;CPR（function) '!N135</f>
        <v>0</v>
      </c>
      <c r="E135" s="19">
        <f>Principle_portion_of_payment($B$1,$D$1,A135,$B$3)*'PSA&amp;CPR（function) '!N135</f>
        <v>0</v>
      </c>
      <c r="F135" s="19">
        <f>Interest_portion_of_payment($B$1,$D$1,A135,$B$3)*'PSA&amp;CPR（function) '!N135</f>
        <v>0</v>
      </c>
      <c r="G135" s="19">
        <f>(B135-E135)*'PSA&amp;CPR（function) '!F136</f>
        <v>0</v>
      </c>
      <c r="H135" s="19">
        <f>Remaining_balance($B$1,$D$1,A135,$B$3)*'PSA&amp;CPR（function) '!N136</f>
        <v>0</v>
      </c>
    </row>
    <row r="136" spans="1:8">
      <c r="A136">
        <f>'PSA&amp;CPR'!A136</f>
        <v>134</v>
      </c>
      <c r="B136" s="19">
        <f t="shared" si="4"/>
        <v>0</v>
      </c>
      <c r="C136" s="19">
        <f t="shared" si="5"/>
        <v>0</v>
      </c>
      <c r="D136" s="19">
        <f>Monthly_payment($B$1,$D$1,$B$3)*'PSA&amp;CPR（function) '!N136</f>
        <v>0</v>
      </c>
      <c r="E136" s="19">
        <f>Principle_portion_of_payment($B$1,$D$1,A136,$B$3)*'PSA&amp;CPR（function) '!N136</f>
        <v>0</v>
      </c>
      <c r="F136" s="19">
        <f>Interest_portion_of_payment($B$1,$D$1,A136,$B$3)*'PSA&amp;CPR（function) '!N136</f>
        <v>0</v>
      </c>
      <c r="G136" s="19">
        <f>(B136-E136)*'PSA&amp;CPR（function) '!F137</f>
        <v>0</v>
      </c>
      <c r="H136" s="19">
        <f>Remaining_balance($B$1,$D$1,A136,$B$3)*'PSA&amp;CPR（function) '!N137</f>
        <v>0</v>
      </c>
    </row>
    <row r="137" spans="1:8">
      <c r="A137">
        <f>'PSA&amp;CPR'!A137</f>
        <v>135</v>
      </c>
      <c r="B137" s="19">
        <f t="shared" si="4"/>
        <v>0</v>
      </c>
      <c r="C137" s="19">
        <f t="shared" si="5"/>
        <v>0</v>
      </c>
      <c r="D137" s="19">
        <f>Monthly_payment($B$1,$D$1,$B$3)*'PSA&amp;CPR（function) '!N137</f>
        <v>0</v>
      </c>
      <c r="E137" s="19">
        <f>Principle_portion_of_payment($B$1,$D$1,A137,$B$3)*'PSA&amp;CPR（function) '!N137</f>
        <v>0</v>
      </c>
      <c r="F137" s="19">
        <f>Interest_portion_of_payment($B$1,$D$1,A137,$B$3)*'PSA&amp;CPR（function) '!N137</f>
        <v>0</v>
      </c>
      <c r="G137" s="19">
        <f>(B137-E137)*'PSA&amp;CPR（function) '!F138</f>
        <v>0</v>
      </c>
      <c r="H137" s="19">
        <f>Remaining_balance($B$1,$D$1,A137,$B$3)*'PSA&amp;CPR（function) '!N138</f>
        <v>0</v>
      </c>
    </row>
    <row r="138" spans="1:8">
      <c r="A138">
        <f>'PSA&amp;CPR'!A138</f>
        <v>136</v>
      </c>
      <c r="B138" s="19">
        <f t="shared" si="4"/>
        <v>0</v>
      </c>
      <c r="C138" s="19">
        <f t="shared" si="5"/>
        <v>0</v>
      </c>
      <c r="D138" s="19">
        <f>Monthly_payment($B$1,$D$1,$B$3)*'PSA&amp;CPR（function) '!N138</f>
        <v>0</v>
      </c>
      <c r="E138" s="19">
        <f>Principle_portion_of_payment($B$1,$D$1,A138,$B$3)*'PSA&amp;CPR（function) '!N138</f>
        <v>0</v>
      </c>
      <c r="F138" s="19">
        <f>Interest_portion_of_payment($B$1,$D$1,A138,$B$3)*'PSA&amp;CPR（function) '!N138</f>
        <v>0</v>
      </c>
      <c r="G138" s="19">
        <f>(B138-E138)*'PSA&amp;CPR（function) '!F139</f>
        <v>0</v>
      </c>
      <c r="H138" s="19">
        <f>Remaining_balance($B$1,$D$1,A138,$B$3)*'PSA&amp;CPR（function) '!N139</f>
        <v>0</v>
      </c>
    </row>
    <row r="139" spans="1:8">
      <c r="A139">
        <f>'PSA&amp;CPR'!A139</f>
        <v>137</v>
      </c>
      <c r="B139" s="19">
        <f t="shared" si="4"/>
        <v>0</v>
      </c>
      <c r="C139" s="19">
        <f t="shared" si="5"/>
        <v>0</v>
      </c>
      <c r="D139" s="19">
        <f>Monthly_payment($B$1,$D$1,$B$3)*'PSA&amp;CPR（function) '!N139</f>
        <v>0</v>
      </c>
      <c r="E139" s="19">
        <f>Principle_portion_of_payment($B$1,$D$1,A139,$B$3)*'PSA&amp;CPR（function) '!N139</f>
        <v>0</v>
      </c>
      <c r="F139" s="19">
        <f>Interest_portion_of_payment($B$1,$D$1,A139,$B$3)*'PSA&amp;CPR（function) '!N139</f>
        <v>0</v>
      </c>
      <c r="G139" s="19">
        <f>(B139-E139)*'PSA&amp;CPR（function) '!F140</f>
        <v>0</v>
      </c>
      <c r="H139" s="19">
        <f>Remaining_balance($B$1,$D$1,A139,$B$3)*'PSA&amp;CPR（function) '!N140</f>
        <v>0</v>
      </c>
    </row>
    <row r="140" spans="1:8">
      <c r="A140">
        <f>'PSA&amp;CPR'!A140</f>
        <v>138</v>
      </c>
      <c r="B140" s="19">
        <f t="shared" si="4"/>
        <v>0</v>
      </c>
      <c r="C140" s="19">
        <f t="shared" si="5"/>
        <v>0</v>
      </c>
      <c r="D140" s="19">
        <f>Monthly_payment($B$1,$D$1,$B$3)*'PSA&amp;CPR（function) '!N140</f>
        <v>0</v>
      </c>
      <c r="E140" s="19">
        <f>Principle_portion_of_payment($B$1,$D$1,A140,$B$3)*'PSA&amp;CPR（function) '!N140</f>
        <v>0</v>
      </c>
      <c r="F140" s="19">
        <f>Interest_portion_of_payment($B$1,$D$1,A140,$B$3)*'PSA&amp;CPR（function) '!N140</f>
        <v>0</v>
      </c>
      <c r="G140" s="19">
        <f>(B140-E140)*'PSA&amp;CPR（function) '!F141</f>
        <v>0</v>
      </c>
      <c r="H140" s="19">
        <f>Remaining_balance($B$1,$D$1,A140,$B$3)*'PSA&amp;CPR（function) '!N141</f>
        <v>0</v>
      </c>
    </row>
    <row r="141" spans="1:8">
      <c r="A141">
        <f>'PSA&amp;CPR'!A141</f>
        <v>139</v>
      </c>
      <c r="B141" s="19">
        <f t="shared" si="4"/>
        <v>0</v>
      </c>
      <c r="C141" s="19">
        <f t="shared" si="5"/>
        <v>0</v>
      </c>
      <c r="D141" s="19">
        <f>Monthly_payment($B$1,$D$1,$B$3)*'PSA&amp;CPR（function) '!N141</f>
        <v>0</v>
      </c>
      <c r="E141" s="19">
        <f>Principle_portion_of_payment($B$1,$D$1,A141,$B$3)*'PSA&amp;CPR（function) '!N141</f>
        <v>0</v>
      </c>
      <c r="F141" s="19">
        <f>Interest_portion_of_payment($B$1,$D$1,A141,$B$3)*'PSA&amp;CPR（function) '!N141</f>
        <v>0</v>
      </c>
      <c r="G141" s="19">
        <f>(B141-E141)*'PSA&amp;CPR（function) '!F142</f>
        <v>0</v>
      </c>
      <c r="H141" s="19">
        <f>Remaining_balance($B$1,$D$1,A141,$B$3)*'PSA&amp;CPR（function) '!N142</f>
        <v>0</v>
      </c>
    </row>
    <row r="142" spans="1:8">
      <c r="A142">
        <f>'PSA&amp;CPR'!A142</f>
        <v>140</v>
      </c>
      <c r="B142" s="19">
        <f t="shared" si="4"/>
        <v>0</v>
      </c>
      <c r="C142" s="19">
        <f t="shared" si="5"/>
        <v>0</v>
      </c>
      <c r="D142" s="19">
        <f>Monthly_payment($B$1,$D$1,$B$3)*'PSA&amp;CPR（function) '!N142</f>
        <v>0</v>
      </c>
      <c r="E142" s="19">
        <f>Principle_portion_of_payment($B$1,$D$1,A142,$B$3)*'PSA&amp;CPR（function) '!N142</f>
        <v>0</v>
      </c>
      <c r="F142" s="19">
        <f>Interest_portion_of_payment($B$1,$D$1,A142,$B$3)*'PSA&amp;CPR（function) '!N142</f>
        <v>0</v>
      </c>
      <c r="G142" s="19">
        <f>(B142-E142)*'PSA&amp;CPR（function) '!F143</f>
        <v>0</v>
      </c>
      <c r="H142" s="19">
        <f>Remaining_balance($B$1,$D$1,A142,$B$3)*'PSA&amp;CPR（function) '!N143</f>
        <v>0</v>
      </c>
    </row>
    <row r="143" spans="1:8">
      <c r="A143">
        <f>'PSA&amp;CPR'!A143</f>
        <v>141</v>
      </c>
      <c r="B143" s="19">
        <f t="shared" si="4"/>
        <v>0</v>
      </c>
      <c r="C143" s="19">
        <f t="shared" si="5"/>
        <v>0</v>
      </c>
      <c r="D143" s="19">
        <f>Monthly_payment($B$1,$D$1,$B$3)*'PSA&amp;CPR（function) '!N143</f>
        <v>0</v>
      </c>
      <c r="E143" s="19">
        <f>Principle_portion_of_payment($B$1,$D$1,A143,$B$3)*'PSA&amp;CPR（function) '!N143</f>
        <v>0</v>
      </c>
      <c r="F143" s="19">
        <f>Interest_portion_of_payment($B$1,$D$1,A143,$B$3)*'PSA&amp;CPR（function) '!N143</f>
        <v>0</v>
      </c>
      <c r="G143" s="19">
        <f>(B143-E143)*'PSA&amp;CPR（function) '!F144</f>
        <v>0</v>
      </c>
      <c r="H143" s="19">
        <f>Remaining_balance($B$1,$D$1,A143,$B$3)*'PSA&amp;CPR（function) '!N144</f>
        <v>0</v>
      </c>
    </row>
    <row r="144" spans="1:8">
      <c r="A144">
        <f>'PSA&amp;CPR'!A144</f>
        <v>142</v>
      </c>
      <c r="B144" s="19">
        <f t="shared" si="4"/>
        <v>0</v>
      </c>
      <c r="C144" s="19">
        <f t="shared" si="5"/>
        <v>0</v>
      </c>
      <c r="D144" s="19">
        <f>Monthly_payment($B$1,$D$1,$B$3)*'PSA&amp;CPR（function) '!N144</f>
        <v>0</v>
      </c>
      <c r="E144" s="19">
        <f>Principle_portion_of_payment($B$1,$D$1,A144,$B$3)*'PSA&amp;CPR（function) '!N144</f>
        <v>0</v>
      </c>
      <c r="F144" s="19">
        <f>Interest_portion_of_payment($B$1,$D$1,A144,$B$3)*'PSA&amp;CPR（function) '!N144</f>
        <v>0</v>
      </c>
      <c r="G144" s="19">
        <f>(B144-E144)*'PSA&amp;CPR（function) '!F145</f>
        <v>0</v>
      </c>
      <c r="H144" s="19">
        <f>Remaining_balance($B$1,$D$1,A144,$B$3)*'PSA&amp;CPR（function) '!N145</f>
        <v>0</v>
      </c>
    </row>
    <row r="145" spans="1:8">
      <c r="A145">
        <f>'PSA&amp;CPR'!A145</f>
        <v>143</v>
      </c>
      <c r="B145" s="19">
        <f t="shared" si="4"/>
        <v>0</v>
      </c>
      <c r="C145" s="19">
        <f t="shared" si="5"/>
        <v>0</v>
      </c>
      <c r="D145" s="19">
        <f>Monthly_payment($B$1,$D$1,$B$3)*'PSA&amp;CPR（function) '!N145</f>
        <v>0</v>
      </c>
      <c r="E145" s="19">
        <f>Principle_portion_of_payment($B$1,$D$1,A145,$B$3)*'PSA&amp;CPR（function) '!N145</f>
        <v>0</v>
      </c>
      <c r="F145" s="19">
        <f>Interest_portion_of_payment($B$1,$D$1,A145,$B$3)*'PSA&amp;CPR（function) '!N145</f>
        <v>0</v>
      </c>
      <c r="G145" s="19">
        <f>(B145-E145)*'PSA&amp;CPR（function) '!F146</f>
        <v>0</v>
      </c>
      <c r="H145" s="19">
        <f>Remaining_balance($B$1,$D$1,A145,$B$3)*'PSA&amp;CPR（function) '!N146</f>
        <v>0</v>
      </c>
    </row>
    <row r="146" spans="1:8">
      <c r="A146">
        <f>'PSA&amp;CPR'!A146</f>
        <v>144</v>
      </c>
      <c r="B146" s="19">
        <f t="shared" si="4"/>
        <v>0</v>
      </c>
      <c r="C146" s="19">
        <f t="shared" si="5"/>
        <v>0</v>
      </c>
      <c r="D146" s="19">
        <f>Monthly_payment($B$1,$D$1,$B$3)*'PSA&amp;CPR（function) '!N146</f>
        <v>0</v>
      </c>
      <c r="E146" s="19">
        <f>Principle_portion_of_payment($B$1,$D$1,A146,$B$3)*'PSA&amp;CPR（function) '!N146</f>
        <v>0</v>
      </c>
      <c r="F146" s="19">
        <f>Interest_portion_of_payment($B$1,$D$1,A146,$B$3)*'PSA&amp;CPR（function) '!N146</f>
        <v>0</v>
      </c>
      <c r="G146" s="19">
        <f>(B146-E146)*'PSA&amp;CPR（function) '!F147</f>
        <v>0</v>
      </c>
      <c r="H146" s="19">
        <f>Remaining_balance($B$1,$D$1,A146,$B$3)*'PSA&amp;CPR（function) '!N147</f>
        <v>0</v>
      </c>
    </row>
    <row r="147" spans="1:8">
      <c r="A147">
        <f>'PSA&amp;CPR'!A147</f>
        <v>145</v>
      </c>
      <c r="B147" s="19">
        <f t="shared" si="4"/>
        <v>0</v>
      </c>
      <c r="C147" s="19">
        <f t="shared" si="5"/>
        <v>0</v>
      </c>
      <c r="D147" s="19">
        <f>Monthly_payment($B$1,$D$1,$B$3)*'PSA&amp;CPR（function) '!N147</f>
        <v>0</v>
      </c>
      <c r="E147" s="19">
        <f>Principle_portion_of_payment($B$1,$D$1,A147,$B$3)*'PSA&amp;CPR（function) '!N147</f>
        <v>0</v>
      </c>
      <c r="F147" s="19">
        <f>Interest_portion_of_payment($B$1,$D$1,A147,$B$3)*'PSA&amp;CPR（function) '!N147</f>
        <v>0</v>
      </c>
      <c r="G147" s="19">
        <f>(B147-E147)*'PSA&amp;CPR（function) '!F148</f>
        <v>0</v>
      </c>
      <c r="H147" s="19">
        <f>Remaining_balance($B$1,$D$1,A147,$B$3)*'PSA&amp;CPR（function) '!N148</f>
        <v>0</v>
      </c>
    </row>
    <row r="148" spans="1:8">
      <c r="A148">
        <f>'PSA&amp;CPR'!A148</f>
        <v>146</v>
      </c>
      <c r="B148" s="19">
        <f t="shared" si="4"/>
        <v>0</v>
      </c>
      <c r="C148" s="19">
        <f t="shared" si="5"/>
        <v>0</v>
      </c>
      <c r="D148" s="19">
        <f>Monthly_payment($B$1,$D$1,$B$3)*'PSA&amp;CPR（function) '!N148</f>
        <v>0</v>
      </c>
      <c r="E148" s="19">
        <f>Principle_portion_of_payment($B$1,$D$1,A148,$B$3)*'PSA&amp;CPR（function) '!N148</f>
        <v>0</v>
      </c>
      <c r="F148" s="19">
        <f>Interest_portion_of_payment($B$1,$D$1,A148,$B$3)*'PSA&amp;CPR（function) '!N148</f>
        <v>0</v>
      </c>
      <c r="G148" s="19">
        <f>(B148-E148)*'PSA&amp;CPR（function) '!F149</f>
        <v>0</v>
      </c>
      <c r="H148" s="19">
        <f>Remaining_balance($B$1,$D$1,A148,$B$3)*'PSA&amp;CPR（function) '!N149</f>
        <v>0</v>
      </c>
    </row>
    <row r="149" spans="1:8">
      <c r="A149">
        <f>'PSA&amp;CPR'!A149</f>
        <v>147</v>
      </c>
      <c r="B149" s="19">
        <f t="shared" si="4"/>
        <v>0</v>
      </c>
      <c r="C149" s="19">
        <f t="shared" si="5"/>
        <v>0</v>
      </c>
      <c r="D149" s="19">
        <f>Monthly_payment($B$1,$D$1,$B$3)*'PSA&amp;CPR（function) '!N149</f>
        <v>0</v>
      </c>
      <c r="E149" s="19">
        <f>Principle_portion_of_payment($B$1,$D$1,A149,$B$3)*'PSA&amp;CPR（function) '!N149</f>
        <v>0</v>
      </c>
      <c r="F149" s="19">
        <f>Interest_portion_of_payment($B$1,$D$1,A149,$B$3)*'PSA&amp;CPR（function) '!N149</f>
        <v>0</v>
      </c>
      <c r="G149" s="19">
        <f>(B149-E149)*'PSA&amp;CPR（function) '!F150</f>
        <v>0</v>
      </c>
      <c r="H149" s="19">
        <f>Remaining_balance($B$1,$D$1,A149,$B$3)*'PSA&amp;CPR（function) '!N150</f>
        <v>0</v>
      </c>
    </row>
    <row r="150" spans="1:8">
      <c r="A150">
        <f>'PSA&amp;CPR'!A150</f>
        <v>148</v>
      </c>
      <c r="B150" s="19">
        <f t="shared" si="4"/>
        <v>0</v>
      </c>
      <c r="C150" s="19">
        <f t="shared" si="5"/>
        <v>0</v>
      </c>
      <c r="D150" s="19">
        <f>Monthly_payment($B$1,$D$1,$B$3)*'PSA&amp;CPR（function) '!N150</f>
        <v>0</v>
      </c>
      <c r="E150" s="19">
        <f>Principle_portion_of_payment($B$1,$D$1,A150,$B$3)*'PSA&amp;CPR（function) '!N150</f>
        <v>0</v>
      </c>
      <c r="F150" s="19">
        <f>Interest_portion_of_payment($B$1,$D$1,A150,$B$3)*'PSA&amp;CPR（function) '!N150</f>
        <v>0</v>
      </c>
      <c r="G150" s="19">
        <f>(B150-E150)*'PSA&amp;CPR（function) '!F151</f>
        <v>0</v>
      </c>
      <c r="H150" s="19">
        <f>Remaining_balance($B$1,$D$1,A150,$B$3)*'PSA&amp;CPR（function) '!N151</f>
        <v>0</v>
      </c>
    </row>
    <row r="151" spans="1:8">
      <c r="A151">
        <f>'PSA&amp;CPR'!A151</f>
        <v>149</v>
      </c>
      <c r="B151" s="19">
        <f t="shared" si="4"/>
        <v>0</v>
      </c>
      <c r="C151" s="19">
        <f t="shared" si="5"/>
        <v>0</v>
      </c>
      <c r="D151" s="19">
        <f>Monthly_payment($B$1,$D$1,$B$3)*'PSA&amp;CPR（function) '!N151</f>
        <v>0</v>
      </c>
      <c r="E151" s="19">
        <f>Principle_portion_of_payment($B$1,$D$1,A151,$B$3)*'PSA&amp;CPR（function) '!N151</f>
        <v>0</v>
      </c>
      <c r="F151" s="19">
        <f>Interest_portion_of_payment($B$1,$D$1,A151,$B$3)*'PSA&amp;CPR（function) '!N151</f>
        <v>0</v>
      </c>
      <c r="G151" s="19">
        <f>(B151-E151)*'PSA&amp;CPR（function) '!F152</f>
        <v>0</v>
      </c>
      <c r="H151" s="19">
        <f>Remaining_balance($B$1,$D$1,A151,$B$3)*'PSA&amp;CPR（function) '!N152</f>
        <v>0</v>
      </c>
    </row>
    <row r="152" spans="1:8">
      <c r="A152">
        <f>'PSA&amp;CPR'!A152</f>
        <v>150</v>
      </c>
      <c r="B152" s="19">
        <f t="shared" si="4"/>
        <v>0</v>
      </c>
      <c r="C152" s="19">
        <f t="shared" si="5"/>
        <v>0</v>
      </c>
      <c r="D152" s="19">
        <f>Monthly_payment($B$1,$D$1,$B$3)*'PSA&amp;CPR（function) '!N152</f>
        <v>0</v>
      </c>
      <c r="E152" s="19">
        <f>Principle_portion_of_payment($B$1,$D$1,A152,$B$3)*'PSA&amp;CPR（function) '!N152</f>
        <v>0</v>
      </c>
      <c r="F152" s="19">
        <f>Interest_portion_of_payment($B$1,$D$1,A152,$B$3)*'PSA&amp;CPR（function) '!N152</f>
        <v>0</v>
      </c>
      <c r="G152" s="19">
        <f>(B152-E152)*'PSA&amp;CPR（function) '!F153</f>
        <v>0</v>
      </c>
      <c r="H152" s="19">
        <f>Remaining_balance($B$1,$D$1,A152,$B$3)*'PSA&amp;CPR（function) '!N153</f>
        <v>0</v>
      </c>
    </row>
    <row r="153" spans="1:8">
      <c r="A153">
        <f>'PSA&amp;CPR'!A153</f>
        <v>151</v>
      </c>
      <c r="B153" s="19">
        <f t="shared" si="4"/>
        <v>0</v>
      </c>
      <c r="C153" s="19">
        <f t="shared" si="5"/>
        <v>0</v>
      </c>
      <c r="D153" s="19">
        <f>Monthly_payment($B$1,$D$1,$B$3)*'PSA&amp;CPR（function) '!N153</f>
        <v>0</v>
      </c>
      <c r="E153" s="19">
        <f>Principle_portion_of_payment($B$1,$D$1,A153,$B$3)*'PSA&amp;CPR（function) '!N153</f>
        <v>0</v>
      </c>
      <c r="F153" s="19">
        <f>Interest_portion_of_payment($B$1,$D$1,A153,$B$3)*'PSA&amp;CPR（function) '!N153</f>
        <v>0</v>
      </c>
      <c r="G153" s="19">
        <f>(B153-E153)*'PSA&amp;CPR（function) '!F154</f>
        <v>0</v>
      </c>
      <c r="H153" s="19">
        <f>Remaining_balance($B$1,$D$1,A153,$B$3)*'PSA&amp;CPR（function) '!N154</f>
        <v>0</v>
      </c>
    </row>
    <row r="154" spans="1:8">
      <c r="A154">
        <f>'PSA&amp;CPR'!A154</f>
        <v>152</v>
      </c>
      <c r="B154" s="19">
        <f t="shared" si="4"/>
        <v>0</v>
      </c>
      <c r="C154" s="19">
        <f t="shared" si="5"/>
        <v>0</v>
      </c>
      <c r="D154" s="19">
        <f>Monthly_payment($B$1,$D$1,$B$3)*'PSA&amp;CPR（function) '!N154</f>
        <v>0</v>
      </c>
      <c r="E154" s="19">
        <f>Principle_portion_of_payment($B$1,$D$1,A154,$B$3)*'PSA&amp;CPR（function) '!N154</f>
        <v>0</v>
      </c>
      <c r="F154" s="19">
        <f>Interest_portion_of_payment($B$1,$D$1,A154,$B$3)*'PSA&amp;CPR（function) '!N154</f>
        <v>0</v>
      </c>
      <c r="G154" s="19">
        <f>(B154-E154)*'PSA&amp;CPR（function) '!F155</f>
        <v>0</v>
      </c>
      <c r="H154" s="19">
        <f>Remaining_balance($B$1,$D$1,A154,$B$3)*'PSA&amp;CPR（function) '!N155</f>
        <v>0</v>
      </c>
    </row>
    <row r="155" spans="1:8">
      <c r="A155">
        <f>'PSA&amp;CPR'!A155</f>
        <v>153</v>
      </c>
      <c r="B155" s="19">
        <f t="shared" si="4"/>
        <v>0</v>
      </c>
      <c r="C155" s="19">
        <f t="shared" si="5"/>
        <v>0</v>
      </c>
      <c r="D155" s="19">
        <f>Monthly_payment($B$1,$D$1,$B$3)*'PSA&amp;CPR（function) '!N155</f>
        <v>0</v>
      </c>
      <c r="E155" s="19">
        <f>Principle_portion_of_payment($B$1,$D$1,A155,$B$3)*'PSA&amp;CPR（function) '!N155</f>
        <v>0</v>
      </c>
      <c r="F155" s="19">
        <f>Interest_portion_of_payment($B$1,$D$1,A155,$B$3)*'PSA&amp;CPR（function) '!N155</f>
        <v>0</v>
      </c>
      <c r="G155" s="19">
        <f>(B155-E155)*'PSA&amp;CPR（function) '!F156</f>
        <v>0</v>
      </c>
      <c r="H155" s="19">
        <f>Remaining_balance($B$1,$D$1,A155,$B$3)*'PSA&amp;CPR（function) '!N156</f>
        <v>0</v>
      </c>
    </row>
    <row r="156" spans="1:8">
      <c r="A156">
        <f>'PSA&amp;CPR'!A156</f>
        <v>154</v>
      </c>
      <c r="B156" s="19">
        <f t="shared" si="4"/>
        <v>0</v>
      </c>
      <c r="C156" s="19">
        <f t="shared" si="5"/>
        <v>0</v>
      </c>
      <c r="D156" s="19">
        <f>Monthly_payment($B$1,$D$1,$B$3)*'PSA&amp;CPR（function) '!N156</f>
        <v>0</v>
      </c>
      <c r="E156" s="19">
        <f>Principle_portion_of_payment($B$1,$D$1,A156,$B$3)*'PSA&amp;CPR（function) '!N156</f>
        <v>0</v>
      </c>
      <c r="F156" s="19">
        <f>Interest_portion_of_payment($B$1,$D$1,A156,$B$3)*'PSA&amp;CPR（function) '!N156</f>
        <v>0</v>
      </c>
      <c r="G156" s="19">
        <f>(B156-E156)*'PSA&amp;CPR（function) '!F157</f>
        <v>0</v>
      </c>
      <c r="H156" s="19">
        <f>Remaining_balance($B$1,$D$1,A156,$B$3)*'PSA&amp;CPR（function) '!N157</f>
        <v>0</v>
      </c>
    </row>
    <row r="157" spans="1:8">
      <c r="A157">
        <f>'PSA&amp;CPR'!A157</f>
        <v>155</v>
      </c>
      <c r="B157" s="19">
        <f t="shared" si="4"/>
        <v>0</v>
      </c>
      <c r="C157" s="19">
        <f t="shared" si="5"/>
        <v>0</v>
      </c>
      <c r="D157" s="19">
        <f>Monthly_payment($B$1,$D$1,$B$3)*'PSA&amp;CPR（function) '!N157</f>
        <v>0</v>
      </c>
      <c r="E157" s="19">
        <f>Principle_portion_of_payment($B$1,$D$1,A157,$B$3)*'PSA&amp;CPR（function) '!N157</f>
        <v>0</v>
      </c>
      <c r="F157" s="19">
        <f>Interest_portion_of_payment($B$1,$D$1,A157,$B$3)*'PSA&amp;CPR（function) '!N157</f>
        <v>0</v>
      </c>
      <c r="G157" s="19">
        <f>(B157-E157)*'PSA&amp;CPR（function) '!F158</f>
        <v>0</v>
      </c>
      <c r="H157" s="19">
        <f>Remaining_balance($B$1,$D$1,A157,$B$3)*'PSA&amp;CPR（function) '!N158</f>
        <v>0</v>
      </c>
    </row>
    <row r="158" spans="1:8">
      <c r="A158">
        <f>'PSA&amp;CPR'!A158</f>
        <v>156</v>
      </c>
      <c r="B158" s="19">
        <f t="shared" si="4"/>
        <v>0</v>
      </c>
      <c r="C158" s="19">
        <f t="shared" si="5"/>
        <v>0</v>
      </c>
      <c r="D158" s="19">
        <f>Monthly_payment($B$1,$D$1,$B$3)*'PSA&amp;CPR（function) '!N158</f>
        <v>0</v>
      </c>
      <c r="E158" s="19">
        <f>Principle_portion_of_payment($B$1,$D$1,A158,$B$3)*'PSA&amp;CPR（function) '!N158</f>
        <v>0</v>
      </c>
      <c r="F158" s="19">
        <f>Interest_portion_of_payment($B$1,$D$1,A158,$B$3)*'PSA&amp;CPR（function) '!N158</f>
        <v>0</v>
      </c>
      <c r="G158" s="19">
        <f>(B158-E158)*'PSA&amp;CPR（function) '!F159</f>
        <v>0</v>
      </c>
      <c r="H158" s="19">
        <f>Remaining_balance($B$1,$D$1,A158,$B$3)*'PSA&amp;CPR（function) '!N159</f>
        <v>0</v>
      </c>
    </row>
    <row r="159" spans="1:8">
      <c r="A159">
        <f>'PSA&amp;CPR'!A159</f>
        <v>157</v>
      </c>
      <c r="B159" s="19">
        <f t="shared" si="4"/>
        <v>0</v>
      </c>
      <c r="C159" s="19">
        <f t="shared" si="5"/>
        <v>0</v>
      </c>
      <c r="D159" s="19">
        <f>Monthly_payment($B$1,$D$1,$B$3)*'PSA&amp;CPR（function) '!N159</f>
        <v>0</v>
      </c>
      <c r="E159" s="19">
        <f>Principle_portion_of_payment($B$1,$D$1,A159,$B$3)*'PSA&amp;CPR（function) '!N159</f>
        <v>0</v>
      </c>
      <c r="F159" s="19">
        <f>Interest_portion_of_payment($B$1,$D$1,A159,$B$3)*'PSA&amp;CPR（function) '!N159</f>
        <v>0</v>
      </c>
      <c r="G159" s="19">
        <f>(B159-E159)*'PSA&amp;CPR（function) '!F160</f>
        <v>0</v>
      </c>
      <c r="H159" s="19">
        <f>Remaining_balance($B$1,$D$1,A159,$B$3)*'PSA&amp;CPR（function) '!N160</f>
        <v>0</v>
      </c>
    </row>
    <row r="160" spans="1:8">
      <c r="A160">
        <f>'PSA&amp;CPR'!A160</f>
        <v>158</v>
      </c>
      <c r="B160" s="19">
        <f t="shared" si="4"/>
        <v>0</v>
      </c>
      <c r="C160" s="19">
        <f t="shared" si="5"/>
        <v>0</v>
      </c>
      <c r="D160" s="19">
        <f>Monthly_payment($B$1,$D$1,$B$3)*'PSA&amp;CPR（function) '!N160</f>
        <v>0</v>
      </c>
      <c r="E160" s="19">
        <f>Principle_portion_of_payment($B$1,$D$1,A160,$B$3)*'PSA&amp;CPR（function) '!N160</f>
        <v>0</v>
      </c>
      <c r="F160" s="19">
        <f>Interest_portion_of_payment($B$1,$D$1,A160,$B$3)*'PSA&amp;CPR（function) '!N160</f>
        <v>0</v>
      </c>
      <c r="G160" s="19">
        <f>(B160-E160)*'PSA&amp;CPR（function) '!F161</f>
        <v>0</v>
      </c>
      <c r="H160" s="19">
        <f>Remaining_balance($B$1,$D$1,A160,$B$3)*'PSA&amp;CPR（function) '!N161</f>
        <v>0</v>
      </c>
    </row>
    <row r="161" spans="1:8">
      <c r="A161">
        <f>'PSA&amp;CPR'!A161</f>
        <v>159</v>
      </c>
      <c r="B161" s="19">
        <f t="shared" si="4"/>
        <v>0</v>
      </c>
      <c r="C161" s="19">
        <f t="shared" si="5"/>
        <v>0</v>
      </c>
      <c r="D161" s="19">
        <f>Monthly_payment($B$1,$D$1,$B$3)*'PSA&amp;CPR（function) '!N161</f>
        <v>0</v>
      </c>
      <c r="E161" s="19">
        <f>Principle_portion_of_payment($B$1,$D$1,A161,$B$3)*'PSA&amp;CPR（function) '!N161</f>
        <v>0</v>
      </c>
      <c r="F161" s="19">
        <f>Interest_portion_of_payment($B$1,$D$1,A161,$B$3)*'PSA&amp;CPR（function) '!N161</f>
        <v>0</v>
      </c>
      <c r="G161" s="19">
        <f>(B161-E161)*'PSA&amp;CPR（function) '!F162</f>
        <v>0</v>
      </c>
      <c r="H161" s="19">
        <f>Remaining_balance($B$1,$D$1,A161,$B$3)*'PSA&amp;CPR（function) '!N162</f>
        <v>0</v>
      </c>
    </row>
    <row r="162" spans="1:8">
      <c r="A162">
        <f>'PSA&amp;CPR'!A162</f>
        <v>160</v>
      </c>
      <c r="B162" s="19">
        <f t="shared" si="4"/>
        <v>0</v>
      </c>
      <c r="C162" s="19">
        <f t="shared" si="5"/>
        <v>0</v>
      </c>
      <c r="D162" s="19">
        <f>Monthly_payment($B$1,$D$1,$B$3)*'PSA&amp;CPR（function) '!N162</f>
        <v>0</v>
      </c>
      <c r="E162" s="19">
        <f>Principle_portion_of_payment($B$1,$D$1,A162,$B$3)*'PSA&amp;CPR（function) '!N162</f>
        <v>0</v>
      </c>
      <c r="F162" s="19">
        <f>Interest_portion_of_payment($B$1,$D$1,A162,$B$3)*'PSA&amp;CPR（function) '!N162</f>
        <v>0</v>
      </c>
      <c r="G162" s="19">
        <f>(B162-E162)*'PSA&amp;CPR（function) '!F163</f>
        <v>0</v>
      </c>
      <c r="H162" s="19">
        <f>Remaining_balance($B$1,$D$1,A162,$B$3)*'PSA&amp;CPR（function) '!N163</f>
        <v>0</v>
      </c>
    </row>
    <row r="163" spans="1:8">
      <c r="A163">
        <f>'PSA&amp;CPR'!A163</f>
        <v>161</v>
      </c>
      <c r="B163" s="19">
        <f t="shared" si="4"/>
        <v>0</v>
      </c>
      <c r="C163" s="19">
        <f t="shared" si="5"/>
        <v>0</v>
      </c>
      <c r="D163" s="19">
        <f>Monthly_payment($B$1,$D$1,$B$3)*'PSA&amp;CPR（function) '!N163</f>
        <v>0</v>
      </c>
      <c r="E163" s="19">
        <f>Principle_portion_of_payment($B$1,$D$1,A163,$B$3)*'PSA&amp;CPR（function) '!N163</f>
        <v>0</v>
      </c>
      <c r="F163" s="19">
        <f>Interest_portion_of_payment($B$1,$D$1,A163,$B$3)*'PSA&amp;CPR（function) '!N163</f>
        <v>0</v>
      </c>
      <c r="G163" s="19">
        <f>(B163-E163)*'PSA&amp;CPR（function) '!F164</f>
        <v>0</v>
      </c>
      <c r="H163" s="19">
        <f>Remaining_balance($B$1,$D$1,A163,$B$3)*'PSA&amp;CPR（function) '!N164</f>
        <v>0</v>
      </c>
    </row>
    <row r="164" spans="1:8">
      <c r="A164">
        <f>'PSA&amp;CPR'!A164</f>
        <v>162</v>
      </c>
      <c r="B164" s="19">
        <f t="shared" si="4"/>
        <v>0</v>
      </c>
      <c r="C164" s="19">
        <f t="shared" si="5"/>
        <v>0</v>
      </c>
      <c r="D164" s="19">
        <f>Monthly_payment($B$1,$D$1,$B$3)*'PSA&amp;CPR（function) '!N164</f>
        <v>0</v>
      </c>
      <c r="E164" s="19">
        <f>Principle_portion_of_payment($B$1,$D$1,A164,$B$3)*'PSA&amp;CPR（function) '!N164</f>
        <v>0</v>
      </c>
      <c r="F164" s="19">
        <f>Interest_portion_of_payment($B$1,$D$1,A164,$B$3)*'PSA&amp;CPR（function) '!N164</f>
        <v>0</v>
      </c>
      <c r="G164" s="19">
        <f>(B164-E164)*'PSA&amp;CPR（function) '!F165</f>
        <v>0</v>
      </c>
      <c r="H164" s="19">
        <f>Remaining_balance($B$1,$D$1,A164,$B$3)*'PSA&amp;CPR（function) '!N165</f>
        <v>0</v>
      </c>
    </row>
    <row r="165" spans="1:8">
      <c r="A165">
        <f>'PSA&amp;CPR'!A165</f>
        <v>163</v>
      </c>
      <c r="B165" s="19">
        <f t="shared" si="4"/>
        <v>0</v>
      </c>
      <c r="C165" s="19">
        <f t="shared" si="5"/>
        <v>0</v>
      </c>
      <c r="D165" s="19">
        <f>Monthly_payment($B$1,$D$1,$B$3)*'PSA&amp;CPR（function) '!N165</f>
        <v>0</v>
      </c>
      <c r="E165" s="19">
        <f>Principle_portion_of_payment($B$1,$D$1,A165,$B$3)*'PSA&amp;CPR（function) '!N165</f>
        <v>0</v>
      </c>
      <c r="F165" s="19">
        <f>Interest_portion_of_payment($B$1,$D$1,A165,$B$3)*'PSA&amp;CPR（function) '!N165</f>
        <v>0</v>
      </c>
      <c r="G165" s="19">
        <f>(B165-E165)*'PSA&amp;CPR（function) '!F166</f>
        <v>0</v>
      </c>
      <c r="H165" s="19">
        <f>Remaining_balance($B$1,$D$1,A165,$B$3)*'PSA&amp;CPR（function) '!N166</f>
        <v>0</v>
      </c>
    </row>
    <row r="166" spans="1:8">
      <c r="A166">
        <f>'PSA&amp;CPR'!A166</f>
        <v>164</v>
      </c>
      <c r="B166" s="19">
        <f t="shared" si="4"/>
        <v>0</v>
      </c>
      <c r="C166" s="19">
        <f t="shared" si="5"/>
        <v>0</v>
      </c>
      <c r="D166" s="19">
        <f>Monthly_payment($B$1,$D$1,$B$3)*'PSA&amp;CPR（function) '!N166</f>
        <v>0</v>
      </c>
      <c r="E166" s="19">
        <f>Principle_portion_of_payment($B$1,$D$1,A166,$B$3)*'PSA&amp;CPR（function) '!N166</f>
        <v>0</v>
      </c>
      <c r="F166" s="19">
        <f>Interest_portion_of_payment($B$1,$D$1,A166,$B$3)*'PSA&amp;CPR（function) '!N166</f>
        <v>0</v>
      </c>
      <c r="G166" s="19">
        <f>(B166-E166)*'PSA&amp;CPR（function) '!F167</f>
        <v>0</v>
      </c>
      <c r="H166" s="19">
        <f>Remaining_balance($B$1,$D$1,A166,$B$3)*'PSA&amp;CPR（function) '!N167</f>
        <v>0</v>
      </c>
    </row>
    <row r="167" spans="1:8">
      <c r="A167">
        <f>'PSA&amp;CPR'!A167</f>
        <v>165</v>
      </c>
      <c r="B167" s="19">
        <f t="shared" si="4"/>
        <v>0</v>
      </c>
      <c r="C167" s="19">
        <f t="shared" si="5"/>
        <v>0</v>
      </c>
      <c r="D167" s="19">
        <f>Monthly_payment($B$1,$D$1,$B$3)*'PSA&amp;CPR（function) '!N167</f>
        <v>0</v>
      </c>
      <c r="E167" s="19">
        <f>Principle_portion_of_payment($B$1,$D$1,A167,$B$3)*'PSA&amp;CPR（function) '!N167</f>
        <v>0</v>
      </c>
      <c r="F167" s="19">
        <f>Interest_portion_of_payment($B$1,$D$1,A167,$B$3)*'PSA&amp;CPR（function) '!N167</f>
        <v>0</v>
      </c>
      <c r="G167" s="19">
        <f>(B167-E167)*'PSA&amp;CPR（function) '!F168</f>
        <v>0</v>
      </c>
      <c r="H167" s="19">
        <f>Remaining_balance($B$1,$D$1,A167,$B$3)*'PSA&amp;CPR（function) '!N168</f>
        <v>0</v>
      </c>
    </row>
    <row r="168" spans="1:8">
      <c r="A168">
        <f>'PSA&amp;CPR'!A168</f>
        <v>166</v>
      </c>
      <c r="B168" s="19">
        <f t="shared" si="4"/>
        <v>0</v>
      </c>
      <c r="C168" s="19">
        <f t="shared" si="5"/>
        <v>0</v>
      </c>
      <c r="D168" s="19">
        <f>Monthly_payment($B$1,$D$1,$B$3)*'PSA&amp;CPR（function) '!N168</f>
        <v>0</v>
      </c>
      <c r="E168" s="19">
        <f>Principle_portion_of_payment($B$1,$D$1,A168,$B$3)*'PSA&amp;CPR（function) '!N168</f>
        <v>0</v>
      </c>
      <c r="F168" s="19">
        <f>Interest_portion_of_payment($B$1,$D$1,A168,$B$3)*'PSA&amp;CPR（function) '!N168</f>
        <v>0</v>
      </c>
      <c r="G168" s="19">
        <f>(B168-E168)*'PSA&amp;CPR（function) '!F169</f>
        <v>0</v>
      </c>
      <c r="H168" s="19">
        <f>Remaining_balance($B$1,$D$1,A168,$B$3)*'PSA&amp;CPR（function) '!N169</f>
        <v>0</v>
      </c>
    </row>
    <row r="169" spans="1:8">
      <c r="A169">
        <f>'PSA&amp;CPR'!A169</f>
        <v>167</v>
      </c>
      <c r="B169" s="19">
        <f t="shared" si="4"/>
        <v>0</v>
      </c>
      <c r="C169" s="19">
        <f t="shared" si="5"/>
        <v>0</v>
      </c>
      <c r="D169" s="19">
        <f>Monthly_payment($B$1,$D$1,$B$3)*'PSA&amp;CPR（function) '!N169</f>
        <v>0</v>
      </c>
      <c r="E169" s="19">
        <f>Principle_portion_of_payment($B$1,$D$1,A169,$B$3)*'PSA&amp;CPR（function) '!N169</f>
        <v>0</v>
      </c>
      <c r="F169" s="19">
        <f>Interest_portion_of_payment($B$1,$D$1,A169,$B$3)*'PSA&amp;CPR（function) '!N169</f>
        <v>0</v>
      </c>
      <c r="G169" s="19">
        <f>(B169-E169)*'PSA&amp;CPR（function) '!F170</f>
        <v>0</v>
      </c>
      <c r="H169" s="19">
        <f>Remaining_balance($B$1,$D$1,A169,$B$3)*'PSA&amp;CPR（function) '!N170</f>
        <v>0</v>
      </c>
    </row>
    <row r="170" spans="1:8">
      <c r="A170">
        <f>'PSA&amp;CPR'!A170</f>
        <v>168</v>
      </c>
      <c r="B170" s="19">
        <f t="shared" si="4"/>
        <v>0</v>
      </c>
      <c r="C170" s="19">
        <f t="shared" si="5"/>
        <v>0</v>
      </c>
      <c r="D170" s="19">
        <f>Monthly_payment($B$1,$D$1,$B$3)*'PSA&amp;CPR（function) '!N170</f>
        <v>0</v>
      </c>
      <c r="E170" s="19">
        <f>Principle_portion_of_payment($B$1,$D$1,A170,$B$3)*'PSA&amp;CPR（function) '!N170</f>
        <v>0</v>
      </c>
      <c r="F170" s="19">
        <f>Interest_portion_of_payment($B$1,$D$1,A170,$B$3)*'PSA&amp;CPR（function) '!N170</f>
        <v>0</v>
      </c>
      <c r="G170" s="19">
        <f>(B170-E170)*'PSA&amp;CPR（function) '!F171</f>
        <v>0</v>
      </c>
      <c r="H170" s="19">
        <f>Remaining_balance($B$1,$D$1,A170,$B$3)*'PSA&amp;CPR（function) '!N171</f>
        <v>0</v>
      </c>
    </row>
    <row r="171" spans="1:8">
      <c r="A171">
        <f>'PSA&amp;CPR'!A171</f>
        <v>169</v>
      </c>
      <c r="B171" s="19">
        <f t="shared" si="4"/>
        <v>0</v>
      </c>
      <c r="C171" s="19">
        <f t="shared" si="5"/>
        <v>0</v>
      </c>
      <c r="D171" s="19">
        <f>Monthly_payment($B$1,$D$1,$B$3)*'PSA&amp;CPR（function) '!N171</f>
        <v>0</v>
      </c>
      <c r="E171" s="19">
        <f>Principle_portion_of_payment($B$1,$D$1,A171,$B$3)*'PSA&amp;CPR（function) '!N171</f>
        <v>0</v>
      </c>
      <c r="F171" s="19">
        <f>Interest_portion_of_payment($B$1,$D$1,A171,$B$3)*'PSA&amp;CPR（function) '!N171</f>
        <v>0</v>
      </c>
      <c r="G171" s="19">
        <f>(B171-E171)*'PSA&amp;CPR（function) '!F172</f>
        <v>0</v>
      </c>
      <c r="H171" s="19">
        <f>Remaining_balance($B$1,$D$1,A171,$B$3)*'PSA&amp;CPR（function) '!N172</f>
        <v>0</v>
      </c>
    </row>
    <row r="172" spans="1:8">
      <c r="A172">
        <f>'PSA&amp;CPR'!A172</f>
        <v>170</v>
      </c>
      <c r="B172" s="19">
        <f t="shared" si="4"/>
        <v>0</v>
      </c>
      <c r="C172" s="19">
        <f t="shared" si="5"/>
        <v>0</v>
      </c>
      <c r="D172" s="19">
        <f>Monthly_payment($B$1,$D$1,$B$3)*'PSA&amp;CPR（function) '!N172</f>
        <v>0</v>
      </c>
      <c r="E172" s="19">
        <f>Principle_portion_of_payment($B$1,$D$1,A172,$B$3)*'PSA&amp;CPR（function) '!N172</f>
        <v>0</v>
      </c>
      <c r="F172" s="19">
        <f>Interest_portion_of_payment($B$1,$D$1,A172,$B$3)*'PSA&amp;CPR（function) '!N172</f>
        <v>0</v>
      </c>
      <c r="G172" s="19">
        <f>(B172-E172)*'PSA&amp;CPR（function) '!F173</f>
        <v>0</v>
      </c>
      <c r="H172" s="19">
        <f>Remaining_balance($B$1,$D$1,A172,$B$3)*'PSA&amp;CPR（function) '!N173</f>
        <v>0</v>
      </c>
    </row>
    <row r="173" spans="1:8">
      <c r="A173">
        <f>'PSA&amp;CPR'!A173</f>
        <v>171</v>
      </c>
      <c r="B173" s="19">
        <f t="shared" si="4"/>
        <v>0</v>
      </c>
      <c r="C173" s="19">
        <f t="shared" si="5"/>
        <v>0</v>
      </c>
      <c r="D173" s="19">
        <f>Monthly_payment($B$1,$D$1,$B$3)*'PSA&amp;CPR（function) '!N173</f>
        <v>0</v>
      </c>
      <c r="E173" s="19">
        <f>Principle_portion_of_payment($B$1,$D$1,A173,$B$3)*'PSA&amp;CPR（function) '!N173</f>
        <v>0</v>
      </c>
      <c r="F173" s="19">
        <f>Interest_portion_of_payment($B$1,$D$1,A173,$B$3)*'PSA&amp;CPR（function) '!N173</f>
        <v>0</v>
      </c>
      <c r="G173" s="19">
        <f>(B173-E173)*'PSA&amp;CPR（function) '!F174</f>
        <v>0</v>
      </c>
      <c r="H173" s="19">
        <f>Remaining_balance($B$1,$D$1,A173,$B$3)*'PSA&amp;CPR（function) '!N174</f>
        <v>0</v>
      </c>
    </row>
    <row r="174" spans="1:8">
      <c r="A174">
        <f>'PSA&amp;CPR'!A174</f>
        <v>172</v>
      </c>
      <c r="B174" s="19">
        <f t="shared" si="4"/>
        <v>0</v>
      </c>
      <c r="C174" s="19">
        <f t="shared" si="5"/>
        <v>0</v>
      </c>
      <c r="D174" s="19">
        <f>Monthly_payment($B$1,$D$1,$B$3)*'PSA&amp;CPR（function) '!N174</f>
        <v>0</v>
      </c>
      <c r="E174" s="19">
        <f>Principle_portion_of_payment($B$1,$D$1,A174,$B$3)*'PSA&amp;CPR（function) '!N174</f>
        <v>0</v>
      </c>
      <c r="F174" s="19">
        <f>Interest_portion_of_payment($B$1,$D$1,A174,$B$3)*'PSA&amp;CPR（function) '!N174</f>
        <v>0</v>
      </c>
      <c r="G174" s="19">
        <f>(B174-E174)*'PSA&amp;CPR（function) '!F175</f>
        <v>0</v>
      </c>
      <c r="H174" s="19">
        <f>Remaining_balance($B$1,$D$1,A174,$B$3)*'PSA&amp;CPR（function) '!N175</f>
        <v>0</v>
      </c>
    </row>
    <row r="175" spans="1:8">
      <c r="A175">
        <f>'PSA&amp;CPR'!A175</f>
        <v>173</v>
      </c>
      <c r="B175" s="19">
        <f t="shared" si="4"/>
        <v>0</v>
      </c>
      <c r="C175" s="19">
        <f t="shared" si="5"/>
        <v>0</v>
      </c>
      <c r="D175" s="19">
        <f>Monthly_payment($B$1,$D$1,$B$3)*'PSA&amp;CPR（function) '!N175</f>
        <v>0</v>
      </c>
      <c r="E175" s="19">
        <f>Principle_portion_of_payment($B$1,$D$1,A175,$B$3)*'PSA&amp;CPR（function) '!N175</f>
        <v>0</v>
      </c>
      <c r="F175" s="19">
        <f>Interest_portion_of_payment($B$1,$D$1,A175,$B$3)*'PSA&amp;CPR（function) '!N175</f>
        <v>0</v>
      </c>
      <c r="G175" s="19">
        <f>(B175-E175)*'PSA&amp;CPR（function) '!F176</f>
        <v>0</v>
      </c>
      <c r="H175" s="19">
        <f>Remaining_balance($B$1,$D$1,A175,$B$3)*'PSA&amp;CPR（function) '!N176</f>
        <v>0</v>
      </c>
    </row>
    <row r="176" spans="1:8">
      <c r="A176">
        <f>'PSA&amp;CPR'!A176</f>
        <v>174</v>
      </c>
      <c r="B176" s="19">
        <f t="shared" si="4"/>
        <v>0</v>
      </c>
      <c r="C176" s="19">
        <f t="shared" si="5"/>
        <v>0</v>
      </c>
      <c r="D176" s="19">
        <f>Monthly_payment($B$1,$D$1,$B$3)*'PSA&amp;CPR（function) '!N176</f>
        <v>0</v>
      </c>
      <c r="E176" s="19">
        <f>Principle_portion_of_payment($B$1,$D$1,A176,$B$3)*'PSA&amp;CPR（function) '!N176</f>
        <v>0</v>
      </c>
      <c r="F176" s="19">
        <f>Interest_portion_of_payment($B$1,$D$1,A176,$B$3)*'PSA&amp;CPR（function) '!N176</f>
        <v>0</v>
      </c>
      <c r="G176" s="19">
        <f>(B176-E176)*'PSA&amp;CPR（function) '!F177</f>
        <v>0</v>
      </c>
      <c r="H176" s="19">
        <f>Remaining_balance($B$1,$D$1,A176,$B$3)*'PSA&amp;CPR（function) '!N177</f>
        <v>0</v>
      </c>
    </row>
    <row r="177" spans="1:8">
      <c r="A177">
        <f>'PSA&amp;CPR'!A177</f>
        <v>175</v>
      </c>
      <c r="B177" s="19">
        <f t="shared" si="4"/>
        <v>0</v>
      </c>
      <c r="C177" s="19">
        <f t="shared" si="5"/>
        <v>0</v>
      </c>
      <c r="D177" s="19">
        <f>Monthly_payment($B$1,$D$1,$B$3)*'PSA&amp;CPR（function) '!N177</f>
        <v>0</v>
      </c>
      <c r="E177" s="19">
        <f>Principle_portion_of_payment($B$1,$D$1,A177,$B$3)*'PSA&amp;CPR（function) '!N177</f>
        <v>0</v>
      </c>
      <c r="F177" s="19">
        <f>Interest_portion_of_payment($B$1,$D$1,A177,$B$3)*'PSA&amp;CPR（function) '!N177</f>
        <v>0</v>
      </c>
      <c r="G177" s="19">
        <f>(B177-E177)*'PSA&amp;CPR（function) '!F178</f>
        <v>0</v>
      </c>
      <c r="H177" s="19">
        <f>Remaining_balance($B$1,$D$1,A177,$B$3)*'PSA&amp;CPR（function) '!N178</f>
        <v>0</v>
      </c>
    </row>
    <row r="178" spans="1:8">
      <c r="A178">
        <f>'PSA&amp;CPR'!A178</f>
        <v>176</v>
      </c>
      <c r="B178" s="19">
        <f t="shared" si="4"/>
        <v>0</v>
      </c>
      <c r="C178" s="19">
        <f t="shared" si="5"/>
        <v>0</v>
      </c>
      <c r="D178" s="19">
        <f>Monthly_payment($B$1,$D$1,$B$3)*'PSA&amp;CPR（function) '!N178</f>
        <v>0</v>
      </c>
      <c r="E178" s="19">
        <f>Principle_portion_of_payment($B$1,$D$1,A178,$B$3)*'PSA&amp;CPR（function) '!N178</f>
        <v>0</v>
      </c>
      <c r="F178" s="19">
        <f>Interest_portion_of_payment($B$1,$D$1,A178,$B$3)*'PSA&amp;CPR（function) '!N178</f>
        <v>0</v>
      </c>
      <c r="G178" s="19">
        <f>(B178-E178)*'PSA&amp;CPR（function) '!F179</f>
        <v>0</v>
      </c>
      <c r="H178" s="19">
        <f>Remaining_balance($B$1,$D$1,A178,$B$3)*'PSA&amp;CPR（function) '!N179</f>
        <v>0</v>
      </c>
    </row>
    <row r="179" spans="1:8">
      <c r="A179">
        <f>'PSA&amp;CPR'!A179</f>
        <v>177</v>
      </c>
      <c r="B179" s="19">
        <f t="shared" si="4"/>
        <v>0</v>
      </c>
      <c r="C179" s="19">
        <f t="shared" si="5"/>
        <v>0</v>
      </c>
      <c r="D179" s="19">
        <f>Monthly_payment($B$1,$D$1,$B$3)*'PSA&amp;CPR（function) '!N179</f>
        <v>0</v>
      </c>
      <c r="E179" s="19">
        <f>Principle_portion_of_payment($B$1,$D$1,A179,$B$3)*'PSA&amp;CPR（function) '!N179</f>
        <v>0</v>
      </c>
      <c r="F179" s="19">
        <f>Interest_portion_of_payment($B$1,$D$1,A179,$B$3)*'PSA&amp;CPR（function) '!N179</f>
        <v>0</v>
      </c>
      <c r="G179" s="19">
        <f>(B179-E179)*'PSA&amp;CPR（function) '!F180</f>
        <v>0</v>
      </c>
      <c r="H179" s="19">
        <f>Remaining_balance($B$1,$D$1,A179,$B$3)*'PSA&amp;CPR（function) '!N180</f>
        <v>0</v>
      </c>
    </row>
    <row r="180" spans="1:8">
      <c r="A180">
        <f>'PSA&amp;CPR'!A180</f>
        <v>178</v>
      </c>
      <c r="B180" s="19">
        <f t="shared" si="4"/>
        <v>0</v>
      </c>
      <c r="C180" s="19">
        <f t="shared" si="5"/>
        <v>0</v>
      </c>
      <c r="D180" s="19">
        <f>Monthly_payment($B$1,$D$1,$B$3)*'PSA&amp;CPR（function) '!N180</f>
        <v>0</v>
      </c>
      <c r="E180" s="19">
        <f>Principle_portion_of_payment($B$1,$D$1,A180,$B$3)*'PSA&amp;CPR（function) '!N180</f>
        <v>0</v>
      </c>
      <c r="F180" s="19">
        <f>Interest_portion_of_payment($B$1,$D$1,A180,$B$3)*'PSA&amp;CPR（function) '!N180</f>
        <v>0</v>
      </c>
      <c r="G180" s="19">
        <f>(B180-E180)*'PSA&amp;CPR（function) '!F181</f>
        <v>0</v>
      </c>
      <c r="H180" s="19">
        <f>Remaining_balance($B$1,$D$1,A180,$B$3)*'PSA&amp;CPR（function) '!N181</f>
        <v>0</v>
      </c>
    </row>
    <row r="181" spans="1:8">
      <c r="A181">
        <f>'PSA&amp;CPR'!A181</f>
        <v>179</v>
      </c>
      <c r="B181" s="19">
        <f t="shared" si="4"/>
        <v>0</v>
      </c>
      <c r="C181" s="19">
        <f t="shared" si="5"/>
        <v>0</v>
      </c>
      <c r="D181" s="19">
        <f>Monthly_payment($B$1,$D$1,$B$3)*'PSA&amp;CPR（function) '!N181</f>
        <v>0</v>
      </c>
      <c r="E181" s="19">
        <f>Principle_portion_of_payment($B$1,$D$1,A181,$B$3)*'PSA&amp;CPR（function) '!N181</f>
        <v>0</v>
      </c>
      <c r="F181" s="19">
        <f>Interest_portion_of_payment($B$1,$D$1,A181,$B$3)*'PSA&amp;CPR（function) '!N181</f>
        <v>0</v>
      </c>
      <c r="G181" s="19">
        <f>(B181-E181)*'PSA&amp;CPR（function) '!F182</f>
        <v>0</v>
      </c>
      <c r="H181" s="19">
        <f>Remaining_balance($B$1,$D$1,A181,$B$3)*'PSA&amp;CPR（function) '!N182</f>
        <v>0</v>
      </c>
    </row>
    <row r="182" spans="1:8">
      <c r="A182">
        <f>'PSA&amp;CPR'!A182</f>
        <v>180</v>
      </c>
      <c r="B182" s="19">
        <f t="shared" si="4"/>
        <v>0</v>
      </c>
      <c r="C182" s="19">
        <f t="shared" si="5"/>
        <v>0</v>
      </c>
      <c r="D182" s="19">
        <f>Monthly_payment($B$1,$D$1,$B$3)*'PSA&amp;CPR（function) '!N182</f>
        <v>0</v>
      </c>
      <c r="E182" s="19">
        <f>Principle_portion_of_payment($B$1,$D$1,A182,$B$3)*'PSA&amp;CPR（function) '!N182</f>
        <v>0</v>
      </c>
      <c r="F182" s="19">
        <f>Interest_portion_of_payment($B$1,$D$1,A182,$B$3)*'PSA&amp;CPR（function) '!N182</f>
        <v>0</v>
      </c>
      <c r="G182" s="19">
        <f>(B182-E182)*'PSA&amp;CPR（function) '!F183</f>
        <v>0</v>
      </c>
      <c r="H182" s="19">
        <f>Remaining_balance($B$1,$D$1,A182,$B$3)*'PSA&amp;CPR（function) '!N183</f>
        <v>0</v>
      </c>
    </row>
    <row r="183" spans="1:8">
      <c r="A183">
        <f>'PSA&amp;CPR'!A183</f>
        <v>181</v>
      </c>
      <c r="B183" s="19">
        <f t="shared" si="4"/>
        <v>0</v>
      </c>
      <c r="C183" s="19">
        <f t="shared" si="5"/>
        <v>0</v>
      </c>
      <c r="D183" s="19">
        <f>Monthly_payment($B$1,$D$1,$B$3)*'PSA&amp;CPR（function) '!N183</f>
        <v>0</v>
      </c>
      <c r="E183" s="19">
        <f>Principle_portion_of_payment($B$1,$D$1,A183,$B$3)*'PSA&amp;CPR（function) '!N183</f>
        <v>0</v>
      </c>
      <c r="F183" s="19">
        <f>Interest_portion_of_payment($B$1,$D$1,A183,$B$3)*'PSA&amp;CPR（function) '!N183</f>
        <v>0</v>
      </c>
      <c r="G183" s="19">
        <f>(B183-E183)*'PSA&amp;CPR（function) '!F184</f>
        <v>0</v>
      </c>
      <c r="H183" s="19">
        <f>Remaining_balance($B$1,$D$1,A183,$B$3)*'PSA&amp;CPR（function) '!N184</f>
        <v>0</v>
      </c>
    </row>
    <row r="184" spans="1:8">
      <c r="A184">
        <f>'PSA&amp;CPR'!A184</f>
        <v>182</v>
      </c>
      <c r="B184" s="19">
        <f t="shared" si="4"/>
        <v>0</v>
      </c>
      <c r="C184" s="19">
        <f t="shared" si="5"/>
        <v>0</v>
      </c>
      <c r="D184" s="19">
        <f>Monthly_payment($B$1,$D$1,$B$3)*'PSA&amp;CPR（function) '!N184</f>
        <v>0</v>
      </c>
      <c r="E184" s="19">
        <f>Principle_portion_of_payment($B$1,$D$1,A184,$B$3)*'PSA&amp;CPR（function) '!N184</f>
        <v>0</v>
      </c>
      <c r="F184" s="19">
        <f>Interest_portion_of_payment($B$1,$D$1,A184,$B$3)*'PSA&amp;CPR（function) '!N184</f>
        <v>0</v>
      </c>
      <c r="G184" s="19">
        <f>(B184-E184)*'PSA&amp;CPR（function) '!F185</f>
        <v>0</v>
      </c>
      <c r="H184" s="19">
        <f>Remaining_balance($B$1,$D$1,A184,$B$3)*'PSA&amp;CPR（function) '!N185</f>
        <v>0</v>
      </c>
    </row>
    <row r="185" spans="1:8">
      <c r="A185">
        <f>'PSA&amp;CPR'!A185</f>
        <v>183</v>
      </c>
      <c r="B185" s="19">
        <f t="shared" si="4"/>
        <v>0</v>
      </c>
      <c r="C185" s="19">
        <f t="shared" si="5"/>
        <v>0</v>
      </c>
      <c r="D185" s="19">
        <f>Monthly_payment($B$1,$D$1,$B$3)*'PSA&amp;CPR（function) '!N185</f>
        <v>0</v>
      </c>
      <c r="E185" s="19">
        <f>Principle_portion_of_payment($B$1,$D$1,A185,$B$3)*'PSA&amp;CPR（function) '!N185</f>
        <v>0</v>
      </c>
      <c r="F185" s="19">
        <f>Interest_portion_of_payment($B$1,$D$1,A185,$B$3)*'PSA&amp;CPR（function) '!N185</f>
        <v>0</v>
      </c>
      <c r="G185" s="19">
        <f>(B185-E185)*'PSA&amp;CPR（function) '!F186</f>
        <v>0</v>
      </c>
      <c r="H185" s="19">
        <f>Remaining_balance($B$1,$D$1,A185,$B$3)*'PSA&amp;CPR（function) '!N186</f>
        <v>0</v>
      </c>
    </row>
    <row r="186" spans="1:8">
      <c r="A186">
        <f>'PSA&amp;CPR'!A186</f>
        <v>184</v>
      </c>
      <c r="B186" s="19">
        <f t="shared" si="4"/>
        <v>0</v>
      </c>
      <c r="C186" s="19">
        <f t="shared" si="5"/>
        <v>0</v>
      </c>
      <c r="D186" s="19">
        <f>Monthly_payment($B$1,$D$1,$B$3)*'PSA&amp;CPR（function) '!N186</f>
        <v>0</v>
      </c>
      <c r="E186" s="19">
        <f>Principle_portion_of_payment($B$1,$D$1,A186,$B$3)*'PSA&amp;CPR（function) '!N186</f>
        <v>0</v>
      </c>
      <c r="F186" s="19">
        <f>Interest_portion_of_payment($B$1,$D$1,A186,$B$3)*'PSA&amp;CPR（function) '!N186</f>
        <v>0</v>
      </c>
      <c r="G186" s="19">
        <f>(B186-E186)*'PSA&amp;CPR（function) '!F187</f>
        <v>0</v>
      </c>
      <c r="H186" s="19">
        <f>Remaining_balance($B$1,$D$1,A186,$B$3)*'PSA&amp;CPR（function) '!N187</f>
        <v>0</v>
      </c>
    </row>
    <row r="187" spans="1:8">
      <c r="A187">
        <f>'PSA&amp;CPR'!A187</f>
        <v>185</v>
      </c>
      <c r="B187" s="19">
        <f t="shared" si="4"/>
        <v>0</v>
      </c>
      <c r="C187" s="19">
        <f t="shared" si="5"/>
        <v>0</v>
      </c>
      <c r="D187" s="19">
        <f>Monthly_payment($B$1,$D$1,$B$3)*'PSA&amp;CPR（function) '!N187</f>
        <v>0</v>
      </c>
      <c r="E187" s="19">
        <f>Principle_portion_of_payment($B$1,$D$1,A187,$B$3)*'PSA&amp;CPR（function) '!N187</f>
        <v>0</v>
      </c>
      <c r="F187" s="19">
        <f>Interest_portion_of_payment($B$1,$D$1,A187,$B$3)*'PSA&amp;CPR（function) '!N187</f>
        <v>0</v>
      </c>
      <c r="G187" s="19">
        <f>(B187-E187)*'PSA&amp;CPR（function) '!F188</f>
        <v>0</v>
      </c>
      <c r="H187" s="19">
        <f>Remaining_balance($B$1,$D$1,A187,$B$3)*'PSA&amp;CPR（function) '!N188</f>
        <v>0</v>
      </c>
    </row>
    <row r="188" spans="1:8">
      <c r="A188">
        <f>'PSA&amp;CPR'!A188</f>
        <v>186</v>
      </c>
      <c r="B188" s="19">
        <f t="shared" si="4"/>
        <v>0</v>
      </c>
      <c r="C188" s="19">
        <f t="shared" si="5"/>
        <v>0</v>
      </c>
      <c r="D188" s="19">
        <f>Monthly_payment($B$1,$D$1,$B$3)*'PSA&amp;CPR（function) '!N188</f>
        <v>0</v>
      </c>
      <c r="E188" s="19">
        <f>Principle_portion_of_payment($B$1,$D$1,A188,$B$3)*'PSA&amp;CPR（function) '!N188</f>
        <v>0</v>
      </c>
      <c r="F188" s="19">
        <f>Interest_portion_of_payment($B$1,$D$1,A188,$B$3)*'PSA&amp;CPR（function) '!N188</f>
        <v>0</v>
      </c>
      <c r="G188" s="19">
        <f>(B188-E188)*'PSA&amp;CPR（function) '!F189</f>
        <v>0</v>
      </c>
      <c r="H188" s="19">
        <f>Remaining_balance($B$1,$D$1,A188,$B$3)*'PSA&amp;CPR（function) '!N189</f>
        <v>0</v>
      </c>
    </row>
    <row r="189" spans="1:8">
      <c r="A189">
        <f>'PSA&amp;CPR'!A189</f>
        <v>187</v>
      </c>
      <c r="B189" s="19">
        <f t="shared" si="4"/>
        <v>0</v>
      </c>
      <c r="C189" s="19">
        <f t="shared" si="5"/>
        <v>0</v>
      </c>
      <c r="D189" s="19">
        <f>Monthly_payment($B$1,$D$1,$B$3)*'PSA&amp;CPR（function) '!N189</f>
        <v>0</v>
      </c>
      <c r="E189" s="19">
        <f>Principle_portion_of_payment($B$1,$D$1,A189,$B$3)*'PSA&amp;CPR（function) '!N189</f>
        <v>0</v>
      </c>
      <c r="F189" s="19">
        <f>Interest_portion_of_payment($B$1,$D$1,A189,$B$3)*'PSA&amp;CPR（function) '!N189</f>
        <v>0</v>
      </c>
      <c r="G189" s="19">
        <f>(B189-E189)*'PSA&amp;CPR（function) '!F190</f>
        <v>0</v>
      </c>
      <c r="H189" s="19">
        <f>Remaining_balance($B$1,$D$1,A189,$B$3)*'PSA&amp;CPR（function) '!N190</f>
        <v>0</v>
      </c>
    </row>
    <row r="190" spans="1:8">
      <c r="A190">
        <f>'PSA&amp;CPR'!A190</f>
        <v>188</v>
      </c>
      <c r="B190" s="19">
        <f t="shared" si="4"/>
        <v>0</v>
      </c>
      <c r="C190" s="19">
        <f t="shared" si="5"/>
        <v>0</v>
      </c>
      <c r="D190" s="19">
        <f>Monthly_payment($B$1,$D$1,$B$3)*'PSA&amp;CPR（function) '!N190</f>
        <v>0</v>
      </c>
      <c r="E190" s="19">
        <f>Principle_portion_of_payment($B$1,$D$1,A190,$B$3)*'PSA&amp;CPR（function) '!N190</f>
        <v>0</v>
      </c>
      <c r="F190" s="19">
        <f>Interest_portion_of_payment($B$1,$D$1,A190,$B$3)*'PSA&amp;CPR（function) '!N190</f>
        <v>0</v>
      </c>
      <c r="G190" s="19">
        <f>(B190-E190)*'PSA&amp;CPR（function) '!F191</f>
        <v>0</v>
      </c>
      <c r="H190" s="19">
        <f>Remaining_balance($B$1,$D$1,A190,$B$3)*'PSA&amp;CPR（function) '!N191</f>
        <v>0</v>
      </c>
    </row>
    <row r="191" spans="1:8">
      <c r="A191">
        <f>'PSA&amp;CPR'!A191</f>
        <v>189</v>
      </c>
      <c r="B191" s="19">
        <f t="shared" si="4"/>
        <v>0</v>
      </c>
      <c r="C191" s="19">
        <f t="shared" si="5"/>
        <v>0</v>
      </c>
      <c r="D191" s="19">
        <f>Monthly_payment($B$1,$D$1,$B$3)*'PSA&amp;CPR（function) '!N191</f>
        <v>0</v>
      </c>
      <c r="E191" s="19">
        <f>Principle_portion_of_payment($B$1,$D$1,A191,$B$3)*'PSA&amp;CPR（function) '!N191</f>
        <v>0</v>
      </c>
      <c r="F191" s="19">
        <f>Interest_portion_of_payment($B$1,$D$1,A191,$B$3)*'PSA&amp;CPR（function) '!N191</f>
        <v>0</v>
      </c>
      <c r="G191" s="19">
        <f>(B191-E191)*'PSA&amp;CPR（function) '!F192</f>
        <v>0</v>
      </c>
      <c r="H191" s="19">
        <f>Remaining_balance($B$1,$D$1,A191,$B$3)*'PSA&amp;CPR（function) '!N192</f>
        <v>0</v>
      </c>
    </row>
    <row r="192" spans="1:8">
      <c r="A192">
        <f>'PSA&amp;CPR'!A192</f>
        <v>190</v>
      </c>
      <c r="B192" s="19">
        <f t="shared" si="4"/>
        <v>0</v>
      </c>
      <c r="C192" s="19">
        <f t="shared" si="5"/>
        <v>0</v>
      </c>
      <c r="D192" s="19">
        <f>Monthly_payment($B$1,$D$1,$B$3)*'PSA&amp;CPR（function) '!N192</f>
        <v>0</v>
      </c>
      <c r="E192" s="19">
        <f>Principle_portion_of_payment($B$1,$D$1,A192,$B$3)*'PSA&amp;CPR（function) '!N192</f>
        <v>0</v>
      </c>
      <c r="F192" s="19">
        <f>Interest_portion_of_payment($B$1,$D$1,A192,$B$3)*'PSA&amp;CPR（function) '!N192</f>
        <v>0</v>
      </c>
      <c r="G192" s="19">
        <f>(B192-E192)*'PSA&amp;CPR（function) '!F193</f>
        <v>0</v>
      </c>
      <c r="H192" s="19">
        <f>Remaining_balance($B$1,$D$1,A192,$B$3)*'PSA&amp;CPR（function) '!N193</f>
        <v>0</v>
      </c>
    </row>
    <row r="193" spans="1:8">
      <c r="A193">
        <f>'PSA&amp;CPR'!A193</f>
        <v>191</v>
      </c>
      <c r="B193" s="19">
        <f t="shared" si="4"/>
        <v>0</v>
      </c>
      <c r="C193" s="19">
        <f t="shared" si="5"/>
        <v>0</v>
      </c>
      <c r="D193" s="19">
        <f>Monthly_payment($B$1,$D$1,$B$3)*'PSA&amp;CPR（function) '!N193</f>
        <v>0</v>
      </c>
      <c r="E193" s="19">
        <f>Principle_portion_of_payment($B$1,$D$1,A193,$B$3)*'PSA&amp;CPR（function) '!N193</f>
        <v>0</v>
      </c>
      <c r="F193" s="19">
        <f>Interest_portion_of_payment($B$1,$D$1,A193,$B$3)*'PSA&amp;CPR（function) '!N193</f>
        <v>0</v>
      </c>
      <c r="G193" s="19">
        <f>(B193-E193)*'PSA&amp;CPR（function) '!F194</f>
        <v>0</v>
      </c>
      <c r="H193" s="19">
        <f>Remaining_balance($B$1,$D$1,A193,$B$3)*'PSA&amp;CPR（function) '!N194</f>
        <v>0</v>
      </c>
    </row>
    <row r="194" spans="1:8">
      <c r="A194">
        <f>'PSA&amp;CPR'!A194</f>
        <v>192</v>
      </c>
      <c r="B194" s="19">
        <f t="shared" si="4"/>
        <v>0</v>
      </c>
      <c r="C194" s="19">
        <f t="shared" si="5"/>
        <v>0</v>
      </c>
      <c r="D194" s="19">
        <f>Monthly_payment($B$1,$D$1,$B$3)*'PSA&amp;CPR（function) '!N194</f>
        <v>0</v>
      </c>
      <c r="E194" s="19">
        <f>Principle_portion_of_payment($B$1,$D$1,A194,$B$3)*'PSA&amp;CPR（function) '!N194</f>
        <v>0</v>
      </c>
      <c r="F194" s="19">
        <f>Interest_portion_of_payment($B$1,$D$1,A194,$B$3)*'PSA&amp;CPR（function) '!N194</f>
        <v>0</v>
      </c>
      <c r="G194" s="19">
        <f>(B194-E194)*'PSA&amp;CPR（function) '!F195</f>
        <v>0</v>
      </c>
      <c r="H194" s="19">
        <f>Remaining_balance($B$1,$D$1,A194,$B$3)*'PSA&amp;CPR（function) '!N195</f>
        <v>0</v>
      </c>
    </row>
    <row r="195" spans="1:8">
      <c r="A195">
        <f>'PSA&amp;CPR'!A195</f>
        <v>193</v>
      </c>
      <c r="B195" s="19">
        <f t="shared" si="4"/>
        <v>0</v>
      </c>
      <c r="C195" s="19">
        <f t="shared" si="5"/>
        <v>0</v>
      </c>
      <c r="D195" s="19">
        <f>Monthly_payment($B$1,$D$1,$B$3)*'PSA&amp;CPR（function) '!N195</f>
        <v>0</v>
      </c>
      <c r="E195" s="19">
        <f>Principle_portion_of_payment($B$1,$D$1,A195,$B$3)*'PSA&amp;CPR（function) '!N195</f>
        <v>0</v>
      </c>
      <c r="F195" s="19">
        <f>Interest_portion_of_payment($B$1,$D$1,A195,$B$3)*'PSA&amp;CPR（function) '!N195</f>
        <v>0</v>
      </c>
      <c r="G195" s="19">
        <f>(B195-E195)*'PSA&amp;CPR（function) '!F196</f>
        <v>0</v>
      </c>
      <c r="H195" s="19">
        <f>Remaining_balance($B$1,$D$1,A195,$B$3)*'PSA&amp;CPR（function) '!N196</f>
        <v>0</v>
      </c>
    </row>
    <row r="196" spans="1:8">
      <c r="A196">
        <f>'PSA&amp;CPR'!A196</f>
        <v>194</v>
      </c>
      <c r="B196" s="19">
        <f t="shared" si="4"/>
        <v>0</v>
      </c>
      <c r="C196" s="19">
        <f t="shared" si="5"/>
        <v>0</v>
      </c>
      <c r="D196" s="19">
        <f>Monthly_payment($B$1,$D$1,$B$3)*'PSA&amp;CPR（function) '!N196</f>
        <v>0</v>
      </c>
      <c r="E196" s="19">
        <f>Principle_portion_of_payment($B$1,$D$1,A196,$B$3)*'PSA&amp;CPR（function) '!N196</f>
        <v>0</v>
      </c>
      <c r="F196" s="19">
        <f>Interest_portion_of_payment($B$1,$D$1,A196,$B$3)*'PSA&amp;CPR（function) '!N196</f>
        <v>0</v>
      </c>
      <c r="G196" s="19">
        <f>(B196-E196)*'PSA&amp;CPR（function) '!F197</f>
        <v>0</v>
      </c>
      <c r="H196" s="19">
        <f>Remaining_balance($B$1,$D$1,A196,$B$3)*'PSA&amp;CPR（function) '!N197</f>
        <v>0</v>
      </c>
    </row>
    <row r="197" spans="1:8">
      <c r="A197">
        <f>'PSA&amp;CPR'!A197</f>
        <v>195</v>
      </c>
      <c r="B197" s="19">
        <f t="shared" ref="B197:B260" si="6">H196</f>
        <v>0</v>
      </c>
      <c r="C197" s="19">
        <f t="shared" ref="C197:C260" si="7">B197*($B$1/1200)</f>
        <v>0</v>
      </c>
      <c r="D197" s="19">
        <f>Monthly_payment($B$1,$D$1,$B$3)*'PSA&amp;CPR（function) '!N197</f>
        <v>0</v>
      </c>
      <c r="E197" s="19">
        <f>Principle_portion_of_payment($B$1,$D$1,A197,$B$3)*'PSA&amp;CPR（function) '!N197</f>
        <v>0</v>
      </c>
      <c r="F197" s="19">
        <f>Interest_portion_of_payment($B$1,$D$1,A197,$B$3)*'PSA&amp;CPR（function) '!N197</f>
        <v>0</v>
      </c>
      <c r="G197" s="19">
        <f>(B197-E197)*'PSA&amp;CPR（function) '!F198</f>
        <v>0</v>
      </c>
      <c r="H197" s="19">
        <f>Remaining_balance($B$1,$D$1,A197,$B$3)*'PSA&amp;CPR（function) '!N198</f>
        <v>0</v>
      </c>
    </row>
    <row r="198" spans="1:8">
      <c r="A198">
        <f>'PSA&amp;CPR'!A198</f>
        <v>196</v>
      </c>
      <c r="B198" s="19">
        <f t="shared" si="6"/>
        <v>0</v>
      </c>
      <c r="C198" s="19">
        <f t="shared" si="7"/>
        <v>0</v>
      </c>
      <c r="D198" s="19">
        <f>Monthly_payment($B$1,$D$1,$B$3)*'PSA&amp;CPR（function) '!N198</f>
        <v>0</v>
      </c>
      <c r="E198" s="19">
        <f>Principle_portion_of_payment($B$1,$D$1,A198,$B$3)*'PSA&amp;CPR（function) '!N198</f>
        <v>0</v>
      </c>
      <c r="F198" s="19">
        <f>Interest_portion_of_payment($B$1,$D$1,A198,$B$3)*'PSA&amp;CPR（function) '!N198</f>
        <v>0</v>
      </c>
      <c r="G198" s="19">
        <f>(B198-E198)*'PSA&amp;CPR（function) '!F199</f>
        <v>0</v>
      </c>
      <c r="H198" s="19">
        <f>Remaining_balance($B$1,$D$1,A198,$B$3)*'PSA&amp;CPR（function) '!N199</f>
        <v>0</v>
      </c>
    </row>
    <row r="199" spans="1:8">
      <c r="A199">
        <f>'PSA&amp;CPR'!A199</f>
        <v>197</v>
      </c>
      <c r="B199" s="19">
        <f t="shared" si="6"/>
        <v>0</v>
      </c>
      <c r="C199" s="19">
        <f t="shared" si="7"/>
        <v>0</v>
      </c>
      <c r="D199" s="19">
        <f>Monthly_payment($B$1,$D$1,$B$3)*'PSA&amp;CPR（function) '!N199</f>
        <v>0</v>
      </c>
      <c r="E199" s="19">
        <f>Principle_portion_of_payment($B$1,$D$1,A199,$B$3)*'PSA&amp;CPR（function) '!N199</f>
        <v>0</v>
      </c>
      <c r="F199" s="19">
        <f>Interest_portion_of_payment($B$1,$D$1,A199,$B$3)*'PSA&amp;CPR（function) '!N199</f>
        <v>0</v>
      </c>
      <c r="G199" s="19">
        <f>(B199-E199)*'PSA&amp;CPR（function) '!F200</f>
        <v>0</v>
      </c>
      <c r="H199" s="19">
        <f>Remaining_balance($B$1,$D$1,A199,$B$3)*'PSA&amp;CPR（function) '!N200</f>
        <v>0</v>
      </c>
    </row>
    <row r="200" spans="1:8">
      <c r="A200">
        <f>'PSA&amp;CPR'!A200</f>
        <v>198</v>
      </c>
      <c r="B200" s="19">
        <f t="shared" si="6"/>
        <v>0</v>
      </c>
      <c r="C200" s="19">
        <f t="shared" si="7"/>
        <v>0</v>
      </c>
      <c r="D200" s="19">
        <f>Monthly_payment($B$1,$D$1,$B$3)*'PSA&amp;CPR（function) '!N200</f>
        <v>0</v>
      </c>
      <c r="E200" s="19">
        <f>Principle_portion_of_payment($B$1,$D$1,A200,$B$3)*'PSA&amp;CPR（function) '!N200</f>
        <v>0</v>
      </c>
      <c r="F200" s="19">
        <f>Interest_portion_of_payment($B$1,$D$1,A200,$B$3)*'PSA&amp;CPR（function) '!N200</f>
        <v>0</v>
      </c>
      <c r="G200" s="19">
        <f>(B200-E200)*'PSA&amp;CPR（function) '!F201</f>
        <v>0</v>
      </c>
      <c r="H200" s="19">
        <f>Remaining_balance($B$1,$D$1,A200,$B$3)*'PSA&amp;CPR（function) '!N201</f>
        <v>0</v>
      </c>
    </row>
    <row r="201" spans="1:8">
      <c r="A201">
        <f>'PSA&amp;CPR'!A201</f>
        <v>199</v>
      </c>
      <c r="B201" s="19">
        <f t="shared" si="6"/>
        <v>0</v>
      </c>
      <c r="C201" s="19">
        <f t="shared" si="7"/>
        <v>0</v>
      </c>
      <c r="D201" s="19">
        <f>Monthly_payment($B$1,$D$1,$B$3)*'PSA&amp;CPR（function) '!N201</f>
        <v>0</v>
      </c>
      <c r="E201" s="19">
        <f>Principle_portion_of_payment($B$1,$D$1,A201,$B$3)*'PSA&amp;CPR（function) '!N201</f>
        <v>0</v>
      </c>
      <c r="F201" s="19">
        <f>Interest_portion_of_payment($B$1,$D$1,A201,$B$3)*'PSA&amp;CPR（function) '!N201</f>
        <v>0</v>
      </c>
      <c r="G201" s="19">
        <f>(B201-E201)*'PSA&amp;CPR（function) '!F202</f>
        <v>0</v>
      </c>
      <c r="H201" s="19">
        <f>Remaining_balance($B$1,$D$1,A201,$B$3)*'PSA&amp;CPR（function) '!N202</f>
        <v>0</v>
      </c>
    </row>
    <row r="202" spans="1:8">
      <c r="A202">
        <f>'PSA&amp;CPR'!A202</f>
        <v>200</v>
      </c>
      <c r="B202" s="19">
        <f t="shared" si="6"/>
        <v>0</v>
      </c>
      <c r="C202" s="19">
        <f t="shared" si="7"/>
        <v>0</v>
      </c>
      <c r="D202" s="19">
        <f>Monthly_payment($B$1,$D$1,$B$3)*'PSA&amp;CPR（function) '!N202</f>
        <v>0</v>
      </c>
      <c r="E202" s="19">
        <f>Principle_portion_of_payment($B$1,$D$1,A202,$B$3)*'PSA&amp;CPR（function) '!N202</f>
        <v>0</v>
      </c>
      <c r="F202" s="19">
        <f>Interest_portion_of_payment($B$1,$D$1,A202,$B$3)*'PSA&amp;CPR（function) '!N202</f>
        <v>0</v>
      </c>
      <c r="G202" s="19">
        <f>(B202-E202)*'PSA&amp;CPR（function) '!F203</f>
        <v>0</v>
      </c>
      <c r="H202" s="19">
        <f>Remaining_balance($B$1,$D$1,A202,$B$3)*'PSA&amp;CPR（function) '!N203</f>
        <v>0</v>
      </c>
    </row>
    <row r="203" spans="1:8">
      <c r="A203">
        <f>'PSA&amp;CPR'!A203</f>
        <v>201</v>
      </c>
      <c r="B203" s="19">
        <f t="shared" si="6"/>
        <v>0</v>
      </c>
      <c r="C203" s="19">
        <f t="shared" si="7"/>
        <v>0</v>
      </c>
      <c r="D203" s="19">
        <f>Monthly_payment($B$1,$D$1,$B$3)*'PSA&amp;CPR（function) '!N203</f>
        <v>0</v>
      </c>
      <c r="E203" s="19">
        <f>Principle_portion_of_payment($B$1,$D$1,A203,$B$3)*'PSA&amp;CPR（function) '!N203</f>
        <v>0</v>
      </c>
      <c r="F203" s="19">
        <f>Interest_portion_of_payment($B$1,$D$1,A203,$B$3)*'PSA&amp;CPR（function) '!N203</f>
        <v>0</v>
      </c>
      <c r="G203" s="19">
        <f>(B203-E203)*'PSA&amp;CPR（function) '!F204</f>
        <v>0</v>
      </c>
      <c r="H203" s="19">
        <f>Remaining_balance($B$1,$D$1,A203,$B$3)*'PSA&amp;CPR（function) '!N204</f>
        <v>0</v>
      </c>
    </row>
    <row r="204" spans="1:8">
      <c r="A204">
        <f>'PSA&amp;CPR'!A204</f>
        <v>202</v>
      </c>
      <c r="B204" s="19">
        <f t="shared" si="6"/>
        <v>0</v>
      </c>
      <c r="C204" s="19">
        <f t="shared" si="7"/>
        <v>0</v>
      </c>
      <c r="D204" s="19">
        <f>Monthly_payment($B$1,$D$1,$B$3)*'PSA&amp;CPR（function) '!N204</f>
        <v>0</v>
      </c>
      <c r="E204" s="19">
        <f>Principle_portion_of_payment($B$1,$D$1,A204,$B$3)*'PSA&amp;CPR（function) '!N204</f>
        <v>0</v>
      </c>
      <c r="F204" s="19">
        <f>Interest_portion_of_payment($B$1,$D$1,A204,$B$3)*'PSA&amp;CPR（function) '!N204</f>
        <v>0</v>
      </c>
      <c r="G204" s="19">
        <f>(B204-E204)*'PSA&amp;CPR（function) '!F205</f>
        <v>0</v>
      </c>
      <c r="H204" s="19">
        <f>Remaining_balance($B$1,$D$1,A204,$B$3)*'PSA&amp;CPR（function) '!N205</f>
        <v>0</v>
      </c>
    </row>
    <row r="205" spans="1:8">
      <c r="A205">
        <f>'PSA&amp;CPR'!A205</f>
        <v>203</v>
      </c>
      <c r="B205" s="19">
        <f t="shared" si="6"/>
        <v>0</v>
      </c>
      <c r="C205" s="19">
        <f t="shared" si="7"/>
        <v>0</v>
      </c>
      <c r="D205" s="19">
        <f>Monthly_payment($B$1,$D$1,$B$3)*'PSA&amp;CPR（function) '!N205</f>
        <v>0</v>
      </c>
      <c r="E205" s="19">
        <f>Principle_portion_of_payment($B$1,$D$1,A205,$B$3)*'PSA&amp;CPR（function) '!N205</f>
        <v>0</v>
      </c>
      <c r="F205" s="19">
        <f>Interest_portion_of_payment($B$1,$D$1,A205,$B$3)*'PSA&amp;CPR（function) '!N205</f>
        <v>0</v>
      </c>
      <c r="G205" s="19">
        <f>(B205-E205)*'PSA&amp;CPR（function) '!F206</f>
        <v>0</v>
      </c>
      <c r="H205" s="19">
        <f>Remaining_balance($B$1,$D$1,A205,$B$3)*'PSA&amp;CPR（function) '!N206</f>
        <v>0</v>
      </c>
    </row>
    <row r="206" spans="1:8">
      <c r="A206">
        <f>'PSA&amp;CPR'!A206</f>
        <v>204</v>
      </c>
      <c r="B206" s="19">
        <f t="shared" si="6"/>
        <v>0</v>
      </c>
      <c r="C206" s="19">
        <f t="shared" si="7"/>
        <v>0</v>
      </c>
      <c r="D206" s="19">
        <f>Monthly_payment($B$1,$D$1,$B$3)*'PSA&amp;CPR（function) '!N206</f>
        <v>0</v>
      </c>
      <c r="E206" s="19">
        <f>Principle_portion_of_payment($B$1,$D$1,A206,$B$3)*'PSA&amp;CPR（function) '!N206</f>
        <v>0</v>
      </c>
      <c r="F206" s="19">
        <f>Interest_portion_of_payment($B$1,$D$1,A206,$B$3)*'PSA&amp;CPR（function) '!N206</f>
        <v>0</v>
      </c>
      <c r="G206" s="19">
        <f>(B206-E206)*'PSA&amp;CPR（function) '!F207</f>
        <v>0</v>
      </c>
      <c r="H206" s="19">
        <f>Remaining_balance($B$1,$D$1,A206,$B$3)*'PSA&amp;CPR（function) '!N207</f>
        <v>0</v>
      </c>
    </row>
    <row r="207" spans="1:8">
      <c r="A207">
        <f>'PSA&amp;CPR'!A207</f>
        <v>205</v>
      </c>
      <c r="B207" s="19">
        <f t="shared" si="6"/>
        <v>0</v>
      </c>
      <c r="C207" s="19">
        <f t="shared" si="7"/>
        <v>0</v>
      </c>
      <c r="D207" s="19">
        <f>Monthly_payment($B$1,$D$1,$B$3)*'PSA&amp;CPR（function) '!N207</f>
        <v>0</v>
      </c>
      <c r="E207" s="19">
        <f>Principle_portion_of_payment($B$1,$D$1,A207,$B$3)*'PSA&amp;CPR（function) '!N207</f>
        <v>0</v>
      </c>
      <c r="F207" s="19">
        <f>Interest_portion_of_payment($B$1,$D$1,A207,$B$3)*'PSA&amp;CPR（function) '!N207</f>
        <v>0</v>
      </c>
      <c r="G207" s="19">
        <f>(B207-E207)*'PSA&amp;CPR（function) '!F208</f>
        <v>0</v>
      </c>
      <c r="H207" s="19">
        <f>Remaining_balance($B$1,$D$1,A207,$B$3)*'PSA&amp;CPR（function) '!N208</f>
        <v>0</v>
      </c>
    </row>
    <row r="208" spans="1:8">
      <c r="A208">
        <f>'PSA&amp;CPR'!A208</f>
        <v>206</v>
      </c>
      <c r="B208" s="19">
        <f t="shared" si="6"/>
        <v>0</v>
      </c>
      <c r="C208" s="19">
        <f t="shared" si="7"/>
        <v>0</v>
      </c>
      <c r="D208" s="19">
        <f>Monthly_payment($B$1,$D$1,$B$3)*'PSA&amp;CPR（function) '!N208</f>
        <v>0</v>
      </c>
      <c r="E208" s="19">
        <f>Principle_portion_of_payment($B$1,$D$1,A208,$B$3)*'PSA&amp;CPR（function) '!N208</f>
        <v>0</v>
      </c>
      <c r="F208" s="19">
        <f>Interest_portion_of_payment($B$1,$D$1,A208,$B$3)*'PSA&amp;CPR（function) '!N208</f>
        <v>0</v>
      </c>
      <c r="G208" s="19">
        <f>(B208-E208)*'PSA&amp;CPR（function) '!F209</f>
        <v>0</v>
      </c>
      <c r="H208" s="19">
        <f>Remaining_balance($B$1,$D$1,A208,$B$3)*'PSA&amp;CPR（function) '!N209</f>
        <v>0</v>
      </c>
    </row>
    <row r="209" spans="1:8">
      <c r="A209">
        <f>'PSA&amp;CPR'!A209</f>
        <v>207</v>
      </c>
      <c r="B209" s="19">
        <f t="shared" si="6"/>
        <v>0</v>
      </c>
      <c r="C209" s="19">
        <f t="shared" si="7"/>
        <v>0</v>
      </c>
      <c r="D209" s="19">
        <f>Monthly_payment($B$1,$D$1,$B$3)*'PSA&amp;CPR（function) '!N209</f>
        <v>0</v>
      </c>
      <c r="E209" s="19">
        <f>Principle_portion_of_payment($B$1,$D$1,A209,$B$3)*'PSA&amp;CPR（function) '!N209</f>
        <v>0</v>
      </c>
      <c r="F209" s="19">
        <f>Interest_portion_of_payment($B$1,$D$1,A209,$B$3)*'PSA&amp;CPR（function) '!N209</f>
        <v>0</v>
      </c>
      <c r="G209" s="19">
        <f>(B209-E209)*'PSA&amp;CPR（function) '!F210</f>
        <v>0</v>
      </c>
      <c r="H209" s="19">
        <f>Remaining_balance($B$1,$D$1,A209,$B$3)*'PSA&amp;CPR（function) '!N210</f>
        <v>0</v>
      </c>
    </row>
    <row r="210" spans="1:8">
      <c r="A210">
        <f>'PSA&amp;CPR'!A210</f>
        <v>208</v>
      </c>
      <c r="B210" s="19">
        <f t="shared" si="6"/>
        <v>0</v>
      </c>
      <c r="C210" s="19">
        <f t="shared" si="7"/>
        <v>0</v>
      </c>
      <c r="D210" s="19">
        <f>Monthly_payment($B$1,$D$1,$B$3)*'PSA&amp;CPR（function) '!N210</f>
        <v>0</v>
      </c>
      <c r="E210" s="19">
        <f>Principle_portion_of_payment($B$1,$D$1,A210,$B$3)*'PSA&amp;CPR（function) '!N210</f>
        <v>0</v>
      </c>
      <c r="F210" s="19">
        <f>Interest_portion_of_payment($B$1,$D$1,A210,$B$3)*'PSA&amp;CPR（function) '!N210</f>
        <v>0</v>
      </c>
      <c r="G210" s="19">
        <f>(B210-E210)*'PSA&amp;CPR（function) '!F211</f>
        <v>0</v>
      </c>
      <c r="H210" s="19">
        <f>Remaining_balance($B$1,$D$1,A210,$B$3)*'PSA&amp;CPR（function) '!N211</f>
        <v>0</v>
      </c>
    </row>
    <row r="211" spans="1:8">
      <c r="A211">
        <f>'PSA&amp;CPR'!A211</f>
        <v>209</v>
      </c>
      <c r="B211" s="19">
        <f t="shared" si="6"/>
        <v>0</v>
      </c>
      <c r="C211" s="19">
        <f t="shared" si="7"/>
        <v>0</v>
      </c>
      <c r="D211" s="19">
        <f>Monthly_payment($B$1,$D$1,$B$3)*'PSA&amp;CPR（function) '!N211</f>
        <v>0</v>
      </c>
      <c r="E211" s="19">
        <f>Principle_portion_of_payment($B$1,$D$1,A211,$B$3)*'PSA&amp;CPR（function) '!N211</f>
        <v>0</v>
      </c>
      <c r="F211" s="19">
        <f>Interest_portion_of_payment($B$1,$D$1,A211,$B$3)*'PSA&amp;CPR（function) '!N211</f>
        <v>0</v>
      </c>
      <c r="G211" s="19">
        <f>(B211-E211)*'PSA&amp;CPR（function) '!F212</f>
        <v>0</v>
      </c>
      <c r="H211" s="19">
        <f>Remaining_balance($B$1,$D$1,A211,$B$3)*'PSA&amp;CPR（function) '!N212</f>
        <v>0</v>
      </c>
    </row>
    <row r="212" spans="1:8">
      <c r="A212">
        <f>'PSA&amp;CPR'!A212</f>
        <v>210</v>
      </c>
      <c r="B212" s="19">
        <f t="shared" si="6"/>
        <v>0</v>
      </c>
      <c r="C212" s="19">
        <f t="shared" si="7"/>
        <v>0</v>
      </c>
      <c r="D212" s="19">
        <f>Monthly_payment($B$1,$D$1,$B$3)*'PSA&amp;CPR（function) '!N212</f>
        <v>0</v>
      </c>
      <c r="E212" s="19">
        <f>Principle_portion_of_payment($B$1,$D$1,A212,$B$3)*'PSA&amp;CPR（function) '!N212</f>
        <v>0</v>
      </c>
      <c r="F212" s="19">
        <f>Interest_portion_of_payment($B$1,$D$1,A212,$B$3)*'PSA&amp;CPR（function) '!N212</f>
        <v>0</v>
      </c>
      <c r="G212" s="19">
        <f>(B212-E212)*'PSA&amp;CPR（function) '!F213</f>
        <v>0</v>
      </c>
      <c r="H212" s="19">
        <f>Remaining_balance($B$1,$D$1,A212,$B$3)*'PSA&amp;CPR（function) '!N213</f>
        <v>0</v>
      </c>
    </row>
    <row r="213" spans="1:8">
      <c r="A213">
        <f>'PSA&amp;CPR'!A213</f>
        <v>211</v>
      </c>
      <c r="B213" s="19">
        <f t="shared" si="6"/>
        <v>0</v>
      </c>
      <c r="C213" s="19">
        <f t="shared" si="7"/>
        <v>0</v>
      </c>
      <c r="D213" s="19">
        <f>Monthly_payment($B$1,$D$1,$B$3)*'PSA&amp;CPR（function) '!N213</f>
        <v>0</v>
      </c>
      <c r="E213" s="19">
        <f>Principle_portion_of_payment($B$1,$D$1,A213,$B$3)*'PSA&amp;CPR（function) '!N213</f>
        <v>0</v>
      </c>
      <c r="F213" s="19">
        <f>Interest_portion_of_payment($B$1,$D$1,A213,$B$3)*'PSA&amp;CPR（function) '!N213</f>
        <v>0</v>
      </c>
      <c r="G213" s="19">
        <f>(B213-E213)*'PSA&amp;CPR（function) '!F214</f>
        <v>0</v>
      </c>
      <c r="H213" s="19">
        <f>Remaining_balance($B$1,$D$1,A213,$B$3)*'PSA&amp;CPR（function) '!N214</f>
        <v>0</v>
      </c>
    </row>
    <row r="214" spans="1:8">
      <c r="A214">
        <f>'PSA&amp;CPR'!A214</f>
        <v>212</v>
      </c>
      <c r="B214" s="19">
        <f t="shared" si="6"/>
        <v>0</v>
      </c>
      <c r="C214" s="19">
        <f t="shared" si="7"/>
        <v>0</v>
      </c>
      <c r="D214" s="19">
        <f>Monthly_payment($B$1,$D$1,$B$3)*'PSA&amp;CPR（function) '!N214</f>
        <v>0</v>
      </c>
      <c r="E214" s="19">
        <f>Principle_portion_of_payment($B$1,$D$1,A214,$B$3)*'PSA&amp;CPR（function) '!N214</f>
        <v>0</v>
      </c>
      <c r="F214" s="19">
        <f>Interest_portion_of_payment($B$1,$D$1,A214,$B$3)*'PSA&amp;CPR（function) '!N214</f>
        <v>0</v>
      </c>
      <c r="G214" s="19">
        <f>(B214-E214)*'PSA&amp;CPR（function) '!F215</f>
        <v>0</v>
      </c>
      <c r="H214" s="19">
        <f>Remaining_balance($B$1,$D$1,A214,$B$3)*'PSA&amp;CPR（function) '!N215</f>
        <v>0</v>
      </c>
    </row>
    <row r="215" spans="1:8">
      <c r="A215">
        <f>'PSA&amp;CPR'!A215</f>
        <v>213</v>
      </c>
      <c r="B215" s="19">
        <f t="shared" si="6"/>
        <v>0</v>
      </c>
      <c r="C215" s="19">
        <f t="shared" si="7"/>
        <v>0</v>
      </c>
      <c r="D215" s="19">
        <f>Monthly_payment($B$1,$D$1,$B$3)*'PSA&amp;CPR（function) '!N215</f>
        <v>0</v>
      </c>
      <c r="E215" s="19">
        <f>Principle_portion_of_payment($B$1,$D$1,A215,$B$3)*'PSA&amp;CPR（function) '!N215</f>
        <v>0</v>
      </c>
      <c r="F215" s="19">
        <f>Interest_portion_of_payment($B$1,$D$1,A215,$B$3)*'PSA&amp;CPR（function) '!N215</f>
        <v>0</v>
      </c>
      <c r="G215" s="19">
        <f>(B215-E215)*'PSA&amp;CPR（function) '!F216</f>
        <v>0</v>
      </c>
      <c r="H215" s="19">
        <f>Remaining_balance($B$1,$D$1,A215,$B$3)*'PSA&amp;CPR（function) '!N216</f>
        <v>0</v>
      </c>
    </row>
    <row r="216" spans="1:8">
      <c r="A216">
        <f>'PSA&amp;CPR'!A216</f>
        <v>214</v>
      </c>
      <c r="B216" s="19">
        <f t="shared" si="6"/>
        <v>0</v>
      </c>
      <c r="C216" s="19">
        <f t="shared" si="7"/>
        <v>0</v>
      </c>
      <c r="D216" s="19">
        <f>Monthly_payment($B$1,$D$1,$B$3)*'PSA&amp;CPR（function) '!N216</f>
        <v>0</v>
      </c>
      <c r="E216" s="19">
        <f>Principle_portion_of_payment($B$1,$D$1,A216,$B$3)*'PSA&amp;CPR（function) '!N216</f>
        <v>0</v>
      </c>
      <c r="F216" s="19">
        <f>Interest_portion_of_payment($B$1,$D$1,A216,$B$3)*'PSA&amp;CPR（function) '!N216</f>
        <v>0</v>
      </c>
      <c r="G216" s="19">
        <f>(B216-E216)*'PSA&amp;CPR（function) '!F217</f>
        <v>0</v>
      </c>
      <c r="H216" s="19">
        <f>Remaining_balance($B$1,$D$1,A216,$B$3)*'PSA&amp;CPR（function) '!N217</f>
        <v>0</v>
      </c>
    </row>
    <row r="217" spans="1:8">
      <c r="A217">
        <f>'PSA&amp;CPR'!A217</f>
        <v>215</v>
      </c>
      <c r="B217" s="19">
        <f t="shared" si="6"/>
        <v>0</v>
      </c>
      <c r="C217" s="19">
        <f t="shared" si="7"/>
        <v>0</v>
      </c>
      <c r="D217" s="19">
        <f>Monthly_payment($B$1,$D$1,$B$3)*'PSA&amp;CPR（function) '!N217</f>
        <v>0</v>
      </c>
      <c r="E217" s="19">
        <f>Principle_portion_of_payment($B$1,$D$1,A217,$B$3)*'PSA&amp;CPR（function) '!N217</f>
        <v>0</v>
      </c>
      <c r="F217" s="19">
        <f>Interest_portion_of_payment($B$1,$D$1,A217,$B$3)*'PSA&amp;CPR（function) '!N217</f>
        <v>0</v>
      </c>
      <c r="G217" s="19">
        <f>(B217-E217)*'PSA&amp;CPR（function) '!F218</f>
        <v>0</v>
      </c>
      <c r="H217" s="19">
        <f>Remaining_balance($B$1,$D$1,A217,$B$3)*'PSA&amp;CPR（function) '!N218</f>
        <v>0</v>
      </c>
    </row>
    <row r="218" spans="1:8">
      <c r="A218">
        <f>'PSA&amp;CPR'!A218</f>
        <v>216</v>
      </c>
      <c r="B218" s="19">
        <f t="shared" si="6"/>
        <v>0</v>
      </c>
      <c r="C218" s="19">
        <f t="shared" si="7"/>
        <v>0</v>
      </c>
      <c r="D218" s="19">
        <f>Monthly_payment($B$1,$D$1,$B$3)*'PSA&amp;CPR（function) '!N218</f>
        <v>0</v>
      </c>
      <c r="E218" s="19">
        <f>Principle_portion_of_payment($B$1,$D$1,A218,$B$3)*'PSA&amp;CPR（function) '!N218</f>
        <v>0</v>
      </c>
      <c r="F218" s="19">
        <f>Interest_portion_of_payment($B$1,$D$1,A218,$B$3)*'PSA&amp;CPR（function) '!N218</f>
        <v>0</v>
      </c>
      <c r="G218" s="19">
        <f>(B218-E218)*'PSA&amp;CPR（function) '!F219</f>
        <v>0</v>
      </c>
      <c r="H218" s="19">
        <f>Remaining_balance($B$1,$D$1,A218,$B$3)*'PSA&amp;CPR（function) '!N219</f>
        <v>0</v>
      </c>
    </row>
    <row r="219" spans="1:8">
      <c r="A219">
        <f>'PSA&amp;CPR'!A219</f>
        <v>217</v>
      </c>
      <c r="B219" s="19">
        <f t="shared" si="6"/>
        <v>0</v>
      </c>
      <c r="C219" s="19">
        <f t="shared" si="7"/>
        <v>0</v>
      </c>
      <c r="D219" s="19">
        <f>Monthly_payment($B$1,$D$1,$B$3)*'PSA&amp;CPR（function) '!N219</f>
        <v>0</v>
      </c>
      <c r="E219" s="19">
        <f>Principle_portion_of_payment($B$1,$D$1,A219,$B$3)*'PSA&amp;CPR（function) '!N219</f>
        <v>0</v>
      </c>
      <c r="F219" s="19">
        <f>Interest_portion_of_payment($B$1,$D$1,A219,$B$3)*'PSA&amp;CPR（function) '!N219</f>
        <v>0</v>
      </c>
      <c r="G219" s="19">
        <f>(B219-E219)*'PSA&amp;CPR（function) '!F220</f>
        <v>0</v>
      </c>
      <c r="H219" s="19">
        <f>Remaining_balance($B$1,$D$1,A219,$B$3)*'PSA&amp;CPR（function) '!N220</f>
        <v>0</v>
      </c>
    </row>
    <row r="220" spans="1:8">
      <c r="A220">
        <f>'PSA&amp;CPR'!A220</f>
        <v>218</v>
      </c>
      <c r="B220" s="19">
        <f t="shared" si="6"/>
        <v>0</v>
      </c>
      <c r="C220" s="19">
        <f t="shared" si="7"/>
        <v>0</v>
      </c>
      <c r="D220" s="19">
        <f>Monthly_payment($B$1,$D$1,$B$3)*'PSA&amp;CPR（function) '!N220</f>
        <v>0</v>
      </c>
      <c r="E220" s="19">
        <f>Principle_portion_of_payment($B$1,$D$1,A220,$B$3)*'PSA&amp;CPR（function) '!N220</f>
        <v>0</v>
      </c>
      <c r="F220" s="19">
        <f>Interest_portion_of_payment($B$1,$D$1,A220,$B$3)*'PSA&amp;CPR（function) '!N220</f>
        <v>0</v>
      </c>
      <c r="G220" s="19">
        <f>(B220-E220)*'PSA&amp;CPR（function) '!F221</f>
        <v>0</v>
      </c>
      <c r="H220" s="19">
        <f>Remaining_balance($B$1,$D$1,A220,$B$3)*'PSA&amp;CPR（function) '!N221</f>
        <v>0</v>
      </c>
    </row>
    <row r="221" spans="1:8">
      <c r="A221">
        <f>'PSA&amp;CPR'!A221</f>
        <v>219</v>
      </c>
      <c r="B221" s="19">
        <f t="shared" si="6"/>
        <v>0</v>
      </c>
      <c r="C221" s="19">
        <f t="shared" si="7"/>
        <v>0</v>
      </c>
      <c r="D221" s="19">
        <f>Monthly_payment($B$1,$D$1,$B$3)*'PSA&amp;CPR（function) '!N221</f>
        <v>0</v>
      </c>
      <c r="E221" s="19">
        <f>Principle_portion_of_payment($B$1,$D$1,A221,$B$3)*'PSA&amp;CPR（function) '!N221</f>
        <v>0</v>
      </c>
      <c r="F221" s="19">
        <f>Interest_portion_of_payment($B$1,$D$1,A221,$B$3)*'PSA&amp;CPR（function) '!N221</f>
        <v>0</v>
      </c>
      <c r="G221" s="19">
        <f>(B221-E221)*'PSA&amp;CPR（function) '!F222</f>
        <v>0</v>
      </c>
      <c r="H221" s="19">
        <f>Remaining_balance($B$1,$D$1,A221,$B$3)*'PSA&amp;CPR（function) '!N222</f>
        <v>0</v>
      </c>
    </row>
    <row r="222" spans="1:8">
      <c r="A222">
        <f>'PSA&amp;CPR'!A222</f>
        <v>220</v>
      </c>
      <c r="B222" s="19">
        <f t="shared" si="6"/>
        <v>0</v>
      </c>
      <c r="C222" s="19">
        <f t="shared" si="7"/>
        <v>0</v>
      </c>
      <c r="D222" s="19">
        <f>Monthly_payment($B$1,$D$1,$B$3)*'PSA&amp;CPR（function) '!N222</f>
        <v>0</v>
      </c>
      <c r="E222" s="19">
        <f>Principle_portion_of_payment($B$1,$D$1,A222,$B$3)*'PSA&amp;CPR（function) '!N222</f>
        <v>0</v>
      </c>
      <c r="F222" s="19">
        <f>Interest_portion_of_payment($B$1,$D$1,A222,$B$3)*'PSA&amp;CPR（function) '!N222</f>
        <v>0</v>
      </c>
      <c r="G222" s="19">
        <f>(B222-E222)*'PSA&amp;CPR（function) '!F223</f>
        <v>0</v>
      </c>
      <c r="H222" s="19">
        <f>Remaining_balance($B$1,$D$1,A222,$B$3)*'PSA&amp;CPR（function) '!N223</f>
        <v>0</v>
      </c>
    </row>
    <row r="223" spans="1:8">
      <c r="A223">
        <f>'PSA&amp;CPR'!A223</f>
        <v>221</v>
      </c>
      <c r="B223" s="19">
        <f t="shared" si="6"/>
        <v>0</v>
      </c>
      <c r="C223" s="19">
        <f t="shared" si="7"/>
        <v>0</v>
      </c>
      <c r="D223" s="19">
        <f>Monthly_payment($B$1,$D$1,$B$3)*'PSA&amp;CPR（function) '!N223</f>
        <v>0</v>
      </c>
      <c r="E223" s="19">
        <f>Principle_portion_of_payment($B$1,$D$1,A223,$B$3)*'PSA&amp;CPR（function) '!N223</f>
        <v>0</v>
      </c>
      <c r="F223" s="19">
        <f>Interest_portion_of_payment($B$1,$D$1,A223,$B$3)*'PSA&amp;CPR（function) '!N223</f>
        <v>0</v>
      </c>
      <c r="G223" s="19">
        <f>(B223-E223)*'PSA&amp;CPR（function) '!F224</f>
        <v>0</v>
      </c>
      <c r="H223" s="19">
        <f>Remaining_balance($B$1,$D$1,A223,$B$3)*'PSA&amp;CPR（function) '!N224</f>
        <v>0</v>
      </c>
    </row>
    <row r="224" spans="1:8">
      <c r="A224">
        <f>'PSA&amp;CPR'!A224</f>
        <v>222</v>
      </c>
      <c r="B224" s="19">
        <f t="shared" si="6"/>
        <v>0</v>
      </c>
      <c r="C224" s="19">
        <f t="shared" si="7"/>
        <v>0</v>
      </c>
      <c r="D224" s="19">
        <f>Monthly_payment($B$1,$D$1,$B$3)*'PSA&amp;CPR（function) '!N224</f>
        <v>0</v>
      </c>
      <c r="E224" s="19">
        <f>Principle_portion_of_payment($B$1,$D$1,A224,$B$3)*'PSA&amp;CPR（function) '!N224</f>
        <v>0</v>
      </c>
      <c r="F224" s="19">
        <f>Interest_portion_of_payment($B$1,$D$1,A224,$B$3)*'PSA&amp;CPR（function) '!N224</f>
        <v>0</v>
      </c>
      <c r="G224" s="19">
        <f>(B224-E224)*'PSA&amp;CPR（function) '!F225</f>
        <v>0</v>
      </c>
      <c r="H224" s="19">
        <f>Remaining_balance($B$1,$D$1,A224,$B$3)*'PSA&amp;CPR（function) '!N225</f>
        <v>0</v>
      </c>
    </row>
    <row r="225" spans="1:8">
      <c r="A225">
        <f>'PSA&amp;CPR'!A225</f>
        <v>223</v>
      </c>
      <c r="B225" s="19">
        <f t="shared" si="6"/>
        <v>0</v>
      </c>
      <c r="C225" s="19">
        <f t="shared" si="7"/>
        <v>0</v>
      </c>
      <c r="D225" s="19">
        <f>Monthly_payment($B$1,$D$1,$B$3)*'PSA&amp;CPR（function) '!N225</f>
        <v>0</v>
      </c>
      <c r="E225" s="19">
        <f>Principle_portion_of_payment($B$1,$D$1,A225,$B$3)*'PSA&amp;CPR（function) '!N225</f>
        <v>0</v>
      </c>
      <c r="F225" s="19">
        <f>Interest_portion_of_payment($B$1,$D$1,A225,$B$3)*'PSA&amp;CPR（function) '!N225</f>
        <v>0</v>
      </c>
      <c r="G225" s="19">
        <f>(B225-E225)*'PSA&amp;CPR（function) '!F226</f>
        <v>0</v>
      </c>
      <c r="H225" s="19">
        <f>Remaining_balance($B$1,$D$1,A225,$B$3)*'PSA&amp;CPR（function) '!N226</f>
        <v>0</v>
      </c>
    </row>
    <row r="226" spans="1:8">
      <c r="A226">
        <f>'PSA&amp;CPR'!A226</f>
        <v>224</v>
      </c>
      <c r="B226" s="19">
        <f t="shared" si="6"/>
        <v>0</v>
      </c>
      <c r="C226" s="19">
        <f t="shared" si="7"/>
        <v>0</v>
      </c>
      <c r="D226" s="19">
        <f>Monthly_payment($B$1,$D$1,$B$3)*'PSA&amp;CPR（function) '!N226</f>
        <v>0</v>
      </c>
      <c r="E226" s="19">
        <f>Principle_portion_of_payment($B$1,$D$1,A226,$B$3)*'PSA&amp;CPR（function) '!N226</f>
        <v>0</v>
      </c>
      <c r="F226" s="19">
        <f>Interest_portion_of_payment($B$1,$D$1,A226,$B$3)*'PSA&amp;CPR（function) '!N226</f>
        <v>0</v>
      </c>
      <c r="G226" s="19">
        <f>(B226-E226)*'PSA&amp;CPR（function) '!F227</f>
        <v>0</v>
      </c>
      <c r="H226" s="19">
        <f>Remaining_balance($B$1,$D$1,A226,$B$3)*'PSA&amp;CPR（function) '!N227</f>
        <v>0</v>
      </c>
    </row>
    <row r="227" spans="1:8">
      <c r="A227">
        <f>'PSA&amp;CPR'!A227</f>
        <v>225</v>
      </c>
      <c r="B227" s="19">
        <f t="shared" si="6"/>
        <v>0</v>
      </c>
      <c r="C227" s="19">
        <f t="shared" si="7"/>
        <v>0</v>
      </c>
      <c r="D227" s="19">
        <f>Monthly_payment($B$1,$D$1,$B$3)*'PSA&amp;CPR（function) '!N227</f>
        <v>0</v>
      </c>
      <c r="E227" s="19">
        <f>Principle_portion_of_payment($B$1,$D$1,A227,$B$3)*'PSA&amp;CPR（function) '!N227</f>
        <v>0</v>
      </c>
      <c r="F227" s="19">
        <f>Interest_portion_of_payment($B$1,$D$1,A227,$B$3)*'PSA&amp;CPR（function) '!N227</f>
        <v>0</v>
      </c>
      <c r="G227" s="19">
        <f>(B227-E227)*'PSA&amp;CPR（function) '!F228</f>
        <v>0</v>
      </c>
      <c r="H227" s="19">
        <f>Remaining_balance($B$1,$D$1,A227,$B$3)*'PSA&amp;CPR（function) '!N228</f>
        <v>0</v>
      </c>
    </row>
    <row r="228" spans="1:8">
      <c r="A228">
        <f>'PSA&amp;CPR'!A228</f>
        <v>226</v>
      </c>
      <c r="B228" s="19">
        <f t="shared" si="6"/>
        <v>0</v>
      </c>
      <c r="C228" s="19">
        <f t="shared" si="7"/>
        <v>0</v>
      </c>
      <c r="D228" s="19">
        <f>Monthly_payment($B$1,$D$1,$B$3)*'PSA&amp;CPR（function) '!N228</f>
        <v>0</v>
      </c>
      <c r="E228" s="19">
        <f>Principle_portion_of_payment($B$1,$D$1,A228,$B$3)*'PSA&amp;CPR（function) '!N228</f>
        <v>0</v>
      </c>
      <c r="F228" s="19">
        <f>Interest_portion_of_payment($B$1,$D$1,A228,$B$3)*'PSA&amp;CPR（function) '!N228</f>
        <v>0</v>
      </c>
      <c r="G228" s="19">
        <f>(B228-E228)*'PSA&amp;CPR（function) '!F229</f>
        <v>0</v>
      </c>
      <c r="H228" s="19">
        <f>Remaining_balance($B$1,$D$1,A228,$B$3)*'PSA&amp;CPR（function) '!N229</f>
        <v>0</v>
      </c>
    </row>
    <row r="229" spans="1:8">
      <c r="A229">
        <f>'PSA&amp;CPR'!A229</f>
        <v>227</v>
      </c>
      <c r="B229" s="19">
        <f t="shared" si="6"/>
        <v>0</v>
      </c>
      <c r="C229" s="19">
        <f t="shared" si="7"/>
        <v>0</v>
      </c>
      <c r="D229" s="19">
        <f>Monthly_payment($B$1,$D$1,$B$3)*'PSA&amp;CPR（function) '!N229</f>
        <v>0</v>
      </c>
      <c r="E229" s="19">
        <f>Principle_portion_of_payment($B$1,$D$1,A229,$B$3)*'PSA&amp;CPR（function) '!N229</f>
        <v>0</v>
      </c>
      <c r="F229" s="19">
        <f>Interest_portion_of_payment($B$1,$D$1,A229,$B$3)*'PSA&amp;CPR（function) '!N229</f>
        <v>0</v>
      </c>
      <c r="G229" s="19">
        <f>(B229-E229)*'PSA&amp;CPR（function) '!F230</f>
        <v>0</v>
      </c>
      <c r="H229" s="19">
        <f>Remaining_balance($B$1,$D$1,A229,$B$3)*'PSA&amp;CPR（function) '!N230</f>
        <v>0</v>
      </c>
    </row>
    <row r="230" spans="1:8">
      <c r="A230">
        <f>'PSA&amp;CPR'!A230</f>
        <v>228</v>
      </c>
      <c r="B230" s="19">
        <f t="shared" si="6"/>
        <v>0</v>
      </c>
      <c r="C230" s="19">
        <f t="shared" si="7"/>
        <v>0</v>
      </c>
      <c r="D230" s="19">
        <f>Monthly_payment($B$1,$D$1,$B$3)*'PSA&amp;CPR（function) '!N230</f>
        <v>0</v>
      </c>
      <c r="E230" s="19">
        <f>Principle_portion_of_payment($B$1,$D$1,A230,$B$3)*'PSA&amp;CPR（function) '!N230</f>
        <v>0</v>
      </c>
      <c r="F230" s="19">
        <f>Interest_portion_of_payment($B$1,$D$1,A230,$B$3)*'PSA&amp;CPR（function) '!N230</f>
        <v>0</v>
      </c>
      <c r="G230" s="19">
        <f>(B230-E230)*'PSA&amp;CPR（function) '!F231</f>
        <v>0</v>
      </c>
      <c r="H230" s="19">
        <f>Remaining_balance($B$1,$D$1,A230,$B$3)*'PSA&amp;CPR（function) '!N231</f>
        <v>0</v>
      </c>
    </row>
    <row r="231" spans="1:8">
      <c r="A231">
        <f>'PSA&amp;CPR'!A231</f>
        <v>229</v>
      </c>
      <c r="B231" s="19">
        <f t="shared" si="6"/>
        <v>0</v>
      </c>
      <c r="C231" s="19">
        <f t="shared" si="7"/>
        <v>0</v>
      </c>
      <c r="D231" s="19">
        <f>Monthly_payment($B$1,$D$1,$B$3)*'PSA&amp;CPR（function) '!N231</f>
        <v>0</v>
      </c>
      <c r="E231" s="19">
        <f>Principle_portion_of_payment($B$1,$D$1,A231,$B$3)*'PSA&amp;CPR（function) '!N231</f>
        <v>0</v>
      </c>
      <c r="F231" s="19">
        <f>Interest_portion_of_payment($B$1,$D$1,A231,$B$3)*'PSA&amp;CPR（function) '!N231</f>
        <v>0</v>
      </c>
      <c r="G231" s="19">
        <f>(B231-E231)*'PSA&amp;CPR（function) '!F232</f>
        <v>0</v>
      </c>
      <c r="H231" s="19">
        <f>Remaining_balance($B$1,$D$1,A231,$B$3)*'PSA&amp;CPR（function) '!N232</f>
        <v>0</v>
      </c>
    </row>
    <row r="232" spans="1:8">
      <c r="A232">
        <f>'PSA&amp;CPR'!A232</f>
        <v>230</v>
      </c>
      <c r="B232" s="19">
        <f t="shared" si="6"/>
        <v>0</v>
      </c>
      <c r="C232" s="19">
        <f t="shared" si="7"/>
        <v>0</v>
      </c>
      <c r="D232" s="19">
        <f>Monthly_payment($B$1,$D$1,$B$3)*'PSA&amp;CPR（function) '!N232</f>
        <v>0</v>
      </c>
      <c r="E232" s="19">
        <f>Principle_portion_of_payment($B$1,$D$1,A232,$B$3)*'PSA&amp;CPR（function) '!N232</f>
        <v>0</v>
      </c>
      <c r="F232" s="19">
        <f>Interest_portion_of_payment($B$1,$D$1,A232,$B$3)*'PSA&amp;CPR（function) '!N232</f>
        <v>0</v>
      </c>
      <c r="G232" s="19">
        <f>(B232-E232)*'PSA&amp;CPR（function) '!F233</f>
        <v>0</v>
      </c>
      <c r="H232" s="19">
        <f>Remaining_balance($B$1,$D$1,A232,$B$3)*'PSA&amp;CPR（function) '!N233</f>
        <v>0</v>
      </c>
    </row>
    <row r="233" spans="1:8">
      <c r="A233">
        <f>'PSA&amp;CPR'!A233</f>
        <v>231</v>
      </c>
      <c r="B233" s="19">
        <f t="shared" si="6"/>
        <v>0</v>
      </c>
      <c r="C233" s="19">
        <f t="shared" si="7"/>
        <v>0</v>
      </c>
      <c r="D233" s="19">
        <f>Monthly_payment($B$1,$D$1,$B$3)*'PSA&amp;CPR（function) '!N233</f>
        <v>0</v>
      </c>
      <c r="E233" s="19">
        <f>Principle_portion_of_payment($B$1,$D$1,A233,$B$3)*'PSA&amp;CPR（function) '!N233</f>
        <v>0</v>
      </c>
      <c r="F233" s="19">
        <f>Interest_portion_of_payment($B$1,$D$1,A233,$B$3)*'PSA&amp;CPR（function) '!N233</f>
        <v>0</v>
      </c>
      <c r="G233" s="19">
        <f>(B233-E233)*'PSA&amp;CPR（function) '!F234</f>
        <v>0</v>
      </c>
      <c r="H233" s="19">
        <f>Remaining_balance($B$1,$D$1,A233,$B$3)*'PSA&amp;CPR（function) '!N234</f>
        <v>0</v>
      </c>
    </row>
    <row r="234" spans="1:8">
      <c r="A234">
        <f>'PSA&amp;CPR'!A234</f>
        <v>232</v>
      </c>
      <c r="B234" s="19">
        <f t="shared" si="6"/>
        <v>0</v>
      </c>
      <c r="C234" s="19">
        <f t="shared" si="7"/>
        <v>0</v>
      </c>
      <c r="D234" s="19">
        <f>Monthly_payment($B$1,$D$1,$B$3)*'PSA&amp;CPR（function) '!N234</f>
        <v>0</v>
      </c>
      <c r="E234" s="19">
        <f>Principle_portion_of_payment($B$1,$D$1,A234,$B$3)*'PSA&amp;CPR（function) '!N234</f>
        <v>0</v>
      </c>
      <c r="F234" s="19">
        <f>Interest_portion_of_payment($B$1,$D$1,A234,$B$3)*'PSA&amp;CPR（function) '!N234</f>
        <v>0</v>
      </c>
      <c r="G234" s="19">
        <f>(B234-E234)*'PSA&amp;CPR（function) '!F235</f>
        <v>0</v>
      </c>
      <c r="H234" s="19">
        <f>Remaining_balance($B$1,$D$1,A234,$B$3)*'PSA&amp;CPR（function) '!N235</f>
        <v>0</v>
      </c>
    </row>
    <row r="235" spans="1:8">
      <c r="A235">
        <f>'PSA&amp;CPR'!A235</f>
        <v>233</v>
      </c>
      <c r="B235" s="19">
        <f t="shared" si="6"/>
        <v>0</v>
      </c>
      <c r="C235" s="19">
        <f t="shared" si="7"/>
        <v>0</v>
      </c>
      <c r="D235" s="19">
        <f>Monthly_payment($B$1,$D$1,$B$3)*'PSA&amp;CPR（function) '!N235</f>
        <v>0</v>
      </c>
      <c r="E235" s="19">
        <f>Principle_portion_of_payment($B$1,$D$1,A235,$B$3)*'PSA&amp;CPR（function) '!N235</f>
        <v>0</v>
      </c>
      <c r="F235" s="19">
        <f>Interest_portion_of_payment($B$1,$D$1,A235,$B$3)*'PSA&amp;CPR（function) '!N235</f>
        <v>0</v>
      </c>
      <c r="G235" s="19">
        <f>(B235-E235)*'PSA&amp;CPR（function) '!F236</f>
        <v>0</v>
      </c>
      <c r="H235" s="19">
        <f>Remaining_balance($B$1,$D$1,A235,$B$3)*'PSA&amp;CPR（function) '!N236</f>
        <v>0</v>
      </c>
    </row>
    <row r="236" spans="1:8">
      <c r="A236">
        <f>'PSA&amp;CPR'!A236</f>
        <v>234</v>
      </c>
      <c r="B236" s="19">
        <f t="shared" si="6"/>
        <v>0</v>
      </c>
      <c r="C236" s="19">
        <f t="shared" si="7"/>
        <v>0</v>
      </c>
      <c r="D236" s="19">
        <f>Monthly_payment($B$1,$D$1,$B$3)*'PSA&amp;CPR（function) '!N236</f>
        <v>0</v>
      </c>
      <c r="E236" s="19">
        <f>Principle_portion_of_payment($B$1,$D$1,A236,$B$3)*'PSA&amp;CPR（function) '!N236</f>
        <v>0</v>
      </c>
      <c r="F236" s="19">
        <f>Interest_portion_of_payment($B$1,$D$1,A236,$B$3)*'PSA&amp;CPR（function) '!N236</f>
        <v>0</v>
      </c>
      <c r="G236" s="19">
        <f>(B236-E236)*'PSA&amp;CPR（function) '!F237</f>
        <v>0</v>
      </c>
      <c r="H236" s="19">
        <f>Remaining_balance($B$1,$D$1,A236,$B$3)*'PSA&amp;CPR（function) '!N237</f>
        <v>0</v>
      </c>
    </row>
    <row r="237" spans="1:8">
      <c r="A237">
        <f>'PSA&amp;CPR'!A237</f>
        <v>235</v>
      </c>
      <c r="B237" s="19">
        <f t="shared" si="6"/>
        <v>0</v>
      </c>
      <c r="C237" s="19">
        <f t="shared" si="7"/>
        <v>0</v>
      </c>
      <c r="D237" s="19">
        <f>Monthly_payment($B$1,$D$1,$B$3)*'PSA&amp;CPR（function) '!N237</f>
        <v>0</v>
      </c>
      <c r="E237" s="19">
        <f>Principle_portion_of_payment($B$1,$D$1,A237,$B$3)*'PSA&amp;CPR（function) '!N237</f>
        <v>0</v>
      </c>
      <c r="F237" s="19">
        <f>Interest_portion_of_payment($B$1,$D$1,A237,$B$3)*'PSA&amp;CPR（function) '!N237</f>
        <v>0</v>
      </c>
      <c r="G237" s="19">
        <f>(B237-E237)*'PSA&amp;CPR（function) '!F238</f>
        <v>0</v>
      </c>
      <c r="H237" s="19">
        <f>Remaining_balance($B$1,$D$1,A237,$B$3)*'PSA&amp;CPR（function) '!N238</f>
        <v>0</v>
      </c>
    </row>
    <row r="238" spans="1:8">
      <c r="A238">
        <f>'PSA&amp;CPR'!A238</f>
        <v>236</v>
      </c>
      <c r="B238" s="19">
        <f t="shared" si="6"/>
        <v>0</v>
      </c>
      <c r="C238" s="19">
        <f t="shared" si="7"/>
        <v>0</v>
      </c>
      <c r="D238" s="19">
        <f>Monthly_payment($B$1,$D$1,$B$3)*'PSA&amp;CPR（function) '!N238</f>
        <v>0</v>
      </c>
      <c r="E238" s="19">
        <f>Principle_portion_of_payment($B$1,$D$1,A238,$B$3)*'PSA&amp;CPR（function) '!N238</f>
        <v>0</v>
      </c>
      <c r="F238" s="19">
        <f>Interest_portion_of_payment($B$1,$D$1,A238,$B$3)*'PSA&amp;CPR（function) '!N238</f>
        <v>0</v>
      </c>
      <c r="G238" s="19">
        <f>(B238-E238)*'PSA&amp;CPR（function) '!F239</f>
        <v>0</v>
      </c>
      <c r="H238" s="19">
        <f>Remaining_balance($B$1,$D$1,A238,$B$3)*'PSA&amp;CPR（function) '!N239</f>
        <v>0</v>
      </c>
    </row>
    <row r="239" spans="1:8">
      <c r="A239">
        <f>'PSA&amp;CPR'!A239</f>
        <v>237</v>
      </c>
      <c r="B239" s="19">
        <f t="shared" si="6"/>
        <v>0</v>
      </c>
      <c r="C239" s="19">
        <f t="shared" si="7"/>
        <v>0</v>
      </c>
      <c r="D239" s="19">
        <f>Monthly_payment($B$1,$D$1,$B$3)*'PSA&amp;CPR（function) '!N239</f>
        <v>0</v>
      </c>
      <c r="E239" s="19">
        <f>Principle_portion_of_payment($B$1,$D$1,A239,$B$3)*'PSA&amp;CPR（function) '!N239</f>
        <v>0</v>
      </c>
      <c r="F239" s="19">
        <f>Interest_portion_of_payment($B$1,$D$1,A239,$B$3)*'PSA&amp;CPR（function) '!N239</f>
        <v>0</v>
      </c>
      <c r="G239" s="19">
        <f>(B239-E239)*'PSA&amp;CPR（function) '!F240</f>
        <v>0</v>
      </c>
      <c r="H239" s="19">
        <f>Remaining_balance($B$1,$D$1,A239,$B$3)*'PSA&amp;CPR（function) '!N240</f>
        <v>0</v>
      </c>
    </row>
    <row r="240" spans="1:8">
      <c r="A240">
        <f>'PSA&amp;CPR'!A240</f>
        <v>238</v>
      </c>
      <c r="B240" s="19">
        <f t="shared" si="6"/>
        <v>0</v>
      </c>
      <c r="C240" s="19">
        <f t="shared" si="7"/>
        <v>0</v>
      </c>
      <c r="D240" s="19">
        <f>Monthly_payment($B$1,$D$1,$B$3)*'PSA&amp;CPR（function) '!N240</f>
        <v>0</v>
      </c>
      <c r="E240" s="19">
        <f>Principle_portion_of_payment($B$1,$D$1,A240,$B$3)*'PSA&amp;CPR（function) '!N240</f>
        <v>0</v>
      </c>
      <c r="F240" s="19">
        <f>Interest_portion_of_payment($B$1,$D$1,A240,$B$3)*'PSA&amp;CPR（function) '!N240</f>
        <v>0</v>
      </c>
      <c r="G240" s="19">
        <f>(B240-E240)*'PSA&amp;CPR（function) '!F241</f>
        <v>0</v>
      </c>
      <c r="H240" s="19">
        <f>Remaining_balance($B$1,$D$1,A240,$B$3)*'PSA&amp;CPR（function) '!N241</f>
        <v>0</v>
      </c>
    </row>
    <row r="241" spans="1:8">
      <c r="A241">
        <f>'PSA&amp;CPR'!A241</f>
        <v>239</v>
      </c>
      <c r="B241" s="19">
        <f t="shared" si="6"/>
        <v>0</v>
      </c>
      <c r="C241" s="19">
        <f t="shared" si="7"/>
        <v>0</v>
      </c>
      <c r="D241" s="19">
        <f>Monthly_payment($B$1,$D$1,$B$3)*'PSA&amp;CPR（function) '!N241</f>
        <v>0</v>
      </c>
      <c r="E241" s="19">
        <f>Principle_portion_of_payment($B$1,$D$1,A241,$B$3)*'PSA&amp;CPR（function) '!N241</f>
        <v>0</v>
      </c>
      <c r="F241" s="19">
        <f>Interest_portion_of_payment($B$1,$D$1,A241,$B$3)*'PSA&amp;CPR（function) '!N241</f>
        <v>0</v>
      </c>
      <c r="G241" s="19">
        <f>(B241-E241)*'PSA&amp;CPR（function) '!F242</f>
        <v>0</v>
      </c>
      <c r="H241" s="19">
        <f>Remaining_balance($B$1,$D$1,A241,$B$3)*'PSA&amp;CPR（function) '!N242</f>
        <v>0</v>
      </c>
    </row>
    <row r="242" spans="1:8">
      <c r="A242">
        <f>'PSA&amp;CPR'!A242</f>
        <v>240</v>
      </c>
      <c r="B242" s="19">
        <f t="shared" si="6"/>
        <v>0</v>
      </c>
      <c r="C242" s="19">
        <f t="shared" si="7"/>
        <v>0</v>
      </c>
      <c r="D242" s="19">
        <f>Monthly_payment($B$1,$D$1,$B$3)*'PSA&amp;CPR（function) '!N242</f>
        <v>0</v>
      </c>
      <c r="E242" s="19">
        <f>Principle_portion_of_payment($B$1,$D$1,A242,$B$3)*'PSA&amp;CPR（function) '!N242</f>
        <v>0</v>
      </c>
      <c r="F242" s="19">
        <f>Interest_portion_of_payment($B$1,$D$1,A242,$B$3)*'PSA&amp;CPR（function) '!N242</f>
        <v>0</v>
      </c>
      <c r="G242" s="19">
        <f>(B242-E242)*'PSA&amp;CPR（function) '!F243</f>
        <v>0</v>
      </c>
      <c r="H242" s="19">
        <f>Remaining_balance($B$1,$D$1,A242,$B$3)*'PSA&amp;CPR（function) '!N243</f>
        <v>0</v>
      </c>
    </row>
    <row r="243" spans="1:8">
      <c r="A243">
        <f>'PSA&amp;CPR'!A243</f>
        <v>241</v>
      </c>
      <c r="B243" s="19">
        <f t="shared" si="6"/>
        <v>0</v>
      </c>
      <c r="C243" s="19">
        <f t="shared" si="7"/>
        <v>0</v>
      </c>
      <c r="D243" s="19">
        <f>Monthly_payment($B$1,$D$1,$B$3)*'PSA&amp;CPR（function) '!N243</f>
        <v>0</v>
      </c>
      <c r="E243" s="19">
        <f>Principle_portion_of_payment($B$1,$D$1,A243,$B$3)*'PSA&amp;CPR（function) '!N243</f>
        <v>0</v>
      </c>
      <c r="F243" s="19">
        <f>Interest_portion_of_payment($B$1,$D$1,A243,$B$3)*'PSA&amp;CPR（function) '!N243</f>
        <v>0</v>
      </c>
      <c r="G243" s="19">
        <f>(B243-E243)*'PSA&amp;CPR（function) '!F244</f>
        <v>0</v>
      </c>
      <c r="H243" s="19">
        <f>Remaining_balance($B$1,$D$1,A243,$B$3)*'PSA&amp;CPR（function) '!N244</f>
        <v>0</v>
      </c>
    </row>
    <row r="244" spans="1:8">
      <c r="A244">
        <f>'PSA&amp;CPR'!A244</f>
        <v>242</v>
      </c>
      <c r="B244" s="19">
        <f t="shared" si="6"/>
        <v>0</v>
      </c>
      <c r="C244" s="19">
        <f t="shared" si="7"/>
        <v>0</v>
      </c>
      <c r="D244" s="19">
        <f>Monthly_payment($B$1,$D$1,$B$3)*'PSA&amp;CPR（function) '!N244</f>
        <v>0</v>
      </c>
      <c r="E244" s="19">
        <f>Principle_portion_of_payment($B$1,$D$1,A244,$B$3)*'PSA&amp;CPR（function) '!N244</f>
        <v>0</v>
      </c>
      <c r="F244" s="19">
        <f>Interest_portion_of_payment($B$1,$D$1,A244,$B$3)*'PSA&amp;CPR（function) '!N244</f>
        <v>0</v>
      </c>
      <c r="G244" s="19">
        <f>(B244-E244)*'PSA&amp;CPR（function) '!F245</f>
        <v>0</v>
      </c>
      <c r="H244" s="19">
        <f>Remaining_balance($B$1,$D$1,A244,$B$3)*'PSA&amp;CPR（function) '!N245</f>
        <v>0</v>
      </c>
    </row>
    <row r="245" spans="1:8">
      <c r="A245">
        <f>'PSA&amp;CPR'!A245</f>
        <v>243</v>
      </c>
      <c r="B245" s="19">
        <f t="shared" si="6"/>
        <v>0</v>
      </c>
      <c r="C245" s="19">
        <f t="shared" si="7"/>
        <v>0</v>
      </c>
      <c r="D245" s="19">
        <f>Monthly_payment($B$1,$D$1,$B$3)*'PSA&amp;CPR（function) '!N245</f>
        <v>0</v>
      </c>
      <c r="E245" s="19">
        <f>Principle_portion_of_payment($B$1,$D$1,A245,$B$3)*'PSA&amp;CPR（function) '!N245</f>
        <v>0</v>
      </c>
      <c r="F245" s="19">
        <f>Interest_portion_of_payment($B$1,$D$1,A245,$B$3)*'PSA&amp;CPR（function) '!N245</f>
        <v>0</v>
      </c>
      <c r="G245" s="19">
        <f>(B245-E245)*'PSA&amp;CPR（function) '!F246</f>
        <v>0</v>
      </c>
      <c r="H245" s="19">
        <f>Remaining_balance($B$1,$D$1,A245,$B$3)*'PSA&amp;CPR（function) '!N246</f>
        <v>0</v>
      </c>
    </row>
    <row r="246" spans="1:8">
      <c r="A246">
        <f>'PSA&amp;CPR'!A246</f>
        <v>244</v>
      </c>
      <c r="B246" s="19">
        <f t="shared" si="6"/>
        <v>0</v>
      </c>
      <c r="C246" s="19">
        <f t="shared" si="7"/>
        <v>0</v>
      </c>
      <c r="D246" s="19">
        <f>Monthly_payment($B$1,$D$1,$B$3)*'PSA&amp;CPR（function) '!N246</f>
        <v>0</v>
      </c>
      <c r="E246" s="19">
        <f>Principle_portion_of_payment($B$1,$D$1,A246,$B$3)*'PSA&amp;CPR（function) '!N246</f>
        <v>0</v>
      </c>
      <c r="F246" s="19">
        <f>Interest_portion_of_payment($B$1,$D$1,A246,$B$3)*'PSA&amp;CPR（function) '!N246</f>
        <v>0</v>
      </c>
      <c r="G246" s="19">
        <f>(B246-E246)*'PSA&amp;CPR（function) '!F247</f>
        <v>0</v>
      </c>
      <c r="H246" s="19">
        <f>Remaining_balance($B$1,$D$1,A246,$B$3)*'PSA&amp;CPR（function) '!N247</f>
        <v>0</v>
      </c>
    </row>
    <row r="247" spans="1:8">
      <c r="A247">
        <f>'PSA&amp;CPR'!A247</f>
        <v>245</v>
      </c>
      <c r="B247" s="19">
        <f t="shared" si="6"/>
        <v>0</v>
      </c>
      <c r="C247" s="19">
        <f t="shared" si="7"/>
        <v>0</v>
      </c>
      <c r="D247" s="19">
        <f>Monthly_payment($B$1,$D$1,$B$3)*'PSA&amp;CPR（function) '!N247</f>
        <v>0</v>
      </c>
      <c r="E247" s="19">
        <f>Principle_portion_of_payment($B$1,$D$1,A247,$B$3)*'PSA&amp;CPR（function) '!N247</f>
        <v>0</v>
      </c>
      <c r="F247" s="19">
        <f>Interest_portion_of_payment($B$1,$D$1,A247,$B$3)*'PSA&amp;CPR（function) '!N247</f>
        <v>0</v>
      </c>
      <c r="G247" s="19">
        <f>(B247-E247)*'PSA&amp;CPR（function) '!F248</f>
        <v>0</v>
      </c>
      <c r="H247" s="19">
        <f>Remaining_balance($B$1,$D$1,A247,$B$3)*'PSA&amp;CPR（function) '!N248</f>
        <v>0</v>
      </c>
    </row>
    <row r="248" spans="1:8">
      <c r="A248">
        <f>'PSA&amp;CPR'!A248</f>
        <v>246</v>
      </c>
      <c r="B248" s="19">
        <f t="shared" si="6"/>
        <v>0</v>
      </c>
      <c r="C248" s="19">
        <f t="shared" si="7"/>
        <v>0</v>
      </c>
      <c r="D248" s="19">
        <f>Monthly_payment($B$1,$D$1,$B$3)*'PSA&amp;CPR（function) '!N248</f>
        <v>0</v>
      </c>
      <c r="E248" s="19">
        <f>Principle_portion_of_payment($B$1,$D$1,A248,$B$3)*'PSA&amp;CPR（function) '!N248</f>
        <v>0</v>
      </c>
      <c r="F248" s="19">
        <f>Interest_portion_of_payment($B$1,$D$1,A248,$B$3)*'PSA&amp;CPR（function) '!N248</f>
        <v>0</v>
      </c>
      <c r="G248" s="19">
        <f>(B248-E248)*'PSA&amp;CPR（function) '!F249</f>
        <v>0</v>
      </c>
      <c r="H248" s="19">
        <f>Remaining_balance($B$1,$D$1,A248,$B$3)*'PSA&amp;CPR（function) '!N249</f>
        <v>0</v>
      </c>
    </row>
    <row r="249" spans="1:8">
      <c r="A249">
        <f>'PSA&amp;CPR'!A249</f>
        <v>247</v>
      </c>
      <c r="B249" s="19">
        <f t="shared" si="6"/>
        <v>0</v>
      </c>
      <c r="C249" s="19">
        <f t="shared" si="7"/>
        <v>0</v>
      </c>
      <c r="D249" s="19">
        <f>Monthly_payment($B$1,$D$1,$B$3)*'PSA&amp;CPR（function) '!N249</f>
        <v>0</v>
      </c>
      <c r="E249" s="19">
        <f>Principle_portion_of_payment($B$1,$D$1,A249,$B$3)*'PSA&amp;CPR（function) '!N249</f>
        <v>0</v>
      </c>
      <c r="F249" s="19">
        <f>Interest_portion_of_payment($B$1,$D$1,A249,$B$3)*'PSA&amp;CPR（function) '!N249</f>
        <v>0</v>
      </c>
      <c r="G249" s="19">
        <f>(B249-E249)*'PSA&amp;CPR（function) '!F250</f>
        <v>0</v>
      </c>
      <c r="H249" s="19">
        <f>Remaining_balance($B$1,$D$1,A249,$B$3)*'PSA&amp;CPR（function) '!N250</f>
        <v>0</v>
      </c>
    </row>
    <row r="250" spans="1:8">
      <c r="A250">
        <f>'PSA&amp;CPR'!A250</f>
        <v>248</v>
      </c>
      <c r="B250" s="19">
        <f t="shared" si="6"/>
        <v>0</v>
      </c>
      <c r="C250" s="19">
        <f t="shared" si="7"/>
        <v>0</v>
      </c>
      <c r="D250" s="19">
        <f>Monthly_payment($B$1,$D$1,$B$3)*'PSA&amp;CPR（function) '!N250</f>
        <v>0</v>
      </c>
      <c r="E250" s="19">
        <f>Principle_portion_of_payment($B$1,$D$1,A250,$B$3)*'PSA&amp;CPR（function) '!N250</f>
        <v>0</v>
      </c>
      <c r="F250" s="19">
        <f>Interest_portion_of_payment($B$1,$D$1,A250,$B$3)*'PSA&amp;CPR（function) '!N250</f>
        <v>0</v>
      </c>
      <c r="G250" s="19">
        <f>(B250-E250)*'PSA&amp;CPR（function) '!F251</f>
        <v>0</v>
      </c>
      <c r="H250" s="19">
        <f>Remaining_balance($B$1,$D$1,A250,$B$3)*'PSA&amp;CPR（function) '!N251</f>
        <v>0</v>
      </c>
    </row>
    <row r="251" spans="1:8">
      <c r="A251">
        <f>'PSA&amp;CPR'!A251</f>
        <v>249</v>
      </c>
      <c r="B251" s="19">
        <f t="shared" si="6"/>
        <v>0</v>
      </c>
      <c r="C251" s="19">
        <f t="shared" si="7"/>
        <v>0</v>
      </c>
      <c r="D251" s="19">
        <f>Monthly_payment($B$1,$D$1,$B$3)*'PSA&amp;CPR（function) '!N251</f>
        <v>0</v>
      </c>
      <c r="E251" s="19">
        <f>Principle_portion_of_payment($B$1,$D$1,A251,$B$3)*'PSA&amp;CPR（function) '!N251</f>
        <v>0</v>
      </c>
      <c r="F251" s="19">
        <f>Interest_portion_of_payment($B$1,$D$1,A251,$B$3)*'PSA&amp;CPR（function) '!N251</f>
        <v>0</v>
      </c>
      <c r="G251" s="19">
        <f>(B251-E251)*'PSA&amp;CPR（function) '!F252</f>
        <v>0</v>
      </c>
      <c r="H251" s="19">
        <f>Remaining_balance($B$1,$D$1,A251,$B$3)*'PSA&amp;CPR（function) '!N252</f>
        <v>0</v>
      </c>
    </row>
    <row r="252" spans="1:8">
      <c r="A252">
        <f>'PSA&amp;CPR'!A252</f>
        <v>250</v>
      </c>
      <c r="B252" s="19">
        <f t="shared" si="6"/>
        <v>0</v>
      </c>
      <c r="C252" s="19">
        <f t="shared" si="7"/>
        <v>0</v>
      </c>
      <c r="D252" s="19">
        <f>Monthly_payment($B$1,$D$1,$B$3)*'PSA&amp;CPR（function) '!N252</f>
        <v>0</v>
      </c>
      <c r="E252" s="19">
        <f>Principle_portion_of_payment($B$1,$D$1,A252,$B$3)*'PSA&amp;CPR（function) '!N252</f>
        <v>0</v>
      </c>
      <c r="F252" s="19">
        <f>Interest_portion_of_payment($B$1,$D$1,A252,$B$3)*'PSA&amp;CPR（function) '!N252</f>
        <v>0</v>
      </c>
      <c r="G252" s="19">
        <f>(B252-E252)*'PSA&amp;CPR（function) '!F253</f>
        <v>0</v>
      </c>
      <c r="H252" s="19">
        <f>Remaining_balance($B$1,$D$1,A252,$B$3)*'PSA&amp;CPR（function) '!N253</f>
        <v>0</v>
      </c>
    </row>
    <row r="253" spans="1:8">
      <c r="A253">
        <f>'PSA&amp;CPR'!A253</f>
        <v>251</v>
      </c>
      <c r="B253" s="19">
        <f t="shared" si="6"/>
        <v>0</v>
      </c>
      <c r="C253" s="19">
        <f t="shared" si="7"/>
        <v>0</v>
      </c>
      <c r="D253" s="19">
        <f>Monthly_payment($B$1,$D$1,$B$3)*'PSA&amp;CPR（function) '!N253</f>
        <v>0</v>
      </c>
      <c r="E253" s="19">
        <f>Principle_portion_of_payment($B$1,$D$1,A253,$B$3)*'PSA&amp;CPR（function) '!N253</f>
        <v>0</v>
      </c>
      <c r="F253" s="19">
        <f>Interest_portion_of_payment($B$1,$D$1,A253,$B$3)*'PSA&amp;CPR（function) '!N253</f>
        <v>0</v>
      </c>
      <c r="G253" s="19">
        <f>(B253-E253)*'PSA&amp;CPR（function) '!F254</f>
        <v>0</v>
      </c>
      <c r="H253" s="19">
        <f>Remaining_balance($B$1,$D$1,A253,$B$3)*'PSA&amp;CPR（function) '!N254</f>
        <v>0</v>
      </c>
    </row>
    <row r="254" spans="1:8">
      <c r="A254">
        <f>'PSA&amp;CPR'!A254</f>
        <v>252</v>
      </c>
      <c r="B254" s="19">
        <f t="shared" si="6"/>
        <v>0</v>
      </c>
      <c r="C254" s="19">
        <f t="shared" si="7"/>
        <v>0</v>
      </c>
      <c r="D254" s="19">
        <f>Monthly_payment($B$1,$D$1,$B$3)*'PSA&amp;CPR（function) '!N254</f>
        <v>0</v>
      </c>
      <c r="E254" s="19">
        <f>Principle_portion_of_payment($B$1,$D$1,A254,$B$3)*'PSA&amp;CPR（function) '!N254</f>
        <v>0</v>
      </c>
      <c r="F254" s="19">
        <f>Interest_portion_of_payment($B$1,$D$1,A254,$B$3)*'PSA&amp;CPR（function) '!N254</f>
        <v>0</v>
      </c>
      <c r="G254" s="19">
        <f>(B254-E254)*'PSA&amp;CPR（function) '!F255</f>
        <v>0</v>
      </c>
      <c r="H254" s="19">
        <f>Remaining_balance($B$1,$D$1,A254,$B$3)*'PSA&amp;CPR（function) '!N255</f>
        <v>0</v>
      </c>
    </row>
    <row r="255" spans="1:8">
      <c r="A255">
        <f>'PSA&amp;CPR'!A255</f>
        <v>253</v>
      </c>
      <c r="B255" s="19">
        <f t="shared" si="6"/>
        <v>0</v>
      </c>
      <c r="C255" s="19">
        <f t="shared" si="7"/>
        <v>0</v>
      </c>
      <c r="D255" s="19">
        <f>Monthly_payment($B$1,$D$1,$B$3)*'PSA&amp;CPR（function) '!N255</f>
        <v>0</v>
      </c>
      <c r="E255" s="19">
        <f>Principle_portion_of_payment($B$1,$D$1,A255,$B$3)*'PSA&amp;CPR（function) '!N255</f>
        <v>0</v>
      </c>
      <c r="F255" s="19">
        <f>Interest_portion_of_payment($B$1,$D$1,A255,$B$3)*'PSA&amp;CPR（function) '!N255</f>
        <v>0</v>
      </c>
      <c r="G255" s="19">
        <f>(B255-E255)*'PSA&amp;CPR（function) '!F256</f>
        <v>0</v>
      </c>
      <c r="H255" s="19">
        <f>Remaining_balance($B$1,$D$1,A255,$B$3)*'PSA&amp;CPR（function) '!N256</f>
        <v>0</v>
      </c>
    </row>
    <row r="256" spans="1:8">
      <c r="A256">
        <f>'PSA&amp;CPR'!A256</f>
        <v>254</v>
      </c>
      <c r="B256" s="19">
        <f t="shared" si="6"/>
        <v>0</v>
      </c>
      <c r="C256" s="19">
        <f t="shared" si="7"/>
        <v>0</v>
      </c>
      <c r="D256" s="19">
        <f>Monthly_payment($B$1,$D$1,$B$3)*'PSA&amp;CPR（function) '!N256</f>
        <v>0</v>
      </c>
      <c r="E256" s="19">
        <f>Principle_portion_of_payment($B$1,$D$1,A256,$B$3)*'PSA&amp;CPR（function) '!N256</f>
        <v>0</v>
      </c>
      <c r="F256" s="19">
        <f>Interest_portion_of_payment($B$1,$D$1,A256,$B$3)*'PSA&amp;CPR（function) '!N256</f>
        <v>0</v>
      </c>
      <c r="G256" s="19">
        <f>(B256-E256)*'PSA&amp;CPR（function) '!F257</f>
        <v>0</v>
      </c>
      <c r="H256" s="19">
        <f>Remaining_balance($B$1,$D$1,A256,$B$3)*'PSA&amp;CPR（function) '!N257</f>
        <v>0</v>
      </c>
    </row>
    <row r="257" spans="1:8">
      <c r="A257">
        <f>'PSA&amp;CPR'!A257</f>
        <v>255</v>
      </c>
      <c r="B257" s="19">
        <f t="shared" si="6"/>
        <v>0</v>
      </c>
      <c r="C257" s="19">
        <f t="shared" si="7"/>
        <v>0</v>
      </c>
      <c r="D257" s="19">
        <f>Monthly_payment($B$1,$D$1,$B$3)*'PSA&amp;CPR（function) '!N257</f>
        <v>0</v>
      </c>
      <c r="E257" s="19">
        <f>Principle_portion_of_payment($B$1,$D$1,A257,$B$3)*'PSA&amp;CPR（function) '!N257</f>
        <v>0</v>
      </c>
      <c r="F257" s="19">
        <f>Interest_portion_of_payment($B$1,$D$1,A257,$B$3)*'PSA&amp;CPR（function) '!N257</f>
        <v>0</v>
      </c>
      <c r="G257" s="19">
        <f>(B257-E257)*'PSA&amp;CPR（function) '!F258</f>
        <v>0</v>
      </c>
      <c r="H257" s="19">
        <f>Remaining_balance($B$1,$D$1,A257,$B$3)*'PSA&amp;CPR（function) '!N258</f>
        <v>0</v>
      </c>
    </row>
    <row r="258" spans="1:8">
      <c r="A258">
        <f>'PSA&amp;CPR'!A258</f>
        <v>256</v>
      </c>
      <c r="B258" s="19">
        <f t="shared" si="6"/>
        <v>0</v>
      </c>
      <c r="C258" s="19">
        <f t="shared" si="7"/>
        <v>0</v>
      </c>
      <c r="D258" s="19">
        <f>Monthly_payment($B$1,$D$1,$B$3)*'PSA&amp;CPR（function) '!N258</f>
        <v>0</v>
      </c>
      <c r="E258" s="19">
        <f>Principle_portion_of_payment($B$1,$D$1,A258,$B$3)*'PSA&amp;CPR（function) '!N258</f>
        <v>0</v>
      </c>
      <c r="F258" s="19">
        <f>Interest_portion_of_payment($B$1,$D$1,A258,$B$3)*'PSA&amp;CPR（function) '!N258</f>
        <v>0</v>
      </c>
      <c r="G258" s="19">
        <f>(B258-E258)*'PSA&amp;CPR（function) '!F259</f>
        <v>0</v>
      </c>
      <c r="H258" s="19">
        <f>Remaining_balance($B$1,$D$1,A258,$B$3)*'PSA&amp;CPR（function) '!N259</f>
        <v>0</v>
      </c>
    </row>
    <row r="259" spans="1:8">
      <c r="A259">
        <f>'PSA&amp;CPR'!A259</f>
        <v>257</v>
      </c>
      <c r="B259" s="19">
        <f t="shared" si="6"/>
        <v>0</v>
      </c>
      <c r="C259" s="19">
        <f t="shared" si="7"/>
        <v>0</v>
      </c>
      <c r="D259" s="19">
        <f>Monthly_payment($B$1,$D$1,$B$3)*'PSA&amp;CPR（function) '!N259</f>
        <v>0</v>
      </c>
      <c r="E259" s="19">
        <f>Principle_portion_of_payment($B$1,$D$1,A259,$B$3)*'PSA&amp;CPR（function) '!N259</f>
        <v>0</v>
      </c>
      <c r="F259" s="19">
        <f>Interest_portion_of_payment($B$1,$D$1,A259,$B$3)*'PSA&amp;CPR（function) '!N259</f>
        <v>0</v>
      </c>
      <c r="G259" s="19">
        <f>(B259-E259)*'PSA&amp;CPR（function) '!F260</f>
        <v>0</v>
      </c>
      <c r="H259" s="19">
        <f>Remaining_balance($B$1,$D$1,A259,$B$3)*'PSA&amp;CPR（function) '!N260</f>
        <v>0</v>
      </c>
    </row>
    <row r="260" spans="1:8">
      <c r="A260">
        <f>'PSA&amp;CPR'!A260</f>
        <v>258</v>
      </c>
      <c r="B260" s="19">
        <f t="shared" si="6"/>
        <v>0</v>
      </c>
      <c r="C260" s="19">
        <f t="shared" si="7"/>
        <v>0</v>
      </c>
      <c r="D260" s="19">
        <f>Monthly_payment($B$1,$D$1,$B$3)*'PSA&amp;CPR（function) '!N260</f>
        <v>0</v>
      </c>
      <c r="E260" s="19">
        <f>Principle_portion_of_payment($B$1,$D$1,A260,$B$3)*'PSA&amp;CPR（function) '!N260</f>
        <v>0</v>
      </c>
      <c r="F260" s="19">
        <f>Interest_portion_of_payment($B$1,$D$1,A260,$B$3)*'PSA&amp;CPR（function) '!N260</f>
        <v>0</v>
      </c>
      <c r="G260" s="19">
        <f>(B260-E260)*'PSA&amp;CPR（function) '!F261</f>
        <v>0</v>
      </c>
      <c r="H260" s="19">
        <f>Remaining_balance($B$1,$D$1,A260,$B$3)*'PSA&amp;CPR（function) '!N261</f>
        <v>0</v>
      </c>
    </row>
    <row r="261" spans="1:8">
      <c r="A261">
        <f>'PSA&amp;CPR'!A261</f>
        <v>259</v>
      </c>
      <c r="B261" s="19">
        <f t="shared" ref="B261:B324" si="8">H260</f>
        <v>0</v>
      </c>
      <c r="C261" s="19">
        <f t="shared" ref="C261:C324" si="9">B261*($B$1/1200)</f>
        <v>0</v>
      </c>
      <c r="D261" s="19">
        <f>Monthly_payment($B$1,$D$1,$B$3)*'PSA&amp;CPR（function) '!N261</f>
        <v>0</v>
      </c>
      <c r="E261" s="19">
        <f>Principle_portion_of_payment($B$1,$D$1,A261,$B$3)*'PSA&amp;CPR（function) '!N261</f>
        <v>0</v>
      </c>
      <c r="F261" s="19">
        <f>Interest_portion_of_payment($B$1,$D$1,A261,$B$3)*'PSA&amp;CPR（function) '!N261</f>
        <v>0</v>
      </c>
      <c r="G261" s="19">
        <f>(B261-E261)*'PSA&amp;CPR（function) '!F262</f>
        <v>0</v>
      </c>
      <c r="H261" s="19">
        <f>Remaining_balance($B$1,$D$1,A261,$B$3)*'PSA&amp;CPR（function) '!N262</f>
        <v>0</v>
      </c>
    </row>
    <row r="262" spans="1:8">
      <c r="A262">
        <f>'PSA&amp;CPR'!A262</f>
        <v>260</v>
      </c>
      <c r="B262" s="19">
        <f t="shared" si="8"/>
        <v>0</v>
      </c>
      <c r="C262" s="19">
        <f t="shared" si="9"/>
        <v>0</v>
      </c>
      <c r="D262" s="19">
        <f>Monthly_payment($B$1,$D$1,$B$3)*'PSA&amp;CPR（function) '!N262</f>
        <v>0</v>
      </c>
      <c r="E262" s="19">
        <f>Principle_portion_of_payment($B$1,$D$1,A262,$B$3)*'PSA&amp;CPR（function) '!N262</f>
        <v>0</v>
      </c>
      <c r="F262" s="19">
        <f>Interest_portion_of_payment($B$1,$D$1,A262,$B$3)*'PSA&amp;CPR（function) '!N262</f>
        <v>0</v>
      </c>
      <c r="G262" s="19">
        <f>(B262-E262)*'PSA&amp;CPR（function) '!F263</f>
        <v>0</v>
      </c>
      <c r="H262" s="19">
        <f>Remaining_balance($B$1,$D$1,A262,$B$3)*'PSA&amp;CPR（function) '!N263</f>
        <v>0</v>
      </c>
    </row>
    <row r="263" spans="1:8">
      <c r="A263">
        <f>'PSA&amp;CPR'!A263</f>
        <v>261</v>
      </c>
      <c r="B263" s="19">
        <f t="shared" si="8"/>
        <v>0</v>
      </c>
      <c r="C263" s="19">
        <f t="shared" si="9"/>
        <v>0</v>
      </c>
      <c r="D263" s="19">
        <f>Monthly_payment($B$1,$D$1,$B$3)*'PSA&amp;CPR（function) '!N263</f>
        <v>0</v>
      </c>
      <c r="E263" s="19">
        <f>Principle_portion_of_payment($B$1,$D$1,A263,$B$3)*'PSA&amp;CPR（function) '!N263</f>
        <v>0</v>
      </c>
      <c r="F263" s="19">
        <f>Interest_portion_of_payment($B$1,$D$1,A263,$B$3)*'PSA&amp;CPR（function) '!N263</f>
        <v>0</v>
      </c>
      <c r="G263" s="19">
        <f>(B263-E263)*'PSA&amp;CPR（function) '!F264</f>
        <v>0</v>
      </c>
      <c r="H263" s="19">
        <f>Remaining_balance($B$1,$D$1,A263,$B$3)*'PSA&amp;CPR（function) '!N264</f>
        <v>0</v>
      </c>
    </row>
    <row r="264" spans="1:8">
      <c r="A264">
        <f>'PSA&amp;CPR'!A264</f>
        <v>262</v>
      </c>
      <c r="B264" s="19">
        <f t="shared" si="8"/>
        <v>0</v>
      </c>
      <c r="C264" s="19">
        <f t="shared" si="9"/>
        <v>0</v>
      </c>
      <c r="D264" s="19">
        <f>Monthly_payment($B$1,$D$1,$B$3)*'PSA&amp;CPR（function) '!N264</f>
        <v>0</v>
      </c>
      <c r="E264" s="19">
        <f>Principle_portion_of_payment($B$1,$D$1,A264,$B$3)*'PSA&amp;CPR（function) '!N264</f>
        <v>0</v>
      </c>
      <c r="F264" s="19">
        <f>Interest_portion_of_payment($B$1,$D$1,A264,$B$3)*'PSA&amp;CPR（function) '!N264</f>
        <v>0</v>
      </c>
      <c r="G264" s="19">
        <f>(B264-E264)*'PSA&amp;CPR（function) '!F265</f>
        <v>0</v>
      </c>
      <c r="H264" s="19">
        <f>Remaining_balance($B$1,$D$1,A264,$B$3)*'PSA&amp;CPR（function) '!N265</f>
        <v>0</v>
      </c>
    </row>
    <row r="265" spans="1:8">
      <c r="A265">
        <f>'PSA&amp;CPR'!A265</f>
        <v>263</v>
      </c>
      <c r="B265" s="19">
        <f t="shared" si="8"/>
        <v>0</v>
      </c>
      <c r="C265" s="19">
        <f t="shared" si="9"/>
        <v>0</v>
      </c>
      <c r="D265" s="19">
        <f>Monthly_payment($B$1,$D$1,$B$3)*'PSA&amp;CPR（function) '!N265</f>
        <v>0</v>
      </c>
      <c r="E265" s="19">
        <f>Principle_portion_of_payment($B$1,$D$1,A265,$B$3)*'PSA&amp;CPR（function) '!N265</f>
        <v>0</v>
      </c>
      <c r="F265" s="19">
        <f>Interest_portion_of_payment($B$1,$D$1,A265,$B$3)*'PSA&amp;CPR（function) '!N265</f>
        <v>0</v>
      </c>
      <c r="G265" s="19">
        <f>(B265-E265)*'PSA&amp;CPR（function) '!F266</f>
        <v>0</v>
      </c>
      <c r="H265" s="19">
        <f>Remaining_balance($B$1,$D$1,A265,$B$3)*'PSA&amp;CPR（function) '!N266</f>
        <v>0</v>
      </c>
    </row>
    <row r="266" spans="1:8">
      <c r="A266">
        <f>'PSA&amp;CPR'!A266</f>
        <v>264</v>
      </c>
      <c r="B266" s="19">
        <f t="shared" si="8"/>
        <v>0</v>
      </c>
      <c r="C266" s="19">
        <f t="shared" si="9"/>
        <v>0</v>
      </c>
      <c r="D266" s="19">
        <f>Monthly_payment($B$1,$D$1,$B$3)*'PSA&amp;CPR（function) '!N266</f>
        <v>0</v>
      </c>
      <c r="E266" s="19">
        <f>Principle_portion_of_payment($B$1,$D$1,A266,$B$3)*'PSA&amp;CPR（function) '!N266</f>
        <v>0</v>
      </c>
      <c r="F266" s="19">
        <f>Interest_portion_of_payment($B$1,$D$1,A266,$B$3)*'PSA&amp;CPR（function) '!N266</f>
        <v>0</v>
      </c>
      <c r="G266" s="19">
        <f>(B266-E266)*'PSA&amp;CPR（function) '!F267</f>
        <v>0</v>
      </c>
      <c r="H266" s="19">
        <f>Remaining_balance($B$1,$D$1,A266,$B$3)*'PSA&amp;CPR（function) '!N267</f>
        <v>0</v>
      </c>
    </row>
    <row r="267" spans="1:8">
      <c r="A267">
        <f>'PSA&amp;CPR'!A267</f>
        <v>265</v>
      </c>
      <c r="B267" s="19">
        <f t="shared" si="8"/>
        <v>0</v>
      </c>
      <c r="C267" s="19">
        <f t="shared" si="9"/>
        <v>0</v>
      </c>
      <c r="D267" s="19">
        <f>Monthly_payment($B$1,$D$1,$B$3)*'PSA&amp;CPR（function) '!N267</f>
        <v>0</v>
      </c>
      <c r="E267" s="19">
        <f>Principle_portion_of_payment($B$1,$D$1,A267,$B$3)*'PSA&amp;CPR（function) '!N267</f>
        <v>0</v>
      </c>
      <c r="F267" s="19">
        <f>Interest_portion_of_payment($B$1,$D$1,A267,$B$3)*'PSA&amp;CPR（function) '!N267</f>
        <v>0</v>
      </c>
      <c r="G267" s="19">
        <f>(B267-E267)*'PSA&amp;CPR（function) '!F268</f>
        <v>0</v>
      </c>
      <c r="H267" s="19">
        <f>Remaining_balance($B$1,$D$1,A267,$B$3)*'PSA&amp;CPR（function) '!N268</f>
        <v>0</v>
      </c>
    </row>
    <row r="268" spans="1:8">
      <c r="A268">
        <f>'PSA&amp;CPR'!A268</f>
        <v>266</v>
      </c>
      <c r="B268" s="19">
        <f t="shared" si="8"/>
        <v>0</v>
      </c>
      <c r="C268" s="19">
        <f t="shared" si="9"/>
        <v>0</v>
      </c>
      <c r="D268" s="19">
        <f>Monthly_payment($B$1,$D$1,$B$3)*'PSA&amp;CPR（function) '!N268</f>
        <v>0</v>
      </c>
      <c r="E268" s="19">
        <f>Principle_portion_of_payment($B$1,$D$1,A268,$B$3)*'PSA&amp;CPR（function) '!N268</f>
        <v>0</v>
      </c>
      <c r="F268" s="19">
        <f>Interest_portion_of_payment($B$1,$D$1,A268,$B$3)*'PSA&amp;CPR（function) '!N268</f>
        <v>0</v>
      </c>
      <c r="G268" s="19">
        <f>(B268-E268)*'PSA&amp;CPR（function) '!F269</f>
        <v>0</v>
      </c>
      <c r="H268" s="19">
        <f>Remaining_balance($B$1,$D$1,A268,$B$3)*'PSA&amp;CPR（function) '!N269</f>
        <v>0</v>
      </c>
    </row>
    <row r="269" spans="1:8">
      <c r="A269">
        <f>'PSA&amp;CPR'!A269</f>
        <v>267</v>
      </c>
      <c r="B269" s="19">
        <f t="shared" si="8"/>
        <v>0</v>
      </c>
      <c r="C269" s="19">
        <f t="shared" si="9"/>
        <v>0</v>
      </c>
      <c r="D269" s="19">
        <f>Monthly_payment($B$1,$D$1,$B$3)*'PSA&amp;CPR（function) '!N269</f>
        <v>0</v>
      </c>
      <c r="E269" s="19">
        <f>Principle_portion_of_payment($B$1,$D$1,A269,$B$3)*'PSA&amp;CPR（function) '!N269</f>
        <v>0</v>
      </c>
      <c r="F269" s="19">
        <f>Interest_portion_of_payment($B$1,$D$1,A269,$B$3)*'PSA&amp;CPR（function) '!N269</f>
        <v>0</v>
      </c>
      <c r="G269" s="19">
        <f>(B269-E269)*'PSA&amp;CPR（function) '!F270</f>
        <v>0</v>
      </c>
      <c r="H269" s="19">
        <f>Remaining_balance($B$1,$D$1,A269,$B$3)*'PSA&amp;CPR（function) '!N270</f>
        <v>0</v>
      </c>
    </row>
    <row r="270" spans="1:8">
      <c r="A270">
        <f>'PSA&amp;CPR'!A270</f>
        <v>268</v>
      </c>
      <c r="B270" s="19">
        <f t="shared" si="8"/>
        <v>0</v>
      </c>
      <c r="C270" s="19">
        <f t="shared" si="9"/>
        <v>0</v>
      </c>
      <c r="D270" s="19">
        <f>Monthly_payment($B$1,$D$1,$B$3)*'PSA&amp;CPR（function) '!N270</f>
        <v>0</v>
      </c>
      <c r="E270" s="19">
        <f>Principle_portion_of_payment($B$1,$D$1,A270,$B$3)*'PSA&amp;CPR（function) '!N270</f>
        <v>0</v>
      </c>
      <c r="F270" s="19">
        <f>Interest_portion_of_payment($B$1,$D$1,A270,$B$3)*'PSA&amp;CPR（function) '!N270</f>
        <v>0</v>
      </c>
      <c r="G270" s="19">
        <f>(B270-E270)*'PSA&amp;CPR（function) '!F271</f>
        <v>0</v>
      </c>
      <c r="H270" s="19">
        <f>Remaining_balance($B$1,$D$1,A270,$B$3)*'PSA&amp;CPR（function) '!N271</f>
        <v>0</v>
      </c>
    </row>
    <row r="271" spans="1:8">
      <c r="A271">
        <f>'PSA&amp;CPR'!A271</f>
        <v>269</v>
      </c>
      <c r="B271" s="19">
        <f t="shared" si="8"/>
        <v>0</v>
      </c>
      <c r="C271" s="19">
        <f t="shared" si="9"/>
        <v>0</v>
      </c>
      <c r="D271" s="19">
        <f>Monthly_payment($B$1,$D$1,$B$3)*'PSA&amp;CPR（function) '!N271</f>
        <v>0</v>
      </c>
      <c r="E271" s="19">
        <f>Principle_portion_of_payment($B$1,$D$1,A271,$B$3)*'PSA&amp;CPR（function) '!N271</f>
        <v>0</v>
      </c>
      <c r="F271" s="19">
        <f>Interest_portion_of_payment($B$1,$D$1,A271,$B$3)*'PSA&amp;CPR（function) '!N271</f>
        <v>0</v>
      </c>
      <c r="G271" s="19">
        <f>(B271-E271)*'PSA&amp;CPR（function) '!F272</f>
        <v>0</v>
      </c>
      <c r="H271" s="19">
        <f>Remaining_balance($B$1,$D$1,A271,$B$3)*'PSA&amp;CPR（function) '!N272</f>
        <v>0</v>
      </c>
    </row>
    <row r="272" spans="1:8">
      <c r="A272">
        <f>'PSA&amp;CPR'!A272</f>
        <v>270</v>
      </c>
      <c r="B272" s="19">
        <f t="shared" si="8"/>
        <v>0</v>
      </c>
      <c r="C272" s="19">
        <f t="shared" si="9"/>
        <v>0</v>
      </c>
      <c r="D272" s="19">
        <f>Monthly_payment($B$1,$D$1,$B$3)*'PSA&amp;CPR（function) '!N272</f>
        <v>0</v>
      </c>
      <c r="E272" s="19">
        <f>Principle_portion_of_payment($B$1,$D$1,A272,$B$3)*'PSA&amp;CPR（function) '!N272</f>
        <v>0</v>
      </c>
      <c r="F272" s="19">
        <f>Interest_portion_of_payment($B$1,$D$1,A272,$B$3)*'PSA&amp;CPR（function) '!N272</f>
        <v>0</v>
      </c>
      <c r="G272" s="19">
        <f>(B272-E272)*'PSA&amp;CPR（function) '!F273</f>
        <v>0</v>
      </c>
      <c r="H272" s="19">
        <f>Remaining_balance($B$1,$D$1,A272,$B$3)*'PSA&amp;CPR（function) '!N273</f>
        <v>0</v>
      </c>
    </row>
    <row r="273" spans="1:8">
      <c r="A273">
        <f>'PSA&amp;CPR'!A273</f>
        <v>271</v>
      </c>
      <c r="B273" s="19">
        <f t="shared" si="8"/>
        <v>0</v>
      </c>
      <c r="C273" s="19">
        <f t="shared" si="9"/>
        <v>0</v>
      </c>
      <c r="D273" s="19">
        <f>Monthly_payment($B$1,$D$1,$B$3)*'PSA&amp;CPR（function) '!N273</f>
        <v>0</v>
      </c>
      <c r="E273" s="19">
        <f>Principle_portion_of_payment($B$1,$D$1,A273,$B$3)*'PSA&amp;CPR（function) '!N273</f>
        <v>0</v>
      </c>
      <c r="F273" s="19">
        <f>Interest_portion_of_payment($B$1,$D$1,A273,$B$3)*'PSA&amp;CPR（function) '!N273</f>
        <v>0</v>
      </c>
      <c r="G273" s="19">
        <f>(B273-E273)*'PSA&amp;CPR（function) '!F274</f>
        <v>0</v>
      </c>
      <c r="H273" s="19">
        <f>Remaining_balance($B$1,$D$1,A273,$B$3)*'PSA&amp;CPR（function) '!N274</f>
        <v>0</v>
      </c>
    </row>
    <row r="274" spans="1:8">
      <c r="A274">
        <f>'PSA&amp;CPR'!A274</f>
        <v>272</v>
      </c>
      <c r="B274" s="19">
        <f t="shared" si="8"/>
        <v>0</v>
      </c>
      <c r="C274" s="19">
        <f t="shared" si="9"/>
        <v>0</v>
      </c>
      <c r="D274" s="19">
        <f>Monthly_payment($B$1,$D$1,$B$3)*'PSA&amp;CPR（function) '!N274</f>
        <v>0</v>
      </c>
      <c r="E274" s="19">
        <f>Principle_portion_of_payment($B$1,$D$1,A274,$B$3)*'PSA&amp;CPR（function) '!N274</f>
        <v>0</v>
      </c>
      <c r="F274" s="19">
        <f>Interest_portion_of_payment($B$1,$D$1,A274,$B$3)*'PSA&amp;CPR（function) '!N274</f>
        <v>0</v>
      </c>
      <c r="G274" s="19">
        <f>(B274-E274)*'PSA&amp;CPR（function) '!F275</f>
        <v>0</v>
      </c>
      <c r="H274" s="19">
        <f>Remaining_balance($B$1,$D$1,A274,$B$3)*'PSA&amp;CPR（function) '!N275</f>
        <v>0</v>
      </c>
    </row>
    <row r="275" spans="1:8">
      <c r="A275">
        <f>'PSA&amp;CPR'!A275</f>
        <v>273</v>
      </c>
      <c r="B275" s="19">
        <f t="shared" si="8"/>
        <v>0</v>
      </c>
      <c r="C275" s="19">
        <f t="shared" si="9"/>
        <v>0</v>
      </c>
      <c r="D275" s="19">
        <f>Monthly_payment($B$1,$D$1,$B$3)*'PSA&amp;CPR（function) '!N275</f>
        <v>0</v>
      </c>
      <c r="E275" s="19">
        <f>Principle_portion_of_payment($B$1,$D$1,A275,$B$3)*'PSA&amp;CPR（function) '!N275</f>
        <v>0</v>
      </c>
      <c r="F275" s="19">
        <f>Interest_portion_of_payment($B$1,$D$1,A275,$B$3)*'PSA&amp;CPR（function) '!N275</f>
        <v>0</v>
      </c>
      <c r="G275" s="19">
        <f>(B275-E275)*'PSA&amp;CPR（function) '!F276</f>
        <v>0</v>
      </c>
      <c r="H275" s="19">
        <f>Remaining_balance($B$1,$D$1,A275,$B$3)*'PSA&amp;CPR（function) '!N276</f>
        <v>0</v>
      </c>
    </row>
    <row r="276" spans="1:8">
      <c r="A276">
        <f>'PSA&amp;CPR'!A276</f>
        <v>274</v>
      </c>
      <c r="B276" s="19">
        <f t="shared" si="8"/>
        <v>0</v>
      </c>
      <c r="C276" s="19">
        <f t="shared" si="9"/>
        <v>0</v>
      </c>
      <c r="D276" s="19">
        <f>Monthly_payment($B$1,$D$1,$B$3)*'PSA&amp;CPR（function) '!N276</f>
        <v>0</v>
      </c>
      <c r="E276" s="19">
        <f>Principle_portion_of_payment($B$1,$D$1,A276,$B$3)*'PSA&amp;CPR（function) '!N276</f>
        <v>0</v>
      </c>
      <c r="F276" s="19">
        <f>Interest_portion_of_payment($B$1,$D$1,A276,$B$3)*'PSA&amp;CPR（function) '!N276</f>
        <v>0</v>
      </c>
      <c r="G276" s="19">
        <f>(B276-E276)*'PSA&amp;CPR（function) '!F277</f>
        <v>0</v>
      </c>
      <c r="H276" s="19">
        <f>Remaining_balance($B$1,$D$1,A276,$B$3)*'PSA&amp;CPR（function) '!N277</f>
        <v>0</v>
      </c>
    </row>
    <row r="277" spans="1:8">
      <c r="A277">
        <f>'PSA&amp;CPR'!A277</f>
        <v>275</v>
      </c>
      <c r="B277" s="19">
        <f t="shared" si="8"/>
        <v>0</v>
      </c>
      <c r="C277" s="19">
        <f t="shared" si="9"/>
        <v>0</v>
      </c>
      <c r="D277" s="19">
        <f>Monthly_payment($B$1,$D$1,$B$3)*'PSA&amp;CPR（function) '!N277</f>
        <v>0</v>
      </c>
      <c r="E277" s="19">
        <f>Principle_portion_of_payment($B$1,$D$1,A277,$B$3)*'PSA&amp;CPR（function) '!N277</f>
        <v>0</v>
      </c>
      <c r="F277" s="19">
        <f>Interest_portion_of_payment($B$1,$D$1,A277,$B$3)*'PSA&amp;CPR（function) '!N277</f>
        <v>0</v>
      </c>
      <c r="G277" s="19">
        <f>(B277-E277)*'PSA&amp;CPR（function) '!F278</f>
        <v>0</v>
      </c>
      <c r="H277" s="19">
        <f>Remaining_balance($B$1,$D$1,A277,$B$3)*'PSA&amp;CPR（function) '!N278</f>
        <v>0</v>
      </c>
    </row>
    <row r="278" spans="1:8">
      <c r="A278">
        <f>'PSA&amp;CPR'!A278</f>
        <v>276</v>
      </c>
      <c r="B278" s="19">
        <f t="shared" si="8"/>
        <v>0</v>
      </c>
      <c r="C278" s="19">
        <f t="shared" si="9"/>
        <v>0</v>
      </c>
      <c r="D278" s="19">
        <f>Monthly_payment($B$1,$D$1,$B$3)*'PSA&amp;CPR（function) '!N278</f>
        <v>0</v>
      </c>
      <c r="E278" s="19">
        <f>Principle_portion_of_payment($B$1,$D$1,A278,$B$3)*'PSA&amp;CPR（function) '!N278</f>
        <v>0</v>
      </c>
      <c r="F278" s="19">
        <f>Interest_portion_of_payment($B$1,$D$1,A278,$B$3)*'PSA&amp;CPR（function) '!N278</f>
        <v>0</v>
      </c>
      <c r="G278" s="19">
        <f>(B278-E278)*'PSA&amp;CPR（function) '!F279</f>
        <v>0</v>
      </c>
      <c r="H278" s="19">
        <f>Remaining_balance($B$1,$D$1,A278,$B$3)*'PSA&amp;CPR（function) '!N279</f>
        <v>0</v>
      </c>
    </row>
    <row r="279" spans="1:8">
      <c r="A279">
        <f>'PSA&amp;CPR'!A279</f>
        <v>277</v>
      </c>
      <c r="B279" s="19">
        <f t="shared" si="8"/>
        <v>0</v>
      </c>
      <c r="C279" s="19">
        <f t="shared" si="9"/>
        <v>0</v>
      </c>
      <c r="D279" s="19">
        <f>Monthly_payment($B$1,$D$1,$B$3)*'PSA&amp;CPR（function) '!N279</f>
        <v>0</v>
      </c>
      <c r="E279" s="19">
        <f>Principle_portion_of_payment($B$1,$D$1,A279,$B$3)*'PSA&amp;CPR（function) '!N279</f>
        <v>0</v>
      </c>
      <c r="F279" s="19">
        <f>Interest_portion_of_payment($B$1,$D$1,A279,$B$3)*'PSA&amp;CPR（function) '!N279</f>
        <v>0</v>
      </c>
      <c r="G279" s="19">
        <f>(B279-E279)*'PSA&amp;CPR（function) '!F280</f>
        <v>0</v>
      </c>
      <c r="H279" s="19">
        <f>Remaining_balance($B$1,$D$1,A279,$B$3)*'PSA&amp;CPR（function) '!N280</f>
        <v>0</v>
      </c>
    </row>
    <row r="280" spans="1:8">
      <c r="A280">
        <f>'PSA&amp;CPR'!A280</f>
        <v>278</v>
      </c>
      <c r="B280" s="19">
        <f t="shared" si="8"/>
        <v>0</v>
      </c>
      <c r="C280" s="19">
        <f t="shared" si="9"/>
        <v>0</v>
      </c>
      <c r="D280" s="19">
        <f>Monthly_payment($B$1,$D$1,$B$3)*'PSA&amp;CPR（function) '!N280</f>
        <v>0</v>
      </c>
      <c r="E280" s="19">
        <f>Principle_portion_of_payment($B$1,$D$1,A280,$B$3)*'PSA&amp;CPR（function) '!N280</f>
        <v>0</v>
      </c>
      <c r="F280" s="19">
        <f>Interest_portion_of_payment($B$1,$D$1,A280,$B$3)*'PSA&amp;CPR（function) '!N280</f>
        <v>0</v>
      </c>
      <c r="G280" s="19">
        <f>(B280-E280)*'PSA&amp;CPR（function) '!F281</f>
        <v>0</v>
      </c>
      <c r="H280" s="19">
        <f>Remaining_balance($B$1,$D$1,A280,$B$3)*'PSA&amp;CPR（function) '!N281</f>
        <v>0</v>
      </c>
    </row>
    <row r="281" spans="1:8">
      <c r="A281">
        <f>'PSA&amp;CPR'!A281</f>
        <v>279</v>
      </c>
      <c r="B281" s="19">
        <f t="shared" si="8"/>
        <v>0</v>
      </c>
      <c r="C281" s="19">
        <f t="shared" si="9"/>
        <v>0</v>
      </c>
      <c r="D281" s="19">
        <f>Monthly_payment($B$1,$D$1,$B$3)*'PSA&amp;CPR（function) '!N281</f>
        <v>0</v>
      </c>
      <c r="E281" s="19">
        <f>Principle_portion_of_payment($B$1,$D$1,A281,$B$3)*'PSA&amp;CPR（function) '!N281</f>
        <v>0</v>
      </c>
      <c r="F281" s="19">
        <f>Interest_portion_of_payment($B$1,$D$1,A281,$B$3)*'PSA&amp;CPR（function) '!N281</f>
        <v>0</v>
      </c>
      <c r="G281" s="19">
        <f>(B281-E281)*'PSA&amp;CPR（function) '!F282</f>
        <v>0</v>
      </c>
      <c r="H281" s="19">
        <f>Remaining_balance($B$1,$D$1,A281,$B$3)*'PSA&amp;CPR（function) '!N282</f>
        <v>0</v>
      </c>
    </row>
    <row r="282" spans="1:8">
      <c r="A282">
        <f>'PSA&amp;CPR'!A282</f>
        <v>280</v>
      </c>
      <c r="B282" s="19">
        <f t="shared" si="8"/>
        <v>0</v>
      </c>
      <c r="C282" s="19">
        <f t="shared" si="9"/>
        <v>0</v>
      </c>
      <c r="D282" s="19">
        <f>Monthly_payment($B$1,$D$1,$B$3)*'PSA&amp;CPR（function) '!N282</f>
        <v>0</v>
      </c>
      <c r="E282" s="19">
        <f>Principle_portion_of_payment($B$1,$D$1,A282,$B$3)*'PSA&amp;CPR（function) '!N282</f>
        <v>0</v>
      </c>
      <c r="F282" s="19">
        <f>Interest_portion_of_payment($B$1,$D$1,A282,$B$3)*'PSA&amp;CPR（function) '!N282</f>
        <v>0</v>
      </c>
      <c r="G282" s="19">
        <f>(B282-E282)*'PSA&amp;CPR（function) '!F283</f>
        <v>0</v>
      </c>
      <c r="H282" s="19">
        <f>Remaining_balance($B$1,$D$1,A282,$B$3)*'PSA&amp;CPR（function) '!N283</f>
        <v>0</v>
      </c>
    </row>
    <row r="283" spans="1:8">
      <c r="A283">
        <f>'PSA&amp;CPR'!A283</f>
        <v>281</v>
      </c>
      <c r="B283" s="19">
        <f t="shared" si="8"/>
        <v>0</v>
      </c>
      <c r="C283" s="19">
        <f t="shared" si="9"/>
        <v>0</v>
      </c>
      <c r="D283" s="19">
        <f>Monthly_payment($B$1,$D$1,$B$3)*'PSA&amp;CPR（function) '!N283</f>
        <v>0</v>
      </c>
      <c r="E283" s="19">
        <f>Principle_portion_of_payment($B$1,$D$1,A283,$B$3)*'PSA&amp;CPR（function) '!N283</f>
        <v>0</v>
      </c>
      <c r="F283" s="19">
        <f>Interest_portion_of_payment($B$1,$D$1,A283,$B$3)*'PSA&amp;CPR（function) '!N283</f>
        <v>0</v>
      </c>
      <c r="G283" s="19">
        <f>(B283-E283)*'PSA&amp;CPR（function) '!F284</f>
        <v>0</v>
      </c>
      <c r="H283" s="19">
        <f>Remaining_balance($B$1,$D$1,A283,$B$3)*'PSA&amp;CPR（function) '!N284</f>
        <v>0</v>
      </c>
    </row>
    <row r="284" spans="1:8">
      <c r="A284">
        <f>'PSA&amp;CPR'!A284</f>
        <v>282</v>
      </c>
      <c r="B284" s="19">
        <f t="shared" si="8"/>
        <v>0</v>
      </c>
      <c r="C284" s="19">
        <f t="shared" si="9"/>
        <v>0</v>
      </c>
      <c r="D284" s="19">
        <f>Monthly_payment($B$1,$D$1,$B$3)*'PSA&amp;CPR（function) '!N284</f>
        <v>0</v>
      </c>
      <c r="E284" s="19">
        <f>Principle_portion_of_payment($B$1,$D$1,A284,$B$3)*'PSA&amp;CPR（function) '!N284</f>
        <v>0</v>
      </c>
      <c r="F284" s="19">
        <f>Interest_portion_of_payment($B$1,$D$1,A284,$B$3)*'PSA&amp;CPR（function) '!N284</f>
        <v>0</v>
      </c>
      <c r="G284" s="19">
        <f>(B284-E284)*'PSA&amp;CPR（function) '!F285</f>
        <v>0</v>
      </c>
      <c r="H284" s="19">
        <f>Remaining_balance($B$1,$D$1,A284,$B$3)*'PSA&amp;CPR（function) '!N285</f>
        <v>0</v>
      </c>
    </row>
    <row r="285" spans="1:8">
      <c r="A285">
        <f>'PSA&amp;CPR'!A285</f>
        <v>283</v>
      </c>
      <c r="B285" s="19">
        <f t="shared" si="8"/>
        <v>0</v>
      </c>
      <c r="C285" s="19">
        <f t="shared" si="9"/>
        <v>0</v>
      </c>
      <c r="D285" s="19">
        <f>Monthly_payment($B$1,$D$1,$B$3)*'PSA&amp;CPR（function) '!N285</f>
        <v>0</v>
      </c>
      <c r="E285" s="19">
        <f>Principle_portion_of_payment($B$1,$D$1,A285,$B$3)*'PSA&amp;CPR（function) '!N285</f>
        <v>0</v>
      </c>
      <c r="F285" s="19">
        <f>Interest_portion_of_payment($B$1,$D$1,A285,$B$3)*'PSA&amp;CPR（function) '!N285</f>
        <v>0</v>
      </c>
      <c r="G285" s="19">
        <f>(B285-E285)*'PSA&amp;CPR（function) '!F286</f>
        <v>0</v>
      </c>
      <c r="H285" s="19">
        <f>Remaining_balance($B$1,$D$1,A285,$B$3)*'PSA&amp;CPR（function) '!N286</f>
        <v>0</v>
      </c>
    </row>
    <row r="286" spans="1:8">
      <c r="A286">
        <f>'PSA&amp;CPR'!A286</f>
        <v>284</v>
      </c>
      <c r="B286" s="19">
        <f t="shared" si="8"/>
        <v>0</v>
      </c>
      <c r="C286" s="19">
        <f t="shared" si="9"/>
        <v>0</v>
      </c>
      <c r="D286" s="19">
        <f>Monthly_payment($B$1,$D$1,$B$3)*'PSA&amp;CPR（function) '!N286</f>
        <v>0</v>
      </c>
      <c r="E286" s="19">
        <f>Principle_portion_of_payment($B$1,$D$1,A286,$B$3)*'PSA&amp;CPR（function) '!N286</f>
        <v>0</v>
      </c>
      <c r="F286" s="19">
        <f>Interest_portion_of_payment($B$1,$D$1,A286,$B$3)*'PSA&amp;CPR（function) '!N286</f>
        <v>0</v>
      </c>
      <c r="G286" s="19">
        <f>(B286-E286)*'PSA&amp;CPR（function) '!F287</f>
        <v>0</v>
      </c>
      <c r="H286" s="19">
        <f>Remaining_balance($B$1,$D$1,A286,$B$3)*'PSA&amp;CPR（function) '!N287</f>
        <v>0</v>
      </c>
    </row>
    <row r="287" spans="1:8">
      <c r="A287">
        <f>'PSA&amp;CPR'!A287</f>
        <v>285</v>
      </c>
      <c r="B287" s="19">
        <f t="shared" si="8"/>
        <v>0</v>
      </c>
      <c r="C287" s="19">
        <f t="shared" si="9"/>
        <v>0</v>
      </c>
      <c r="D287" s="19">
        <f>Monthly_payment($B$1,$D$1,$B$3)*'PSA&amp;CPR（function) '!N287</f>
        <v>0</v>
      </c>
      <c r="E287" s="19">
        <f>Principle_portion_of_payment($B$1,$D$1,A287,$B$3)*'PSA&amp;CPR（function) '!N287</f>
        <v>0</v>
      </c>
      <c r="F287" s="19">
        <f>Interest_portion_of_payment($B$1,$D$1,A287,$B$3)*'PSA&amp;CPR（function) '!N287</f>
        <v>0</v>
      </c>
      <c r="G287" s="19">
        <f>(B287-E287)*'PSA&amp;CPR（function) '!F288</f>
        <v>0</v>
      </c>
      <c r="H287" s="19">
        <f>Remaining_balance($B$1,$D$1,A287,$B$3)*'PSA&amp;CPR（function) '!N288</f>
        <v>0</v>
      </c>
    </row>
    <row r="288" spans="1:8">
      <c r="A288">
        <f>'PSA&amp;CPR'!A288</f>
        <v>286</v>
      </c>
      <c r="B288" s="19">
        <f t="shared" si="8"/>
        <v>0</v>
      </c>
      <c r="C288" s="19">
        <f t="shared" si="9"/>
        <v>0</v>
      </c>
      <c r="D288" s="19">
        <f>Monthly_payment($B$1,$D$1,$B$3)*'PSA&amp;CPR（function) '!N288</f>
        <v>0</v>
      </c>
      <c r="E288" s="19">
        <f>Principle_portion_of_payment($B$1,$D$1,A288,$B$3)*'PSA&amp;CPR（function) '!N288</f>
        <v>0</v>
      </c>
      <c r="F288" s="19">
        <f>Interest_portion_of_payment($B$1,$D$1,A288,$B$3)*'PSA&amp;CPR（function) '!N288</f>
        <v>0</v>
      </c>
      <c r="G288" s="19">
        <f>(B288-E288)*'PSA&amp;CPR（function) '!F289</f>
        <v>0</v>
      </c>
      <c r="H288" s="19">
        <f>Remaining_balance($B$1,$D$1,A288,$B$3)*'PSA&amp;CPR（function) '!N289</f>
        <v>0</v>
      </c>
    </row>
    <row r="289" spans="1:8">
      <c r="A289">
        <f>'PSA&amp;CPR'!A289</f>
        <v>287</v>
      </c>
      <c r="B289" s="19">
        <f t="shared" si="8"/>
        <v>0</v>
      </c>
      <c r="C289" s="19">
        <f t="shared" si="9"/>
        <v>0</v>
      </c>
      <c r="D289" s="19">
        <f>Monthly_payment($B$1,$D$1,$B$3)*'PSA&amp;CPR（function) '!N289</f>
        <v>0</v>
      </c>
      <c r="E289" s="19">
        <f>Principle_portion_of_payment($B$1,$D$1,A289,$B$3)*'PSA&amp;CPR（function) '!N289</f>
        <v>0</v>
      </c>
      <c r="F289" s="19">
        <f>Interest_portion_of_payment($B$1,$D$1,A289,$B$3)*'PSA&amp;CPR（function) '!N289</f>
        <v>0</v>
      </c>
      <c r="G289" s="19">
        <f>(B289-E289)*'PSA&amp;CPR（function) '!F290</f>
        <v>0</v>
      </c>
      <c r="H289" s="19">
        <f>Remaining_balance($B$1,$D$1,A289,$B$3)*'PSA&amp;CPR（function) '!N290</f>
        <v>0</v>
      </c>
    </row>
    <row r="290" spans="1:8">
      <c r="A290">
        <f>'PSA&amp;CPR'!A290</f>
        <v>288</v>
      </c>
      <c r="B290" s="19">
        <f t="shared" si="8"/>
        <v>0</v>
      </c>
      <c r="C290" s="19">
        <f t="shared" si="9"/>
        <v>0</v>
      </c>
      <c r="D290" s="19">
        <f>Monthly_payment($B$1,$D$1,$B$3)*'PSA&amp;CPR（function) '!N290</f>
        <v>0</v>
      </c>
      <c r="E290" s="19">
        <f>Principle_portion_of_payment($B$1,$D$1,A290,$B$3)*'PSA&amp;CPR（function) '!N290</f>
        <v>0</v>
      </c>
      <c r="F290" s="19">
        <f>Interest_portion_of_payment($B$1,$D$1,A290,$B$3)*'PSA&amp;CPR（function) '!N290</f>
        <v>0</v>
      </c>
      <c r="G290" s="19">
        <f>(B290-E290)*'PSA&amp;CPR（function) '!F291</f>
        <v>0</v>
      </c>
      <c r="H290" s="19">
        <f>Remaining_balance($B$1,$D$1,A290,$B$3)*'PSA&amp;CPR（function) '!N291</f>
        <v>0</v>
      </c>
    </row>
    <row r="291" spans="1:8">
      <c r="A291">
        <f>'PSA&amp;CPR'!A291</f>
        <v>289</v>
      </c>
      <c r="B291" s="19">
        <f t="shared" si="8"/>
        <v>0</v>
      </c>
      <c r="C291" s="19">
        <f t="shared" si="9"/>
        <v>0</v>
      </c>
      <c r="D291" s="19">
        <f>Monthly_payment($B$1,$D$1,$B$3)*'PSA&amp;CPR（function) '!N291</f>
        <v>0</v>
      </c>
      <c r="E291" s="19">
        <f>Principle_portion_of_payment($B$1,$D$1,A291,$B$3)*'PSA&amp;CPR（function) '!N291</f>
        <v>0</v>
      </c>
      <c r="F291" s="19">
        <f>Interest_portion_of_payment($B$1,$D$1,A291,$B$3)*'PSA&amp;CPR（function) '!N291</f>
        <v>0</v>
      </c>
      <c r="G291" s="19">
        <f>(B291-E291)*'PSA&amp;CPR（function) '!F292</f>
        <v>0</v>
      </c>
      <c r="H291" s="19">
        <f>Remaining_balance($B$1,$D$1,A291,$B$3)*'PSA&amp;CPR（function) '!N292</f>
        <v>0</v>
      </c>
    </row>
    <row r="292" spans="1:8">
      <c r="A292">
        <f>'PSA&amp;CPR'!A292</f>
        <v>290</v>
      </c>
      <c r="B292" s="19">
        <f t="shared" si="8"/>
        <v>0</v>
      </c>
      <c r="C292" s="19">
        <f t="shared" si="9"/>
        <v>0</v>
      </c>
      <c r="D292" s="19">
        <f>Monthly_payment($B$1,$D$1,$B$3)*'PSA&amp;CPR（function) '!N292</f>
        <v>0</v>
      </c>
      <c r="E292" s="19">
        <f>Principle_portion_of_payment($B$1,$D$1,A292,$B$3)*'PSA&amp;CPR（function) '!N292</f>
        <v>0</v>
      </c>
      <c r="F292" s="19">
        <f>Interest_portion_of_payment($B$1,$D$1,A292,$B$3)*'PSA&amp;CPR（function) '!N292</f>
        <v>0</v>
      </c>
      <c r="G292" s="19">
        <f>(B292-E292)*'PSA&amp;CPR（function) '!F293</f>
        <v>0</v>
      </c>
      <c r="H292" s="19">
        <f>Remaining_balance($B$1,$D$1,A292,$B$3)*'PSA&amp;CPR（function) '!N293</f>
        <v>0</v>
      </c>
    </row>
    <row r="293" spans="1:8">
      <c r="A293">
        <f>'PSA&amp;CPR'!A293</f>
        <v>291</v>
      </c>
      <c r="B293" s="19">
        <f t="shared" si="8"/>
        <v>0</v>
      </c>
      <c r="C293" s="19">
        <f t="shared" si="9"/>
        <v>0</v>
      </c>
      <c r="D293" s="19">
        <f>Monthly_payment($B$1,$D$1,$B$3)*'PSA&amp;CPR（function) '!N293</f>
        <v>0</v>
      </c>
      <c r="E293" s="19">
        <f>Principle_portion_of_payment($B$1,$D$1,A293,$B$3)*'PSA&amp;CPR（function) '!N293</f>
        <v>0</v>
      </c>
      <c r="F293" s="19">
        <f>Interest_portion_of_payment($B$1,$D$1,A293,$B$3)*'PSA&amp;CPR（function) '!N293</f>
        <v>0</v>
      </c>
      <c r="G293" s="19">
        <f>(B293-E293)*'PSA&amp;CPR（function) '!F294</f>
        <v>0</v>
      </c>
      <c r="H293" s="19">
        <f>Remaining_balance($B$1,$D$1,A293,$B$3)*'PSA&amp;CPR（function) '!N294</f>
        <v>0</v>
      </c>
    </row>
    <row r="294" spans="1:8">
      <c r="A294">
        <f>'PSA&amp;CPR'!A294</f>
        <v>292</v>
      </c>
      <c r="B294" s="19">
        <f t="shared" si="8"/>
        <v>0</v>
      </c>
      <c r="C294" s="19">
        <f t="shared" si="9"/>
        <v>0</v>
      </c>
      <c r="D294" s="19">
        <f>Monthly_payment($B$1,$D$1,$B$3)*'PSA&amp;CPR（function) '!N294</f>
        <v>0</v>
      </c>
      <c r="E294" s="19">
        <f>Principle_portion_of_payment($B$1,$D$1,A294,$B$3)*'PSA&amp;CPR（function) '!N294</f>
        <v>0</v>
      </c>
      <c r="F294" s="19">
        <f>Interest_portion_of_payment($B$1,$D$1,A294,$B$3)*'PSA&amp;CPR（function) '!N294</f>
        <v>0</v>
      </c>
      <c r="G294" s="19">
        <f>(B294-E294)*'PSA&amp;CPR（function) '!F295</f>
        <v>0</v>
      </c>
      <c r="H294" s="19">
        <f>Remaining_balance($B$1,$D$1,A294,$B$3)*'PSA&amp;CPR（function) '!N295</f>
        <v>0</v>
      </c>
    </row>
    <row r="295" spans="1:8">
      <c r="A295">
        <f>'PSA&amp;CPR'!A295</f>
        <v>293</v>
      </c>
      <c r="B295" s="19">
        <f t="shared" si="8"/>
        <v>0</v>
      </c>
      <c r="C295" s="19">
        <f t="shared" si="9"/>
        <v>0</v>
      </c>
      <c r="D295" s="19">
        <f>Monthly_payment($B$1,$D$1,$B$3)*'PSA&amp;CPR（function) '!N295</f>
        <v>0</v>
      </c>
      <c r="E295" s="19">
        <f>Principle_portion_of_payment($B$1,$D$1,A295,$B$3)*'PSA&amp;CPR（function) '!N295</f>
        <v>0</v>
      </c>
      <c r="F295" s="19">
        <f>Interest_portion_of_payment($B$1,$D$1,A295,$B$3)*'PSA&amp;CPR（function) '!N295</f>
        <v>0</v>
      </c>
      <c r="G295" s="19">
        <f>(B295-E295)*'PSA&amp;CPR（function) '!F296</f>
        <v>0</v>
      </c>
      <c r="H295" s="19">
        <f>Remaining_balance($B$1,$D$1,A295,$B$3)*'PSA&amp;CPR（function) '!N296</f>
        <v>0</v>
      </c>
    </row>
    <row r="296" spans="1:8">
      <c r="A296">
        <f>'PSA&amp;CPR'!A296</f>
        <v>294</v>
      </c>
      <c r="B296" s="19">
        <f t="shared" si="8"/>
        <v>0</v>
      </c>
      <c r="C296" s="19">
        <f t="shared" si="9"/>
        <v>0</v>
      </c>
      <c r="D296" s="19">
        <f>Monthly_payment($B$1,$D$1,$B$3)*'PSA&amp;CPR（function) '!N296</f>
        <v>0</v>
      </c>
      <c r="E296" s="19">
        <f>Principle_portion_of_payment($B$1,$D$1,A296,$B$3)*'PSA&amp;CPR（function) '!N296</f>
        <v>0</v>
      </c>
      <c r="F296" s="19">
        <f>Interest_portion_of_payment($B$1,$D$1,A296,$B$3)*'PSA&amp;CPR（function) '!N296</f>
        <v>0</v>
      </c>
      <c r="G296" s="19">
        <f>(B296-E296)*'PSA&amp;CPR（function) '!F297</f>
        <v>0</v>
      </c>
      <c r="H296" s="19">
        <f>Remaining_balance($B$1,$D$1,A296,$B$3)*'PSA&amp;CPR（function) '!N297</f>
        <v>0</v>
      </c>
    </row>
    <row r="297" spans="1:8">
      <c r="A297">
        <f>'PSA&amp;CPR'!A297</f>
        <v>295</v>
      </c>
      <c r="B297" s="19">
        <f t="shared" si="8"/>
        <v>0</v>
      </c>
      <c r="C297" s="19">
        <f t="shared" si="9"/>
        <v>0</v>
      </c>
      <c r="D297" s="19">
        <f>Monthly_payment($B$1,$D$1,$B$3)*'PSA&amp;CPR（function) '!N297</f>
        <v>0</v>
      </c>
      <c r="E297" s="19">
        <f>Principle_portion_of_payment($B$1,$D$1,A297,$B$3)*'PSA&amp;CPR（function) '!N297</f>
        <v>0</v>
      </c>
      <c r="F297" s="19">
        <f>Interest_portion_of_payment($B$1,$D$1,A297,$B$3)*'PSA&amp;CPR（function) '!N297</f>
        <v>0</v>
      </c>
      <c r="G297" s="19">
        <f>(B297-E297)*'PSA&amp;CPR（function) '!F298</f>
        <v>0</v>
      </c>
      <c r="H297" s="19">
        <f>Remaining_balance($B$1,$D$1,A297,$B$3)*'PSA&amp;CPR（function) '!N298</f>
        <v>0</v>
      </c>
    </row>
    <row r="298" spans="1:8">
      <c r="A298">
        <f>'PSA&amp;CPR'!A298</f>
        <v>296</v>
      </c>
      <c r="B298" s="19">
        <f t="shared" si="8"/>
        <v>0</v>
      </c>
      <c r="C298" s="19">
        <f t="shared" si="9"/>
        <v>0</v>
      </c>
      <c r="D298" s="19">
        <f>Monthly_payment($B$1,$D$1,$B$3)*'PSA&amp;CPR（function) '!N298</f>
        <v>0</v>
      </c>
      <c r="E298" s="19">
        <f>Principle_portion_of_payment($B$1,$D$1,A298,$B$3)*'PSA&amp;CPR（function) '!N298</f>
        <v>0</v>
      </c>
      <c r="F298" s="19">
        <f>Interest_portion_of_payment($B$1,$D$1,A298,$B$3)*'PSA&amp;CPR（function) '!N298</f>
        <v>0</v>
      </c>
      <c r="G298" s="19">
        <f>(B298-E298)*'PSA&amp;CPR（function) '!F299</f>
        <v>0</v>
      </c>
      <c r="H298" s="19">
        <f>Remaining_balance($B$1,$D$1,A298,$B$3)*'PSA&amp;CPR（function) '!N299</f>
        <v>0</v>
      </c>
    </row>
    <row r="299" spans="1:8">
      <c r="A299">
        <f>'PSA&amp;CPR'!A299</f>
        <v>297</v>
      </c>
      <c r="B299" s="19">
        <f t="shared" si="8"/>
        <v>0</v>
      </c>
      <c r="C299" s="19">
        <f t="shared" si="9"/>
        <v>0</v>
      </c>
      <c r="D299" s="19">
        <f>Monthly_payment($B$1,$D$1,$B$3)*'PSA&amp;CPR（function) '!N299</f>
        <v>0</v>
      </c>
      <c r="E299" s="19">
        <f>Principle_portion_of_payment($B$1,$D$1,A299,$B$3)*'PSA&amp;CPR（function) '!N299</f>
        <v>0</v>
      </c>
      <c r="F299" s="19">
        <f>Interest_portion_of_payment($B$1,$D$1,A299,$B$3)*'PSA&amp;CPR（function) '!N299</f>
        <v>0</v>
      </c>
      <c r="G299" s="19">
        <f>(B299-E299)*'PSA&amp;CPR（function) '!F300</f>
        <v>0</v>
      </c>
      <c r="H299" s="19">
        <f>Remaining_balance($B$1,$D$1,A299,$B$3)*'PSA&amp;CPR（function) '!N300</f>
        <v>0</v>
      </c>
    </row>
    <row r="300" spans="1:8">
      <c r="A300">
        <f>'PSA&amp;CPR'!A300</f>
        <v>298</v>
      </c>
      <c r="B300" s="19">
        <f t="shared" si="8"/>
        <v>0</v>
      </c>
      <c r="C300" s="19">
        <f t="shared" si="9"/>
        <v>0</v>
      </c>
      <c r="D300" s="19">
        <f>Monthly_payment($B$1,$D$1,$B$3)*'PSA&amp;CPR（function) '!N300</f>
        <v>0</v>
      </c>
      <c r="E300" s="19">
        <f>Principle_portion_of_payment($B$1,$D$1,A300,$B$3)*'PSA&amp;CPR（function) '!N300</f>
        <v>0</v>
      </c>
      <c r="F300" s="19">
        <f>Interest_portion_of_payment($B$1,$D$1,A300,$B$3)*'PSA&amp;CPR（function) '!N300</f>
        <v>0</v>
      </c>
      <c r="G300" s="19">
        <f>(B300-E300)*'PSA&amp;CPR（function) '!F301</f>
        <v>0</v>
      </c>
      <c r="H300" s="19">
        <f>Remaining_balance($B$1,$D$1,A300,$B$3)*'PSA&amp;CPR（function) '!N301</f>
        <v>0</v>
      </c>
    </row>
    <row r="301" spans="1:8">
      <c r="A301">
        <f>'PSA&amp;CPR'!A301</f>
        <v>299</v>
      </c>
      <c r="B301" s="19">
        <f t="shared" si="8"/>
        <v>0</v>
      </c>
      <c r="C301" s="19">
        <f t="shared" si="9"/>
        <v>0</v>
      </c>
      <c r="D301" s="19">
        <f>Monthly_payment($B$1,$D$1,$B$3)*'PSA&amp;CPR（function) '!N301</f>
        <v>0</v>
      </c>
      <c r="E301" s="19">
        <f>Principle_portion_of_payment($B$1,$D$1,A301,$B$3)*'PSA&amp;CPR（function) '!N301</f>
        <v>0</v>
      </c>
      <c r="F301" s="19">
        <f>Interest_portion_of_payment($B$1,$D$1,A301,$B$3)*'PSA&amp;CPR（function) '!N301</f>
        <v>0</v>
      </c>
      <c r="G301" s="19">
        <f>(B301-E301)*'PSA&amp;CPR（function) '!F302</f>
        <v>0</v>
      </c>
      <c r="H301" s="19">
        <f>Remaining_balance($B$1,$D$1,A301,$B$3)*'PSA&amp;CPR（function) '!N302</f>
        <v>0</v>
      </c>
    </row>
    <row r="302" spans="1:8">
      <c r="A302">
        <f>'PSA&amp;CPR'!A302</f>
        <v>300</v>
      </c>
      <c r="B302" s="19">
        <f t="shared" si="8"/>
        <v>0</v>
      </c>
      <c r="C302" s="19">
        <f t="shared" si="9"/>
        <v>0</v>
      </c>
      <c r="D302" s="19">
        <f>Monthly_payment($B$1,$D$1,$B$3)*'PSA&amp;CPR（function) '!N302</f>
        <v>0</v>
      </c>
      <c r="E302" s="19">
        <f>Principle_portion_of_payment($B$1,$D$1,A302,$B$3)*'PSA&amp;CPR（function) '!N302</f>
        <v>0</v>
      </c>
      <c r="F302" s="19">
        <f>Interest_portion_of_payment($B$1,$D$1,A302,$B$3)*'PSA&amp;CPR（function) '!N302</f>
        <v>0</v>
      </c>
      <c r="G302" s="19">
        <f>(B302-E302)*'PSA&amp;CPR（function) '!F303</f>
        <v>0</v>
      </c>
      <c r="H302" s="19">
        <f>Remaining_balance($B$1,$D$1,A302,$B$3)*'PSA&amp;CPR（function) '!N303</f>
        <v>0</v>
      </c>
    </row>
    <row r="303" spans="1:8">
      <c r="A303">
        <f>'PSA&amp;CPR'!A303</f>
        <v>301</v>
      </c>
      <c r="B303" s="19">
        <f t="shared" si="8"/>
        <v>0</v>
      </c>
      <c r="C303" s="19">
        <f t="shared" si="9"/>
        <v>0</v>
      </c>
      <c r="D303" s="19">
        <f>Monthly_payment($B$1,$D$1,$B$3)*'PSA&amp;CPR（function) '!N303</f>
        <v>0</v>
      </c>
      <c r="E303" s="19">
        <f>Principle_portion_of_payment($B$1,$D$1,A303,$B$3)*'PSA&amp;CPR（function) '!N303</f>
        <v>0</v>
      </c>
      <c r="F303" s="19">
        <f>Interest_portion_of_payment($B$1,$D$1,A303,$B$3)*'PSA&amp;CPR（function) '!N303</f>
        <v>0</v>
      </c>
      <c r="G303" s="19">
        <f>(B303-E303)*'PSA&amp;CPR（function) '!F304</f>
        <v>0</v>
      </c>
      <c r="H303" s="19">
        <f>Remaining_balance($B$1,$D$1,A303,$B$3)*'PSA&amp;CPR（function) '!N304</f>
        <v>0</v>
      </c>
    </row>
    <row r="304" spans="1:8">
      <c r="A304">
        <f>'PSA&amp;CPR'!A304</f>
        <v>302</v>
      </c>
      <c r="B304" s="19">
        <f t="shared" si="8"/>
        <v>0</v>
      </c>
      <c r="C304" s="19">
        <f t="shared" si="9"/>
        <v>0</v>
      </c>
      <c r="D304" s="19">
        <f>Monthly_payment($B$1,$D$1,$B$3)*'PSA&amp;CPR（function) '!N304</f>
        <v>0</v>
      </c>
      <c r="E304" s="19">
        <f>Principle_portion_of_payment($B$1,$D$1,A304,$B$3)*'PSA&amp;CPR（function) '!N304</f>
        <v>0</v>
      </c>
      <c r="F304" s="19">
        <f>Interest_portion_of_payment($B$1,$D$1,A304,$B$3)*'PSA&amp;CPR（function) '!N304</f>
        <v>0</v>
      </c>
      <c r="G304" s="19">
        <f>(B304-E304)*'PSA&amp;CPR（function) '!F305</f>
        <v>0</v>
      </c>
      <c r="H304" s="19">
        <f>Remaining_balance($B$1,$D$1,A304,$B$3)*'PSA&amp;CPR（function) '!N305</f>
        <v>0</v>
      </c>
    </row>
    <row r="305" spans="1:8">
      <c r="A305">
        <f>'PSA&amp;CPR'!A305</f>
        <v>303</v>
      </c>
      <c r="B305" s="19">
        <f t="shared" si="8"/>
        <v>0</v>
      </c>
      <c r="C305" s="19">
        <f t="shared" si="9"/>
        <v>0</v>
      </c>
      <c r="D305" s="19">
        <f>Monthly_payment($B$1,$D$1,$B$3)*'PSA&amp;CPR（function) '!N305</f>
        <v>0</v>
      </c>
      <c r="E305" s="19">
        <f>Principle_portion_of_payment($B$1,$D$1,A305,$B$3)*'PSA&amp;CPR（function) '!N305</f>
        <v>0</v>
      </c>
      <c r="F305" s="19">
        <f>Interest_portion_of_payment($B$1,$D$1,A305,$B$3)*'PSA&amp;CPR（function) '!N305</f>
        <v>0</v>
      </c>
      <c r="G305" s="19">
        <f>(B305-E305)*'PSA&amp;CPR（function) '!F306</f>
        <v>0</v>
      </c>
      <c r="H305" s="19">
        <f>Remaining_balance($B$1,$D$1,A305,$B$3)*'PSA&amp;CPR（function) '!N306</f>
        <v>0</v>
      </c>
    </row>
    <row r="306" spans="1:8">
      <c r="A306">
        <f>'PSA&amp;CPR'!A306</f>
        <v>304</v>
      </c>
      <c r="B306" s="19">
        <f t="shared" si="8"/>
        <v>0</v>
      </c>
      <c r="C306" s="19">
        <f t="shared" si="9"/>
        <v>0</v>
      </c>
      <c r="D306" s="19">
        <f>Monthly_payment($B$1,$D$1,$B$3)*'PSA&amp;CPR（function) '!N306</f>
        <v>0</v>
      </c>
      <c r="E306" s="19">
        <f>Principle_portion_of_payment($B$1,$D$1,A306,$B$3)*'PSA&amp;CPR（function) '!N306</f>
        <v>0</v>
      </c>
      <c r="F306" s="19">
        <f>Interest_portion_of_payment($B$1,$D$1,A306,$B$3)*'PSA&amp;CPR（function) '!N306</f>
        <v>0</v>
      </c>
      <c r="G306" s="19">
        <f>(B306-E306)*'PSA&amp;CPR（function) '!F307</f>
        <v>0</v>
      </c>
      <c r="H306" s="19">
        <f>Remaining_balance($B$1,$D$1,A306,$B$3)*'PSA&amp;CPR（function) '!N307</f>
        <v>0</v>
      </c>
    </row>
    <row r="307" spans="1:8">
      <c r="A307">
        <f>'PSA&amp;CPR'!A307</f>
        <v>305</v>
      </c>
      <c r="B307" s="19">
        <f t="shared" si="8"/>
        <v>0</v>
      </c>
      <c r="C307" s="19">
        <f t="shared" si="9"/>
        <v>0</v>
      </c>
      <c r="D307" s="19">
        <f>Monthly_payment($B$1,$D$1,$B$3)*'PSA&amp;CPR（function) '!N307</f>
        <v>0</v>
      </c>
      <c r="E307" s="19">
        <f>Principle_portion_of_payment($B$1,$D$1,A307,$B$3)*'PSA&amp;CPR（function) '!N307</f>
        <v>0</v>
      </c>
      <c r="F307" s="19">
        <f>Interest_portion_of_payment($B$1,$D$1,A307,$B$3)*'PSA&amp;CPR（function) '!N307</f>
        <v>0</v>
      </c>
      <c r="G307" s="19">
        <f>(B307-E307)*'PSA&amp;CPR（function) '!F308</f>
        <v>0</v>
      </c>
      <c r="H307" s="19">
        <f>Remaining_balance($B$1,$D$1,A307,$B$3)*'PSA&amp;CPR（function) '!N308</f>
        <v>0</v>
      </c>
    </row>
    <row r="308" spans="1:8">
      <c r="A308">
        <f>'PSA&amp;CPR'!A308</f>
        <v>306</v>
      </c>
      <c r="B308" s="19">
        <f t="shared" si="8"/>
        <v>0</v>
      </c>
      <c r="C308" s="19">
        <f t="shared" si="9"/>
        <v>0</v>
      </c>
      <c r="D308" s="19">
        <f>Monthly_payment($B$1,$D$1,$B$3)*'PSA&amp;CPR（function) '!N308</f>
        <v>0</v>
      </c>
      <c r="E308" s="19">
        <f>Principle_portion_of_payment($B$1,$D$1,A308,$B$3)*'PSA&amp;CPR（function) '!N308</f>
        <v>0</v>
      </c>
      <c r="F308" s="19">
        <f>Interest_portion_of_payment($B$1,$D$1,A308,$B$3)*'PSA&amp;CPR（function) '!N308</f>
        <v>0</v>
      </c>
      <c r="G308" s="19">
        <f>(B308-E308)*'PSA&amp;CPR（function) '!F309</f>
        <v>0</v>
      </c>
      <c r="H308" s="19">
        <f>Remaining_balance($B$1,$D$1,A308,$B$3)*'PSA&amp;CPR（function) '!N309</f>
        <v>0</v>
      </c>
    </row>
    <row r="309" spans="1:8">
      <c r="A309">
        <f>'PSA&amp;CPR'!A309</f>
        <v>307</v>
      </c>
      <c r="B309" s="19">
        <f t="shared" si="8"/>
        <v>0</v>
      </c>
      <c r="C309" s="19">
        <f t="shared" si="9"/>
        <v>0</v>
      </c>
      <c r="D309" s="19">
        <f>Monthly_payment($B$1,$D$1,$B$3)*'PSA&amp;CPR（function) '!N309</f>
        <v>0</v>
      </c>
      <c r="E309" s="19">
        <f>Principle_portion_of_payment($B$1,$D$1,A309,$B$3)*'PSA&amp;CPR（function) '!N309</f>
        <v>0</v>
      </c>
      <c r="F309" s="19">
        <f>Interest_portion_of_payment($B$1,$D$1,A309,$B$3)*'PSA&amp;CPR（function) '!N309</f>
        <v>0</v>
      </c>
      <c r="G309" s="19">
        <f>(B309-E309)*'PSA&amp;CPR（function) '!F310</f>
        <v>0</v>
      </c>
      <c r="H309" s="19">
        <f>Remaining_balance($B$1,$D$1,A309,$B$3)*'PSA&amp;CPR（function) '!N310</f>
        <v>0</v>
      </c>
    </row>
    <row r="310" spans="1:8">
      <c r="A310">
        <f>'PSA&amp;CPR'!A310</f>
        <v>308</v>
      </c>
      <c r="B310" s="19">
        <f t="shared" si="8"/>
        <v>0</v>
      </c>
      <c r="C310" s="19">
        <f t="shared" si="9"/>
        <v>0</v>
      </c>
      <c r="D310" s="19">
        <f>Monthly_payment($B$1,$D$1,$B$3)*'PSA&amp;CPR（function) '!N310</f>
        <v>0</v>
      </c>
      <c r="E310" s="19">
        <f>Principle_portion_of_payment($B$1,$D$1,A310,$B$3)*'PSA&amp;CPR（function) '!N310</f>
        <v>0</v>
      </c>
      <c r="F310" s="19">
        <f>Interest_portion_of_payment($B$1,$D$1,A310,$B$3)*'PSA&amp;CPR（function) '!N310</f>
        <v>0</v>
      </c>
      <c r="G310" s="19">
        <f>(B310-E310)*'PSA&amp;CPR（function) '!F311</f>
        <v>0</v>
      </c>
      <c r="H310" s="19">
        <f>Remaining_balance($B$1,$D$1,A310,$B$3)*'PSA&amp;CPR（function) '!N311</f>
        <v>0</v>
      </c>
    </row>
    <row r="311" spans="1:8">
      <c r="A311">
        <f>'PSA&amp;CPR'!A311</f>
        <v>309</v>
      </c>
      <c r="B311" s="19">
        <f t="shared" si="8"/>
        <v>0</v>
      </c>
      <c r="C311" s="19">
        <f t="shared" si="9"/>
        <v>0</v>
      </c>
      <c r="D311" s="19">
        <f>Monthly_payment($B$1,$D$1,$B$3)*'PSA&amp;CPR（function) '!N311</f>
        <v>0</v>
      </c>
      <c r="E311" s="19">
        <f>Principle_portion_of_payment($B$1,$D$1,A311,$B$3)*'PSA&amp;CPR（function) '!N311</f>
        <v>0</v>
      </c>
      <c r="F311" s="19">
        <f>Interest_portion_of_payment($B$1,$D$1,A311,$B$3)*'PSA&amp;CPR（function) '!N311</f>
        <v>0</v>
      </c>
      <c r="G311" s="19">
        <f>(B311-E311)*'PSA&amp;CPR（function) '!F312</f>
        <v>0</v>
      </c>
      <c r="H311" s="19">
        <f>Remaining_balance($B$1,$D$1,A311,$B$3)*'PSA&amp;CPR（function) '!N312</f>
        <v>0</v>
      </c>
    </row>
    <row r="312" spans="1:8">
      <c r="A312">
        <f>'PSA&amp;CPR'!A312</f>
        <v>310</v>
      </c>
      <c r="B312" s="19">
        <f t="shared" si="8"/>
        <v>0</v>
      </c>
      <c r="C312" s="19">
        <f t="shared" si="9"/>
        <v>0</v>
      </c>
      <c r="D312" s="19">
        <f>Monthly_payment($B$1,$D$1,$B$3)*'PSA&amp;CPR（function) '!N312</f>
        <v>0</v>
      </c>
      <c r="E312" s="19">
        <f>Principle_portion_of_payment($B$1,$D$1,A312,$B$3)*'PSA&amp;CPR（function) '!N312</f>
        <v>0</v>
      </c>
      <c r="F312" s="19">
        <f>Interest_portion_of_payment($B$1,$D$1,A312,$B$3)*'PSA&amp;CPR（function) '!N312</f>
        <v>0</v>
      </c>
      <c r="G312" s="19">
        <f>(B312-E312)*'PSA&amp;CPR（function) '!F313</f>
        <v>0</v>
      </c>
      <c r="H312" s="19">
        <f>Remaining_balance($B$1,$D$1,A312,$B$3)*'PSA&amp;CPR（function) '!N313</f>
        <v>0</v>
      </c>
    </row>
    <row r="313" spans="1:8">
      <c r="A313">
        <f>'PSA&amp;CPR'!A313</f>
        <v>311</v>
      </c>
      <c r="B313" s="19">
        <f t="shared" si="8"/>
        <v>0</v>
      </c>
      <c r="C313" s="19">
        <f t="shared" si="9"/>
        <v>0</v>
      </c>
      <c r="D313" s="19">
        <f>Monthly_payment($B$1,$D$1,$B$3)*'PSA&amp;CPR（function) '!N313</f>
        <v>0</v>
      </c>
      <c r="E313" s="19">
        <f>Principle_portion_of_payment($B$1,$D$1,A313,$B$3)*'PSA&amp;CPR（function) '!N313</f>
        <v>0</v>
      </c>
      <c r="F313" s="19">
        <f>Interest_portion_of_payment($B$1,$D$1,A313,$B$3)*'PSA&amp;CPR（function) '!N313</f>
        <v>0</v>
      </c>
      <c r="G313" s="19">
        <f>(B313-E313)*'PSA&amp;CPR（function) '!F314</f>
        <v>0</v>
      </c>
      <c r="H313" s="19">
        <f>Remaining_balance($B$1,$D$1,A313,$B$3)*'PSA&amp;CPR（function) '!N314</f>
        <v>0</v>
      </c>
    </row>
    <row r="314" spans="1:8">
      <c r="A314">
        <f>'PSA&amp;CPR'!A314</f>
        <v>312</v>
      </c>
      <c r="B314" s="19">
        <f t="shared" si="8"/>
        <v>0</v>
      </c>
      <c r="C314" s="19">
        <f t="shared" si="9"/>
        <v>0</v>
      </c>
      <c r="D314" s="19">
        <f>Monthly_payment($B$1,$D$1,$B$3)*'PSA&amp;CPR（function) '!N314</f>
        <v>0</v>
      </c>
      <c r="E314" s="19">
        <f>Principle_portion_of_payment($B$1,$D$1,A314,$B$3)*'PSA&amp;CPR（function) '!N314</f>
        <v>0</v>
      </c>
      <c r="F314" s="19">
        <f>Interest_portion_of_payment($B$1,$D$1,A314,$B$3)*'PSA&amp;CPR（function) '!N314</f>
        <v>0</v>
      </c>
      <c r="G314" s="19">
        <f>(B314-E314)*'PSA&amp;CPR（function) '!F315</f>
        <v>0</v>
      </c>
      <c r="H314" s="19">
        <f>Remaining_balance($B$1,$D$1,A314,$B$3)*'PSA&amp;CPR（function) '!N315</f>
        <v>0</v>
      </c>
    </row>
    <row r="315" spans="1:8">
      <c r="A315">
        <f>'PSA&amp;CPR'!A315</f>
        <v>313</v>
      </c>
      <c r="B315" s="19">
        <f t="shared" si="8"/>
        <v>0</v>
      </c>
      <c r="C315" s="19">
        <f t="shared" si="9"/>
        <v>0</v>
      </c>
      <c r="D315" s="19">
        <f>Monthly_payment($B$1,$D$1,$B$3)*'PSA&amp;CPR（function) '!N315</f>
        <v>0</v>
      </c>
      <c r="E315" s="19">
        <f>Principle_portion_of_payment($B$1,$D$1,A315,$B$3)*'PSA&amp;CPR（function) '!N315</f>
        <v>0</v>
      </c>
      <c r="F315" s="19">
        <f>Interest_portion_of_payment($B$1,$D$1,A315,$B$3)*'PSA&amp;CPR（function) '!N315</f>
        <v>0</v>
      </c>
      <c r="G315" s="19">
        <f>(B315-E315)*'PSA&amp;CPR（function) '!F316</f>
        <v>0</v>
      </c>
      <c r="H315" s="19">
        <f>Remaining_balance($B$1,$D$1,A315,$B$3)*'PSA&amp;CPR（function) '!N316</f>
        <v>0</v>
      </c>
    </row>
    <row r="316" spans="1:8">
      <c r="A316">
        <f>'PSA&amp;CPR'!A316</f>
        <v>314</v>
      </c>
      <c r="B316" s="19">
        <f t="shared" si="8"/>
        <v>0</v>
      </c>
      <c r="C316" s="19">
        <f t="shared" si="9"/>
        <v>0</v>
      </c>
      <c r="D316" s="19">
        <f>Monthly_payment($B$1,$D$1,$B$3)*'PSA&amp;CPR（function) '!N316</f>
        <v>0</v>
      </c>
      <c r="E316" s="19">
        <f>Principle_portion_of_payment($B$1,$D$1,A316,$B$3)*'PSA&amp;CPR（function) '!N316</f>
        <v>0</v>
      </c>
      <c r="F316" s="19">
        <f>Interest_portion_of_payment($B$1,$D$1,A316,$B$3)*'PSA&amp;CPR（function) '!N316</f>
        <v>0</v>
      </c>
      <c r="G316" s="19">
        <f>(B316-E316)*'PSA&amp;CPR（function) '!F317</f>
        <v>0</v>
      </c>
      <c r="H316" s="19">
        <f>Remaining_balance($B$1,$D$1,A316,$B$3)*'PSA&amp;CPR（function) '!N317</f>
        <v>0</v>
      </c>
    </row>
    <row r="317" spans="1:8">
      <c r="A317">
        <f>'PSA&amp;CPR'!A317</f>
        <v>315</v>
      </c>
      <c r="B317" s="19">
        <f t="shared" si="8"/>
        <v>0</v>
      </c>
      <c r="C317" s="19">
        <f t="shared" si="9"/>
        <v>0</v>
      </c>
      <c r="D317" s="19">
        <f>Monthly_payment($B$1,$D$1,$B$3)*'PSA&amp;CPR（function) '!N317</f>
        <v>0</v>
      </c>
      <c r="E317" s="19">
        <f>Principle_portion_of_payment($B$1,$D$1,A317,$B$3)*'PSA&amp;CPR（function) '!N317</f>
        <v>0</v>
      </c>
      <c r="F317" s="19">
        <f>Interest_portion_of_payment($B$1,$D$1,A317,$B$3)*'PSA&amp;CPR（function) '!N317</f>
        <v>0</v>
      </c>
      <c r="G317" s="19">
        <f>(B317-E317)*'PSA&amp;CPR（function) '!F318</f>
        <v>0</v>
      </c>
      <c r="H317" s="19">
        <f>Remaining_balance($B$1,$D$1,A317,$B$3)*'PSA&amp;CPR（function) '!N318</f>
        <v>0</v>
      </c>
    </row>
    <row r="318" spans="1:8">
      <c r="A318">
        <f>'PSA&amp;CPR'!A318</f>
        <v>316</v>
      </c>
      <c r="B318" s="19">
        <f t="shared" si="8"/>
        <v>0</v>
      </c>
      <c r="C318" s="19">
        <f t="shared" si="9"/>
        <v>0</v>
      </c>
      <c r="D318" s="19">
        <f>Monthly_payment($B$1,$D$1,$B$3)*'PSA&amp;CPR（function) '!N318</f>
        <v>0</v>
      </c>
      <c r="E318" s="19">
        <f>Principle_portion_of_payment($B$1,$D$1,A318,$B$3)*'PSA&amp;CPR（function) '!N318</f>
        <v>0</v>
      </c>
      <c r="F318" s="19">
        <f>Interest_portion_of_payment($B$1,$D$1,A318,$B$3)*'PSA&amp;CPR（function) '!N318</f>
        <v>0</v>
      </c>
      <c r="G318" s="19">
        <f>(B318-E318)*'PSA&amp;CPR（function) '!F319</f>
        <v>0</v>
      </c>
      <c r="H318" s="19">
        <f>Remaining_balance($B$1,$D$1,A318,$B$3)*'PSA&amp;CPR（function) '!N319</f>
        <v>0</v>
      </c>
    </row>
    <row r="319" spans="1:8">
      <c r="A319">
        <f>'PSA&amp;CPR'!A319</f>
        <v>317</v>
      </c>
      <c r="B319" s="19">
        <f t="shared" si="8"/>
        <v>0</v>
      </c>
      <c r="C319" s="19">
        <f t="shared" si="9"/>
        <v>0</v>
      </c>
      <c r="D319" s="19">
        <f>Monthly_payment($B$1,$D$1,$B$3)*'PSA&amp;CPR（function) '!N319</f>
        <v>0</v>
      </c>
      <c r="E319" s="19">
        <f>Principle_portion_of_payment($B$1,$D$1,A319,$B$3)*'PSA&amp;CPR（function) '!N319</f>
        <v>0</v>
      </c>
      <c r="F319" s="19">
        <f>Interest_portion_of_payment($B$1,$D$1,A319,$B$3)*'PSA&amp;CPR（function) '!N319</f>
        <v>0</v>
      </c>
      <c r="G319" s="19">
        <f>(B319-E319)*'PSA&amp;CPR（function) '!F320</f>
        <v>0</v>
      </c>
      <c r="H319" s="19">
        <f>Remaining_balance($B$1,$D$1,A319,$B$3)*'PSA&amp;CPR（function) '!N320</f>
        <v>0</v>
      </c>
    </row>
    <row r="320" spans="1:8">
      <c r="A320">
        <f>'PSA&amp;CPR'!A320</f>
        <v>318</v>
      </c>
      <c r="B320" s="19">
        <f t="shared" si="8"/>
        <v>0</v>
      </c>
      <c r="C320" s="19">
        <f t="shared" si="9"/>
        <v>0</v>
      </c>
      <c r="D320" s="19">
        <f>Monthly_payment($B$1,$D$1,$B$3)*'PSA&amp;CPR（function) '!N320</f>
        <v>0</v>
      </c>
      <c r="E320" s="19">
        <f>Principle_portion_of_payment($B$1,$D$1,A320,$B$3)*'PSA&amp;CPR（function) '!N320</f>
        <v>0</v>
      </c>
      <c r="F320" s="19">
        <f>Interest_portion_of_payment($B$1,$D$1,A320,$B$3)*'PSA&amp;CPR（function) '!N320</f>
        <v>0</v>
      </c>
      <c r="G320" s="19">
        <f>(B320-E320)*'PSA&amp;CPR（function) '!F321</f>
        <v>0</v>
      </c>
      <c r="H320" s="19">
        <f>Remaining_balance($B$1,$D$1,A320,$B$3)*'PSA&amp;CPR（function) '!N321</f>
        <v>0</v>
      </c>
    </row>
    <row r="321" spans="1:8">
      <c r="A321">
        <f>'PSA&amp;CPR'!A321</f>
        <v>319</v>
      </c>
      <c r="B321" s="19">
        <f t="shared" si="8"/>
        <v>0</v>
      </c>
      <c r="C321" s="19">
        <f t="shared" si="9"/>
        <v>0</v>
      </c>
      <c r="D321" s="19">
        <f>Monthly_payment($B$1,$D$1,$B$3)*'PSA&amp;CPR（function) '!N321</f>
        <v>0</v>
      </c>
      <c r="E321" s="19">
        <f>Principle_portion_of_payment($B$1,$D$1,A321,$B$3)*'PSA&amp;CPR（function) '!N321</f>
        <v>0</v>
      </c>
      <c r="F321" s="19">
        <f>Interest_portion_of_payment($B$1,$D$1,A321,$B$3)*'PSA&amp;CPR（function) '!N321</f>
        <v>0</v>
      </c>
      <c r="G321" s="19">
        <f>(B321-E321)*'PSA&amp;CPR（function) '!F322</f>
        <v>0</v>
      </c>
      <c r="H321" s="19">
        <f>Remaining_balance($B$1,$D$1,A321,$B$3)*'PSA&amp;CPR（function) '!N322</f>
        <v>0</v>
      </c>
    </row>
    <row r="322" spans="1:8">
      <c r="A322">
        <f>'PSA&amp;CPR'!A322</f>
        <v>320</v>
      </c>
      <c r="B322" s="19">
        <f t="shared" si="8"/>
        <v>0</v>
      </c>
      <c r="C322" s="19">
        <f t="shared" si="9"/>
        <v>0</v>
      </c>
      <c r="D322" s="19">
        <f>Monthly_payment($B$1,$D$1,$B$3)*'PSA&amp;CPR（function) '!N322</f>
        <v>0</v>
      </c>
      <c r="E322" s="19">
        <f>Principle_portion_of_payment($B$1,$D$1,A322,$B$3)*'PSA&amp;CPR（function) '!N322</f>
        <v>0</v>
      </c>
      <c r="F322" s="19">
        <f>Interest_portion_of_payment($B$1,$D$1,A322,$B$3)*'PSA&amp;CPR（function) '!N322</f>
        <v>0</v>
      </c>
      <c r="G322" s="19">
        <f>(B322-E322)*'PSA&amp;CPR（function) '!F323</f>
        <v>0</v>
      </c>
      <c r="H322" s="19">
        <f>Remaining_balance($B$1,$D$1,A322,$B$3)*'PSA&amp;CPR（function) '!N323</f>
        <v>0</v>
      </c>
    </row>
    <row r="323" spans="1:8">
      <c r="A323">
        <f>'PSA&amp;CPR'!A323</f>
        <v>321</v>
      </c>
      <c r="B323" s="19">
        <f t="shared" si="8"/>
        <v>0</v>
      </c>
      <c r="C323" s="19">
        <f t="shared" si="9"/>
        <v>0</v>
      </c>
      <c r="D323" s="19">
        <f>Monthly_payment($B$1,$D$1,$B$3)*'PSA&amp;CPR（function) '!N323</f>
        <v>0</v>
      </c>
      <c r="E323" s="19">
        <f>Principle_portion_of_payment($B$1,$D$1,A323,$B$3)*'PSA&amp;CPR（function) '!N323</f>
        <v>0</v>
      </c>
      <c r="F323" s="19">
        <f>Interest_portion_of_payment($B$1,$D$1,A323,$B$3)*'PSA&amp;CPR（function) '!N323</f>
        <v>0</v>
      </c>
      <c r="G323" s="19">
        <f>(B323-E323)*'PSA&amp;CPR（function) '!F324</f>
        <v>0</v>
      </c>
      <c r="H323" s="19">
        <f>Remaining_balance($B$1,$D$1,A323,$B$3)*'PSA&amp;CPR（function) '!N324</f>
        <v>0</v>
      </c>
    </row>
    <row r="324" spans="1:8">
      <c r="A324">
        <f>'PSA&amp;CPR'!A324</f>
        <v>322</v>
      </c>
      <c r="B324" s="19">
        <f t="shared" si="8"/>
        <v>0</v>
      </c>
      <c r="C324" s="19">
        <f t="shared" si="9"/>
        <v>0</v>
      </c>
      <c r="D324" s="19">
        <f>Monthly_payment($B$1,$D$1,$B$3)*'PSA&amp;CPR（function) '!N324</f>
        <v>0</v>
      </c>
      <c r="E324" s="19">
        <f>Principle_portion_of_payment($B$1,$D$1,A324,$B$3)*'PSA&amp;CPR（function) '!N324</f>
        <v>0</v>
      </c>
      <c r="F324" s="19">
        <f>Interest_portion_of_payment($B$1,$D$1,A324,$B$3)*'PSA&amp;CPR（function) '!N324</f>
        <v>0</v>
      </c>
      <c r="G324" s="19">
        <f>(B324-E324)*'PSA&amp;CPR（function) '!F325</f>
        <v>0</v>
      </c>
      <c r="H324" s="19">
        <f>Remaining_balance($B$1,$D$1,A324,$B$3)*'PSA&amp;CPR（function) '!N325</f>
        <v>0</v>
      </c>
    </row>
    <row r="325" spans="1:8">
      <c r="A325">
        <f>'PSA&amp;CPR'!A325</f>
        <v>323</v>
      </c>
      <c r="B325" s="19">
        <f t="shared" ref="B325:B362" si="10">H324</f>
        <v>0</v>
      </c>
      <c r="C325" s="19">
        <f t="shared" ref="C325:C362" si="11">B325*($B$1/1200)</f>
        <v>0</v>
      </c>
      <c r="D325" s="19">
        <f>Monthly_payment($B$1,$D$1,$B$3)*'PSA&amp;CPR（function) '!N325</f>
        <v>0</v>
      </c>
      <c r="E325" s="19">
        <f>Principle_portion_of_payment($B$1,$D$1,A325,$B$3)*'PSA&amp;CPR（function) '!N325</f>
        <v>0</v>
      </c>
      <c r="F325" s="19">
        <f>Interest_portion_of_payment($B$1,$D$1,A325,$B$3)*'PSA&amp;CPR（function) '!N325</f>
        <v>0</v>
      </c>
      <c r="G325" s="19">
        <f>(B325-E325)*'PSA&amp;CPR（function) '!F326</f>
        <v>0</v>
      </c>
      <c r="H325" s="19">
        <f>Remaining_balance($B$1,$D$1,A325,$B$3)*'PSA&amp;CPR（function) '!N326</f>
        <v>0</v>
      </c>
    </row>
    <row r="326" spans="1:8">
      <c r="A326">
        <f>'PSA&amp;CPR'!A326</f>
        <v>324</v>
      </c>
      <c r="B326" s="19">
        <f t="shared" si="10"/>
        <v>0</v>
      </c>
      <c r="C326" s="19">
        <f t="shared" si="11"/>
        <v>0</v>
      </c>
      <c r="D326" s="19">
        <f>Monthly_payment($B$1,$D$1,$B$3)*'PSA&amp;CPR（function) '!N326</f>
        <v>0</v>
      </c>
      <c r="E326" s="19">
        <f>Principle_portion_of_payment($B$1,$D$1,A326,$B$3)*'PSA&amp;CPR（function) '!N326</f>
        <v>0</v>
      </c>
      <c r="F326" s="19">
        <f>Interest_portion_of_payment($B$1,$D$1,A326,$B$3)*'PSA&amp;CPR（function) '!N326</f>
        <v>0</v>
      </c>
      <c r="G326" s="19">
        <f>(B326-E326)*'PSA&amp;CPR（function) '!F327</f>
        <v>0</v>
      </c>
      <c r="H326" s="19">
        <f>Remaining_balance($B$1,$D$1,A326,$B$3)*'PSA&amp;CPR（function) '!N327</f>
        <v>0</v>
      </c>
    </row>
    <row r="327" spans="1:8">
      <c r="A327">
        <f>'PSA&amp;CPR'!A327</f>
        <v>325</v>
      </c>
      <c r="B327" s="19">
        <f t="shared" si="10"/>
        <v>0</v>
      </c>
      <c r="C327" s="19">
        <f t="shared" si="11"/>
        <v>0</v>
      </c>
      <c r="D327" s="19">
        <f>Monthly_payment($B$1,$D$1,$B$3)*'PSA&amp;CPR（function) '!N327</f>
        <v>0</v>
      </c>
      <c r="E327" s="19">
        <f>Principle_portion_of_payment($B$1,$D$1,A327,$B$3)*'PSA&amp;CPR（function) '!N327</f>
        <v>0</v>
      </c>
      <c r="F327" s="19">
        <f>Interest_portion_of_payment($B$1,$D$1,A327,$B$3)*'PSA&amp;CPR（function) '!N327</f>
        <v>0</v>
      </c>
      <c r="G327" s="19">
        <f>(B327-E327)*'PSA&amp;CPR（function) '!F328</f>
        <v>0</v>
      </c>
      <c r="H327" s="19">
        <f>Remaining_balance($B$1,$D$1,A327,$B$3)*'PSA&amp;CPR（function) '!N328</f>
        <v>0</v>
      </c>
    </row>
    <row r="328" spans="1:8">
      <c r="A328">
        <f>'PSA&amp;CPR'!A328</f>
        <v>326</v>
      </c>
      <c r="B328" s="19">
        <f t="shared" si="10"/>
        <v>0</v>
      </c>
      <c r="C328" s="19">
        <f t="shared" si="11"/>
        <v>0</v>
      </c>
      <c r="D328" s="19">
        <f>Monthly_payment($B$1,$D$1,$B$3)*'PSA&amp;CPR（function) '!N328</f>
        <v>0</v>
      </c>
      <c r="E328" s="19">
        <f>Principle_portion_of_payment($B$1,$D$1,A328,$B$3)*'PSA&amp;CPR（function) '!N328</f>
        <v>0</v>
      </c>
      <c r="F328" s="19">
        <f>Interest_portion_of_payment($B$1,$D$1,A328,$B$3)*'PSA&amp;CPR（function) '!N328</f>
        <v>0</v>
      </c>
      <c r="G328" s="19">
        <f>(B328-E328)*'PSA&amp;CPR（function) '!F329</f>
        <v>0</v>
      </c>
      <c r="H328" s="19">
        <f>Remaining_balance($B$1,$D$1,A328,$B$3)*'PSA&amp;CPR（function) '!N329</f>
        <v>0</v>
      </c>
    </row>
    <row r="329" spans="1:8">
      <c r="A329">
        <f>'PSA&amp;CPR'!A329</f>
        <v>327</v>
      </c>
      <c r="B329" s="19">
        <f t="shared" si="10"/>
        <v>0</v>
      </c>
      <c r="C329" s="19">
        <f t="shared" si="11"/>
        <v>0</v>
      </c>
      <c r="D329" s="19">
        <f>Monthly_payment($B$1,$D$1,$B$3)*'PSA&amp;CPR（function) '!N329</f>
        <v>0</v>
      </c>
      <c r="E329" s="19">
        <f>Principle_portion_of_payment($B$1,$D$1,A329,$B$3)*'PSA&amp;CPR（function) '!N329</f>
        <v>0</v>
      </c>
      <c r="F329" s="19">
        <f>Interest_portion_of_payment($B$1,$D$1,A329,$B$3)*'PSA&amp;CPR（function) '!N329</f>
        <v>0</v>
      </c>
      <c r="G329" s="19">
        <f>(B329-E329)*'PSA&amp;CPR（function) '!F330</f>
        <v>0</v>
      </c>
      <c r="H329" s="19">
        <f>Remaining_balance($B$1,$D$1,A329,$B$3)*'PSA&amp;CPR（function) '!N330</f>
        <v>0</v>
      </c>
    </row>
    <row r="330" spans="1:8">
      <c r="A330">
        <f>'PSA&amp;CPR'!A330</f>
        <v>328</v>
      </c>
      <c r="B330" s="19">
        <f t="shared" si="10"/>
        <v>0</v>
      </c>
      <c r="C330" s="19">
        <f t="shared" si="11"/>
        <v>0</v>
      </c>
      <c r="D330" s="19">
        <f>Monthly_payment($B$1,$D$1,$B$3)*'PSA&amp;CPR（function) '!N330</f>
        <v>0</v>
      </c>
      <c r="E330" s="19">
        <f>Principle_portion_of_payment($B$1,$D$1,A330,$B$3)*'PSA&amp;CPR（function) '!N330</f>
        <v>0</v>
      </c>
      <c r="F330" s="19">
        <f>Interest_portion_of_payment($B$1,$D$1,A330,$B$3)*'PSA&amp;CPR（function) '!N330</f>
        <v>0</v>
      </c>
      <c r="G330" s="19">
        <f>(B330-E330)*'PSA&amp;CPR（function) '!F331</f>
        <v>0</v>
      </c>
      <c r="H330" s="19">
        <f>Remaining_balance($B$1,$D$1,A330,$B$3)*'PSA&amp;CPR（function) '!N331</f>
        <v>0</v>
      </c>
    </row>
    <row r="331" spans="1:8">
      <c r="A331">
        <f>'PSA&amp;CPR'!A331</f>
        <v>329</v>
      </c>
      <c r="B331" s="19">
        <f t="shared" si="10"/>
        <v>0</v>
      </c>
      <c r="C331" s="19">
        <f t="shared" si="11"/>
        <v>0</v>
      </c>
      <c r="D331" s="19">
        <f>Monthly_payment($B$1,$D$1,$B$3)*'PSA&amp;CPR（function) '!N331</f>
        <v>0</v>
      </c>
      <c r="E331" s="19">
        <f>Principle_portion_of_payment($B$1,$D$1,A331,$B$3)*'PSA&amp;CPR（function) '!N331</f>
        <v>0</v>
      </c>
      <c r="F331" s="19">
        <f>Interest_portion_of_payment($B$1,$D$1,A331,$B$3)*'PSA&amp;CPR（function) '!N331</f>
        <v>0</v>
      </c>
      <c r="G331" s="19">
        <f>(B331-E331)*'PSA&amp;CPR（function) '!F332</f>
        <v>0</v>
      </c>
      <c r="H331" s="19">
        <f>Remaining_balance($B$1,$D$1,A331,$B$3)*'PSA&amp;CPR（function) '!N332</f>
        <v>0</v>
      </c>
    </row>
    <row r="332" spans="1:8">
      <c r="A332">
        <f>'PSA&amp;CPR'!A332</f>
        <v>330</v>
      </c>
      <c r="B332" s="19">
        <f t="shared" si="10"/>
        <v>0</v>
      </c>
      <c r="C332" s="19">
        <f t="shared" si="11"/>
        <v>0</v>
      </c>
      <c r="D332" s="19">
        <f>Monthly_payment($B$1,$D$1,$B$3)*'PSA&amp;CPR（function) '!N332</f>
        <v>0</v>
      </c>
      <c r="E332" s="19">
        <f>Principle_portion_of_payment($B$1,$D$1,A332,$B$3)*'PSA&amp;CPR（function) '!N332</f>
        <v>0</v>
      </c>
      <c r="F332" s="19">
        <f>Interest_portion_of_payment($B$1,$D$1,A332,$B$3)*'PSA&amp;CPR（function) '!N332</f>
        <v>0</v>
      </c>
      <c r="G332" s="19">
        <f>(B332-E332)*'PSA&amp;CPR（function) '!F333</f>
        <v>0</v>
      </c>
      <c r="H332" s="19">
        <f>Remaining_balance($B$1,$D$1,A332,$B$3)*'PSA&amp;CPR（function) '!N333</f>
        <v>0</v>
      </c>
    </row>
    <row r="333" spans="1:8">
      <c r="A333">
        <f>'PSA&amp;CPR'!A333</f>
        <v>331</v>
      </c>
      <c r="B333" s="19">
        <f t="shared" si="10"/>
        <v>0</v>
      </c>
      <c r="C333" s="19">
        <f t="shared" si="11"/>
        <v>0</v>
      </c>
      <c r="D333" s="19">
        <f>Monthly_payment($B$1,$D$1,$B$3)*'PSA&amp;CPR（function) '!N333</f>
        <v>0</v>
      </c>
      <c r="E333" s="19">
        <f>Principle_portion_of_payment($B$1,$D$1,A333,$B$3)*'PSA&amp;CPR（function) '!N333</f>
        <v>0</v>
      </c>
      <c r="F333" s="19">
        <f>Interest_portion_of_payment($B$1,$D$1,A333,$B$3)*'PSA&amp;CPR（function) '!N333</f>
        <v>0</v>
      </c>
      <c r="G333" s="19">
        <f>(B333-E333)*'PSA&amp;CPR（function) '!F334</f>
        <v>0</v>
      </c>
      <c r="H333" s="19">
        <f>Remaining_balance($B$1,$D$1,A333,$B$3)*'PSA&amp;CPR（function) '!N334</f>
        <v>0</v>
      </c>
    </row>
    <row r="334" spans="1:8">
      <c r="A334">
        <f>'PSA&amp;CPR'!A334</f>
        <v>332</v>
      </c>
      <c r="B334" s="19">
        <f t="shared" si="10"/>
        <v>0</v>
      </c>
      <c r="C334" s="19">
        <f t="shared" si="11"/>
        <v>0</v>
      </c>
      <c r="D334" s="19">
        <f>Monthly_payment($B$1,$D$1,$B$3)*'PSA&amp;CPR（function) '!N334</f>
        <v>0</v>
      </c>
      <c r="E334" s="19">
        <f>Principle_portion_of_payment($B$1,$D$1,A334,$B$3)*'PSA&amp;CPR（function) '!N334</f>
        <v>0</v>
      </c>
      <c r="F334" s="19">
        <f>Interest_portion_of_payment($B$1,$D$1,A334,$B$3)*'PSA&amp;CPR（function) '!N334</f>
        <v>0</v>
      </c>
      <c r="G334" s="19">
        <f>(B334-E334)*'PSA&amp;CPR（function) '!F335</f>
        <v>0</v>
      </c>
      <c r="H334" s="19">
        <f>Remaining_balance($B$1,$D$1,A334,$B$3)*'PSA&amp;CPR（function) '!N335</f>
        <v>0</v>
      </c>
    </row>
    <row r="335" spans="1:8">
      <c r="A335">
        <f>'PSA&amp;CPR'!A335</f>
        <v>333</v>
      </c>
      <c r="B335" s="19">
        <f t="shared" si="10"/>
        <v>0</v>
      </c>
      <c r="C335" s="19">
        <f t="shared" si="11"/>
        <v>0</v>
      </c>
      <c r="D335" s="19">
        <f>Monthly_payment($B$1,$D$1,$B$3)*'PSA&amp;CPR（function) '!N335</f>
        <v>0</v>
      </c>
      <c r="E335" s="19">
        <f>Principle_portion_of_payment($B$1,$D$1,A335,$B$3)*'PSA&amp;CPR（function) '!N335</f>
        <v>0</v>
      </c>
      <c r="F335" s="19">
        <f>Interest_portion_of_payment($B$1,$D$1,A335,$B$3)*'PSA&amp;CPR（function) '!N335</f>
        <v>0</v>
      </c>
      <c r="G335" s="19">
        <f>(B335-E335)*'PSA&amp;CPR（function) '!F336</f>
        <v>0</v>
      </c>
      <c r="H335" s="19">
        <f>Remaining_balance($B$1,$D$1,A335,$B$3)*'PSA&amp;CPR（function) '!N336</f>
        <v>0</v>
      </c>
    </row>
    <row r="336" spans="1:8">
      <c r="A336">
        <f>'PSA&amp;CPR'!A336</f>
        <v>334</v>
      </c>
      <c r="B336" s="19">
        <f t="shared" si="10"/>
        <v>0</v>
      </c>
      <c r="C336" s="19">
        <f t="shared" si="11"/>
        <v>0</v>
      </c>
      <c r="D336" s="19">
        <f>Monthly_payment($B$1,$D$1,$B$3)*'PSA&amp;CPR（function) '!N336</f>
        <v>0</v>
      </c>
      <c r="E336" s="19">
        <f>Principle_portion_of_payment($B$1,$D$1,A336,$B$3)*'PSA&amp;CPR（function) '!N336</f>
        <v>0</v>
      </c>
      <c r="F336" s="19">
        <f>Interest_portion_of_payment($B$1,$D$1,A336,$B$3)*'PSA&amp;CPR（function) '!N336</f>
        <v>0</v>
      </c>
      <c r="G336" s="19">
        <f>(B336-E336)*'PSA&amp;CPR（function) '!F337</f>
        <v>0</v>
      </c>
      <c r="H336" s="19">
        <f>Remaining_balance($B$1,$D$1,A336,$B$3)*'PSA&amp;CPR（function) '!N337</f>
        <v>0</v>
      </c>
    </row>
    <row r="337" spans="1:8">
      <c r="A337">
        <f>'PSA&amp;CPR'!A337</f>
        <v>335</v>
      </c>
      <c r="B337" s="19">
        <f t="shared" si="10"/>
        <v>0</v>
      </c>
      <c r="C337" s="19">
        <f t="shared" si="11"/>
        <v>0</v>
      </c>
      <c r="D337" s="19">
        <f>Monthly_payment($B$1,$D$1,$B$3)*'PSA&amp;CPR（function) '!N337</f>
        <v>0</v>
      </c>
      <c r="E337" s="19">
        <f>Principle_portion_of_payment($B$1,$D$1,A337,$B$3)*'PSA&amp;CPR（function) '!N337</f>
        <v>0</v>
      </c>
      <c r="F337" s="19">
        <f>Interest_portion_of_payment($B$1,$D$1,A337,$B$3)*'PSA&amp;CPR（function) '!N337</f>
        <v>0</v>
      </c>
      <c r="G337" s="19">
        <f>(B337-E337)*'PSA&amp;CPR（function) '!F338</f>
        <v>0</v>
      </c>
      <c r="H337" s="19">
        <f>Remaining_balance($B$1,$D$1,A337,$B$3)*'PSA&amp;CPR（function) '!N338</f>
        <v>0</v>
      </c>
    </row>
    <row r="338" spans="1:8">
      <c r="A338">
        <f>'PSA&amp;CPR'!A338</f>
        <v>336</v>
      </c>
      <c r="B338" s="19">
        <f t="shared" si="10"/>
        <v>0</v>
      </c>
      <c r="C338" s="19">
        <f t="shared" si="11"/>
        <v>0</v>
      </c>
      <c r="D338" s="19">
        <f>Monthly_payment($B$1,$D$1,$B$3)*'PSA&amp;CPR（function) '!N338</f>
        <v>0</v>
      </c>
      <c r="E338" s="19">
        <f>Principle_portion_of_payment($B$1,$D$1,A338,$B$3)*'PSA&amp;CPR（function) '!N338</f>
        <v>0</v>
      </c>
      <c r="F338" s="19">
        <f>Interest_portion_of_payment($B$1,$D$1,A338,$B$3)*'PSA&amp;CPR（function) '!N338</f>
        <v>0</v>
      </c>
      <c r="G338" s="19">
        <f>(B338-E338)*'PSA&amp;CPR（function) '!F339</f>
        <v>0</v>
      </c>
      <c r="H338" s="19">
        <f>Remaining_balance($B$1,$D$1,A338,$B$3)*'PSA&amp;CPR（function) '!N339</f>
        <v>0</v>
      </c>
    </row>
    <row r="339" spans="1:8">
      <c r="A339">
        <f>'PSA&amp;CPR'!A339</f>
        <v>337</v>
      </c>
      <c r="B339" s="19">
        <f t="shared" si="10"/>
        <v>0</v>
      </c>
      <c r="C339" s="19">
        <f t="shared" si="11"/>
        <v>0</v>
      </c>
      <c r="D339" s="19">
        <f>Monthly_payment($B$1,$D$1,$B$3)*'PSA&amp;CPR（function) '!N339</f>
        <v>0</v>
      </c>
      <c r="E339" s="19">
        <f>Principle_portion_of_payment($B$1,$D$1,A339,$B$3)*'PSA&amp;CPR（function) '!N339</f>
        <v>0</v>
      </c>
      <c r="F339" s="19">
        <f>Interest_portion_of_payment($B$1,$D$1,A339,$B$3)*'PSA&amp;CPR（function) '!N339</f>
        <v>0</v>
      </c>
      <c r="G339" s="19">
        <f>(B339-E339)*'PSA&amp;CPR（function) '!F340</f>
        <v>0</v>
      </c>
      <c r="H339" s="19">
        <f>Remaining_balance($B$1,$D$1,A339,$B$3)*'PSA&amp;CPR（function) '!N340</f>
        <v>0</v>
      </c>
    </row>
    <row r="340" spans="1:8">
      <c r="A340">
        <f>'PSA&amp;CPR'!A340</f>
        <v>338</v>
      </c>
      <c r="B340" s="19">
        <f t="shared" si="10"/>
        <v>0</v>
      </c>
      <c r="C340" s="19">
        <f t="shared" si="11"/>
        <v>0</v>
      </c>
      <c r="D340" s="19">
        <f>Monthly_payment($B$1,$D$1,$B$3)*'PSA&amp;CPR（function) '!N340</f>
        <v>0</v>
      </c>
      <c r="E340" s="19">
        <f>Principle_portion_of_payment($B$1,$D$1,A340,$B$3)*'PSA&amp;CPR（function) '!N340</f>
        <v>0</v>
      </c>
      <c r="F340" s="19">
        <f>Interest_portion_of_payment($B$1,$D$1,A340,$B$3)*'PSA&amp;CPR（function) '!N340</f>
        <v>0</v>
      </c>
      <c r="G340" s="19">
        <f>(B340-E340)*'PSA&amp;CPR（function) '!F341</f>
        <v>0</v>
      </c>
      <c r="H340" s="19">
        <f>Remaining_balance($B$1,$D$1,A340,$B$3)*'PSA&amp;CPR（function) '!N341</f>
        <v>0</v>
      </c>
    </row>
    <row r="341" spans="1:8">
      <c r="A341">
        <f>'PSA&amp;CPR'!A341</f>
        <v>339</v>
      </c>
      <c r="B341" s="19">
        <f t="shared" si="10"/>
        <v>0</v>
      </c>
      <c r="C341" s="19">
        <f t="shared" si="11"/>
        <v>0</v>
      </c>
      <c r="D341" s="19">
        <f>Monthly_payment($B$1,$D$1,$B$3)*'PSA&amp;CPR（function) '!N341</f>
        <v>0</v>
      </c>
      <c r="E341" s="19">
        <f>Principle_portion_of_payment($B$1,$D$1,A341,$B$3)*'PSA&amp;CPR（function) '!N341</f>
        <v>0</v>
      </c>
      <c r="F341" s="19">
        <f>Interest_portion_of_payment($B$1,$D$1,A341,$B$3)*'PSA&amp;CPR（function) '!N341</f>
        <v>0</v>
      </c>
      <c r="G341" s="19">
        <f>(B341-E341)*'PSA&amp;CPR（function) '!F342</f>
        <v>0</v>
      </c>
      <c r="H341" s="19">
        <f>Remaining_balance($B$1,$D$1,A341,$B$3)*'PSA&amp;CPR（function) '!N342</f>
        <v>0</v>
      </c>
    </row>
    <row r="342" spans="1:8">
      <c r="A342">
        <f>'PSA&amp;CPR'!A342</f>
        <v>340</v>
      </c>
      <c r="B342" s="19">
        <f t="shared" si="10"/>
        <v>0</v>
      </c>
      <c r="C342" s="19">
        <f t="shared" si="11"/>
        <v>0</v>
      </c>
      <c r="D342" s="19">
        <f>Monthly_payment($B$1,$D$1,$B$3)*'PSA&amp;CPR（function) '!N342</f>
        <v>0</v>
      </c>
      <c r="E342" s="19">
        <f>Principle_portion_of_payment($B$1,$D$1,A342,$B$3)*'PSA&amp;CPR（function) '!N342</f>
        <v>0</v>
      </c>
      <c r="F342" s="19">
        <f>Interest_portion_of_payment($B$1,$D$1,A342,$B$3)*'PSA&amp;CPR（function) '!N342</f>
        <v>0</v>
      </c>
      <c r="G342" s="19">
        <f>(B342-E342)*'PSA&amp;CPR（function) '!F343</f>
        <v>0</v>
      </c>
      <c r="H342" s="19">
        <f>Remaining_balance($B$1,$D$1,A342,$B$3)*'PSA&amp;CPR（function) '!N343</f>
        <v>0</v>
      </c>
    </row>
    <row r="343" spans="1:8">
      <c r="A343">
        <f>'PSA&amp;CPR'!A343</f>
        <v>341</v>
      </c>
      <c r="B343" s="19">
        <f t="shared" si="10"/>
        <v>0</v>
      </c>
      <c r="C343" s="19">
        <f t="shared" si="11"/>
        <v>0</v>
      </c>
      <c r="D343" s="19">
        <f>Monthly_payment($B$1,$D$1,$B$3)*'PSA&amp;CPR（function) '!N343</f>
        <v>0</v>
      </c>
      <c r="E343" s="19">
        <f>Principle_portion_of_payment($B$1,$D$1,A343,$B$3)*'PSA&amp;CPR（function) '!N343</f>
        <v>0</v>
      </c>
      <c r="F343" s="19">
        <f>Interest_portion_of_payment($B$1,$D$1,A343,$B$3)*'PSA&amp;CPR（function) '!N343</f>
        <v>0</v>
      </c>
      <c r="G343" s="19">
        <f>(B343-E343)*'PSA&amp;CPR（function) '!F344</f>
        <v>0</v>
      </c>
      <c r="H343" s="19">
        <f>Remaining_balance($B$1,$D$1,A343,$B$3)*'PSA&amp;CPR（function) '!N344</f>
        <v>0</v>
      </c>
    </row>
    <row r="344" spans="1:8">
      <c r="A344">
        <f>'PSA&amp;CPR'!A344</f>
        <v>342</v>
      </c>
      <c r="B344" s="19">
        <f t="shared" si="10"/>
        <v>0</v>
      </c>
      <c r="C344" s="19">
        <f t="shared" si="11"/>
        <v>0</v>
      </c>
      <c r="D344" s="19">
        <f>Monthly_payment($B$1,$D$1,$B$3)*'PSA&amp;CPR（function) '!N344</f>
        <v>0</v>
      </c>
      <c r="E344" s="19">
        <f>Principle_portion_of_payment($B$1,$D$1,A344,$B$3)*'PSA&amp;CPR（function) '!N344</f>
        <v>0</v>
      </c>
      <c r="F344" s="19">
        <f>Interest_portion_of_payment($B$1,$D$1,A344,$B$3)*'PSA&amp;CPR（function) '!N344</f>
        <v>0</v>
      </c>
      <c r="G344" s="19">
        <f>(B344-E344)*'PSA&amp;CPR（function) '!F345</f>
        <v>0</v>
      </c>
      <c r="H344" s="19">
        <f>Remaining_balance($B$1,$D$1,A344,$B$3)*'PSA&amp;CPR（function) '!N345</f>
        <v>0</v>
      </c>
    </row>
    <row r="345" spans="1:8">
      <c r="A345">
        <f>'PSA&amp;CPR'!A345</f>
        <v>343</v>
      </c>
      <c r="B345" s="19">
        <f t="shared" si="10"/>
        <v>0</v>
      </c>
      <c r="C345" s="19">
        <f t="shared" si="11"/>
        <v>0</v>
      </c>
      <c r="D345" s="19">
        <f>Monthly_payment($B$1,$D$1,$B$3)*'PSA&amp;CPR（function) '!N345</f>
        <v>0</v>
      </c>
      <c r="E345" s="19">
        <f>Principle_portion_of_payment($B$1,$D$1,A345,$B$3)*'PSA&amp;CPR（function) '!N345</f>
        <v>0</v>
      </c>
      <c r="F345" s="19">
        <f>Interest_portion_of_payment($B$1,$D$1,A345,$B$3)*'PSA&amp;CPR（function) '!N345</f>
        <v>0</v>
      </c>
      <c r="G345" s="19">
        <f>(B345-E345)*'PSA&amp;CPR（function) '!F346</f>
        <v>0</v>
      </c>
      <c r="H345" s="19">
        <f>Remaining_balance($B$1,$D$1,A345,$B$3)*'PSA&amp;CPR（function) '!N346</f>
        <v>0</v>
      </c>
    </row>
    <row r="346" spans="1:8">
      <c r="A346">
        <f>'PSA&amp;CPR'!A346</f>
        <v>344</v>
      </c>
      <c r="B346" s="19">
        <f t="shared" si="10"/>
        <v>0</v>
      </c>
      <c r="C346" s="19">
        <f t="shared" si="11"/>
        <v>0</v>
      </c>
      <c r="D346" s="19">
        <f>Monthly_payment($B$1,$D$1,$B$3)*'PSA&amp;CPR（function) '!N346</f>
        <v>0</v>
      </c>
      <c r="E346" s="19">
        <f>Principle_portion_of_payment($B$1,$D$1,A346,$B$3)*'PSA&amp;CPR（function) '!N346</f>
        <v>0</v>
      </c>
      <c r="F346" s="19">
        <f>Interest_portion_of_payment($B$1,$D$1,A346,$B$3)*'PSA&amp;CPR（function) '!N346</f>
        <v>0</v>
      </c>
      <c r="G346" s="19">
        <f>(B346-E346)*'PSA&amp;CPR（function) '!F347</f>
        <v>0</v>
      </c>
      <c r="H346" s="19">
        <f>Remaining_balance($B$1,$D$1,A346,$B$3)*'PSA&amp;CPR（function) '!N347</f>
        <v>0</v>
      </c>
    </row>
    <row r="347" spans="1:8">
      <c r="A347">
        <f>'PSA&amp;CPR'!A347</f>
        <v>345</v>
      </c>
      <c r="B347" s="19">
        <f t="shared" si="10"/>
        <v>0</v>
      </c>
      <c r="C347" s="19">
        <f t="shared" si="11"/>
        <v>0</v>
      </c>
      <c r="D347" s="19">
        <f>Monthly_payment($B$1,$D$1,$B$3)*'PSA&amp;CPR（function) '!N347</f>
        <v>0</v>
      </c>
      <c r="E347" s="19">
        <f>Principle_portion_of_payment($B$1,$D$1,A347,$B$3)*'PSA&amp;CPR（function) '!N347</f>
        <v>0</v>
      </c>
      <c r="F347" s="19">
        <f>Interest_portion_of_payment($B$1,$D$1,A347,$B$3)*'PSA&amp;CPR（function) '!N347</f>
        <v>0</v>
      </c>
      <c r="G347" s="19">
        <f>(B347-E347)*'PSA&amp;CPR（function) '!F348</f>
        <v>0</v>
      </c>
      <c r="H347" s="19">
        <f>Remaining_balance($B$1,$D$1,A347,$B$3)*'PSA&amp;CPR（function) '!N348</f>
        <v>0</v>
      </c>
    </row>
    <row r="348" spans="1:8">
      <c r="A348">
        <f>'PSA&amp;CPR'!A348</f>
        <v>346</v>
      </c>
      <c r="B348" s="19">
        <f t="shared" si="10"/>
        <v>0</v>
      </c>
      <c r="C348" s="19">
        <f t="shared" si="11"/>
        <v>0</v>
      </c>
      <c r="D348" s="19">
        <f>Monthly_payment($B$1,$D$1,$B$3)*'PSA&amp;CPR（function) '!N348</f>
        <v>0</v>
      </c>
      <c r="E348" s="19">
        <f>Principle_portion_of_payment($B$1,$D$1,A348,$B$3)*'PSA&amp;CPR（function) '!N348</f>
        <v>0</v>
      </c>
      <c r="F348" s="19">
        <f>Interest_portion_of_payment($B$1,$D$1,A348,$B$3)*'PSA&amp;CPR（function) '!N348</f>
        <v>0</v>
      </c>
      <c r="G348" s="19">
        <f>(B348-E348)*'PSA&amp;CPR（function) '!F349</f>
        <v>0</v>
      </c>
      <c r="H348" s="19">
        <f>Remaining_balance($B$1,$D$1,A348,$B$3)*'PSA&amp;CPR（function) '!N349</f>
        <v>0</v>
      </c>
    </row>
    <row r="349" spans="1:8">
      <c r="A349">
        <f>'PSA&amp;CPR'!A349</f>
        <v>347</v>
      </c>
      <c r="B349" s="19">
        <f t="shared" si="10"/>
        <v>0</v>
      </c>
      <c r="C349" s="19">
        <f t="shared" si="11"/>
        <v>0</v>
      </c>
      <c r="D349" s="19">
        <f>Monthly_payment($B$1,$D$1,$B$3)*'PSA&amp;CPR（function) '!N349</f>
        <v>0</v>
      </c>
      <c r="E349" s="19">
        <f>Principle_portion_of_payment($B$1,$D$1,A349,$B$3)*'PSA&amp;CPR（function) '!N349</f>
        <v>0</v>
      </c>
      <c r="F349" s="19">
        <f>Interest_portion_of_payment($B$1,$D$1,A349,$B$3)*'PSA&amp;CPR（function) '!N349</f>
        <v>0</v>
      </c>
      <c r="G349" s="19">
        <f>(B349-E349)*'PSA&amp;CPR（function) '!F350</f>
        <v>0</v>
      </c>
      <c r="H349" s="19">
        <f>Remaining_balance($B$1,$D$1,A349,$B$3)*'PSA&amp;CPR（function) '!N350</f>
        <v>0</v>
      </c>
    </row>
    <row r="350" spans="1:8">
      <c r="A350">
        <f>'PSA&amp;CPR'!A350</f>
        <v>348</v>
      </c>
      <c r="B350" s="19">
        <f t="shared" si="10"/>
        <v>0</v>
      </c>
      <c r="C350" s="19">
        <f t="shared" si="11"/>
        <v>0</v>
      </c>
      <c r="D350" s="19">
        <f>Monthly_payment($B$1,$D$1,$B$3)*'PSA&amp;CPR（function) '!N350</f>
        <v>0</v>
      </c>
      <c r="E350" s="19">
        <f>Principle_portion_of_payment($B$1,$D$1,A350,$B$3)*'PSA&amp;CPR（function) '!N350</f>
        <v>0</v>
      </c>
      <c r="F350" s="19">
        <f>Interest_portion_of_payment($B$1,$D$1,A350,$B$3)*'PSA&amp;CPR（function) '!N350</f>
        <v>0</v>
      </c>
      <c r="G350" s="19">
        <f>(B350-E350)*'PSA&amp;CPR（function) '!F351</f>
        <v>0</v>
      </c>
      <c r="H350" s="19">
        <f>Remaining_balance($B$1,$D$1,A350,$B$3)*'PSA&amp;CPR（function) '!N351</f>
        <v>0</v>
      </c>
    </row>
    <row r="351" spans="1:8">
      <c r="A351">
        <f>'PSA&amp;CPR'!A351</f>
        <v>349</v>
      </c>
      <c r="B351" s="19">
        <f t="shared" si="10"/>
        <v>0</v>
      </c>
      <c r="C351" s="19">
        <f t="shared" si="11"/>
        <v>0</v>
      </c>
      <c r="D351" s="19">
        <f>Monthly_payment($B$1,$D$1,$B$3)*'PSA&amp;CPR（function) '!N351</f>
        <v>0</v>
      </c>
      <c r="E351" s="19">
        <f>Principle_portion_of_payment($B$1,$D$1,A351,$B$3)*'PSA&amp;CPR（function) '!N351</f>
        <v>0</v>
      </c>
      <c r="F351" s="19">
        <f>Interest_portion_of_payment($B$1,$D$1,A351,$B$3)*'PSA&amp;CPR（function) '!N351</f>
        <v>0</v>
      </c>
      <c r="G351" s="19">
        <f>(B351-E351)*'PSA&amp;CPR（function) '!F352</f>
        <v>0</v>
      </c>
      <c r="H351" s="19">
        <f>Remaining_balance($B$1,$D$1,A351,$B$3)*'PSA&amp;CPR（function) '!N352</f>
        <v>0</v>
      </c>
    </row>
    <row r="352" spans="1:8">
      <c r="A352">
        <f>'PSA&amp;CPR'!A352</f>
        <v>350</v>
      </c>
      <c r="B352" s="19">
        <f t="shared" si="10"/>
        <v>0</v>
      </c>
      <c r="C352" s="19">
        <f t="shared" si="11"/>
        <v>0</v>
      </c>
      <c r="D352" s="19">
        <f>Monthly_payment($B$1,$D$1,$B$3)*'PSA&amp;CPR（function) '!N352</f>
        <v>0</v>
      </c>
      <c r="E352" s="19">
        <f>Principle_portion_of_payment($B$1,$D$1,A352,$B$3)*'PSA&amp;CPR（function) '!N352</f>
        <v>0</v>
      </c>
      <c r="F352" s="19">
        <f>Interest_portion_of_payment($B$1,$D$1,A352,$B$3)*'PSA&amp;CPR（function) '!N352</f>
        <v>0</v>
      </c>
      <c r="G352" s="19">
        <f>(B352-E352)*'PSA&amp;CPR（function) '!F353</f>
        <v>0</v>
      </c>
      <c r="H352" s="19">
        <f>Remaining_balance($B$1,$D$1,A352,$B$3)*'PSA&amp;CPR（function) '!N353</f>
        <v>0</v>
      </c>
    </row>
    <row r="353" spans="1:8">
      <c r="A353">
        <f>'PSA&amp;CPR'!A353</f>
        <v>351</v>
      </c>
      <c r="B353" s="19">
        <f t="shared" si="10"/>
        <v>0</v>
      </c>
      <c r="C353" s="19">
        <f t="shared" si="11"/>
        <v>0</v>
      </c>
      <c r="D353" s="19">
        <f>Monthly_payment($B$1,$D$1,$B$3)*'PSA&amp;CPR（function) '!N353</f>
        <v>0</v>
      </c>
      <c r="E353" s="19">
        <f>Principle_portion_of_payment($B$1,$D$1,A353,$B$3)*'PSA&amp;CPR（function) '!N353</f>
        <v>0</v>
      </c>
      <c r="F353" s="19">
        <f>Interest_portion_of_payment($B$1,$D$1,A353,$B$3)*'PSA&amp;CPR（function) '!N353</f>
        <v>0</v>
      </c>
      <c r="G353" s="19">
        <f>(B353-E353)*'PSA&amp;CPR（function) '!F354</f>
        <v>0</v>
      </c>
      <c r="H353" s="19">
        <f>Remaining_balance($B$1,$D$1,A353,$B$3)*'PSA&amp;CPR（function) '!N354</f>
        <v>0</v>
      </c>
    </row>
    <row r="354" spans="1:8">
      <c r="A354">
        <f>'PSA&amp;CPR'!A354</f>
        <v>352</v>
      </c>
      <c r="B354" s="19">
        <f t="shared" si="10"/>
        <v>0</v>
      </c>
      <c r="C354" s="19">
        <f t="shared" si="11"/>
        <v>0</v>
      </c>
      <c r="D354" s="19">
        <f>Monthly_payment($B$1,$D$1,$B$3)*'PSA&amp;CPR（function) '!N354</f>
        <v>0</v>
      </c>
      <c r="E354" s="19">
        <f>Principle_portion_of_payment($B$1,$D$1,A354,$B$3)*'PSA&amp;CPR（function) '!N354</f>
        <v>0</v>
      </c>
      <c r="F354" s="19">
        <f>Interest_portion_of_payment($B$1,$D$1,A354,$B$3)*'PSA&amp;CPR（function) '!N354</f>
        <v>0</v>
      </c>
      <c r="G354" s="19">
        <f>(B354-E354)*'PSA&amp;CPR（function) '!F355</f>
        <v>0</v>
      </c>
      <c r="H354" s="19">
        <f>Remaining_balance($B$1,$D$1,A354,$B$3)*'PSA&amp;CPR（function) '!N355</f>
        <v>0</v>
      </c>
    </row>
    <row r="355" spans="1:8">
      <c r="A355">
        <f>'PSA&amp;CPR'!A355</f>
        <v>353</v>
      </c>
      <c r="B355" s="19">
        <f t="shared" si="10"/>
        <v>0</v>
      </c>
      <c r="C355" s="19">
        <f t="shared" si="11"/>
        <v>0</v>
      </c>
      <c r="D355" s="19">
        <f>Monthly_payment($B$1,$D$1,$B$3)*'PSA&amp;CPR（function) '!N355</f>
        <v>0</v>
      </c>
      <c r="E355" s="19">
        <f>Principle_portion_of_payment($B$1,$D$1,A355,$B$3)*'PSA&amp;CPR（function) '!N355</f>
        <v>0</v>
      </c>
      <c r="F355" s="19">
        <f>Interest_portion_of_payment($B$1,$D$1,A355,$B$3)*'PSA&amp;CPR（function) '!N355</f>
        <v>0</v>
      </c>
      <c r="G355" s="19">
        <f>(B355-E355)*'PSA&amp;CPR（function) '!F356</f>
        <v>0</v>
      </c>
      <c r="H355" s="19">
        <f>Remaining_balance($B$1,$D$1,A355,$B$3)*'PSA&amp;CPR（function) '!N356</f>
        <v>0</v>
      </c>
    </row>
    <row r="356" spans="1:8">
      <c r="A356">
        <f>'PSA&amp;CPR'!A356</f>
        <v>354</v>
      </c>
      <c r="B356" s="19">
        <f t="shared" si="10"/>
        <v>0</v>
      </c>
      <c r="C356" s="19">
        <f t="shared" si="11"/>
        <v>0</v>
      </c>
      <c r="D356" s="19">
        <f>Monthly_payment($B$1,$D$1,$B$3)*'PSA&amp;CPR（function) '!N356</f>
        <v>0</v>
      </c>
      <c r="E356" s="19">
        <f>Principle_portion_of_payment($B$1,$D$1,A356,$B$3)*'PSA&amp;CPR（function) '!N356</f>
        <v>0</v>
      </c>
      <c r="F356" s="19">
        <f>Interest_portion_of_payment($B$1,$D$1,A356,$B$3)*'PSA&amp;CPR（function) '!N356</f>
        <v>0</v>
      </c>
      <c r="G356" s="19">
        <f>(B356-E356)*'PSA&amp;CPR（function) '!F357</f>
        <v>0</v>
      </c>
      <c r="H356" s="19">
        <f>Remaining_balance($B$1,$D$1,A356,$B$3)*'PSA&amp;CPR（function) '!N357</f>
        <v>0</v>
      </c>
    </row>
    <row r="357" spans="1:8">
      <c r="A357">
        <f>'PSA&amp;CPR'!A357</f>
        <v>355</v>
      </c>
      <c r="B357" s="19">
        <f t="shared" si="10"/>
        <v>0</v>
      </c>
      <c r="C357" s="19">
        <f t="shared" si="11"/>
        <v>0</v>
      </c>
      <c r="D357" s="19">
        <f>Monthly_payment($B$1,$D$1,$B$3)*'PSA&amp;CPR（function) '!N357</f>
        <v>0</v>
      </c>
      <c r="E357" s="19">
        <f>Principle_portion_of_payment($B$1,$D$1,A357,$B$3)*'PSA&amp;CPR（function) '!N357</f>
        <v>0</v>
      </c>
      <c r="F357" s="19">
        <f>Interest_portion_of_payment($B$1,$D$1,A357,$B$3)*'PSA&amp;CPR（function) '!N357</f>
        <v>0</v>
      </c>
      <c r="G357" s="19">
        <f>(B357-E357)*'PSA&amp;CPR（function) '!F358</f>
        <v>0</v>
      </c>
      <c r="H357" s="19">
        <f>Remaining_balance($B$1,$D$1,A357,$B$3)*'PSA&amp;CPR（function) '!N358</f>
        <v>0</v>
      </c>
    </row>
    <row r="358" spans="1:8">
      <c r="A358">
        <f>'PSA&amp;CPR'!A358</f>
        <v>356</v>
      </c>
      <c r="B358" s="19">
        <f t="shared" si="10"/>
        <v>0</v>
      </c>
      <c r="C358" s="19">
        <f t="shared" si="11"/>
        <v>0</v>
      </c>
      <c r="D358" s="19">
        <f>Monthly_payment($B$1,$D$1,$B$3)*'PSA&amp;CPR（function) '!N358</f>
        <v>0</v>
      </c>
      <c r="E358" s="19">
        <f>Principle_portion_of_payment($B$1,$D$1,A358,$B$3)*'PSA&amp;CPR（function) '!N358</f>
        <v>0</v>
      </c>
      <c r="F358" s="19">
        <f>Interest_portion_of_payment($B$1,$D$1,A358,$B$3)*'PSA&amp;CPR（function) '!N358</f>
        <v>0</v>
      </c>
      <c r="G358" s="19">
        <f>(B358-E358)*'PSA&amp;CPR（function) '!F359</f>
        <v>0</v>
      </c>
      <c r="H358" s="19">
        <f>Remaining_balance($B$1,$D$1,A358,$B$3)*'PSA&amp;CPR（function) '!N359</f>
        <v>0</v>
      </c>
    </row>
    <row r="359" spans="1:8">
      <c r="A359">
        <f>'PSA&amp;CPR'!A359</f>
        <v>357</v>
      </c>
      <c r="B359" s="19">
        <f t="shared" si="10"/>
        <v>0</v>
      </c>
      <c r="C359" s="19">
        <f t="shared" si="11"/>
        <v>0</v>
      </c>
      <c r="D359" s="19">
        <f>Monthly_payment($B$1,$D$1,$B$3)*'PSA&amp;CPR（function) '!N359</f>
        <v>0</v>
      </c>
      <c r="E359" s="19">
        <f>Principle_portion_of_payment($B$1,$D$1,A359,$B$3)*'PSA&amp;CPR（function) '!N359</f>
        <v>0</v>
      </c>
      <c r="F359" s="19">
        <f>Interest_portion_of_payment($B$1,$D$1,A359,$B$3)*'PSA&amp;CPR（function) '!N359</f>
        <v>0</v>
      </c>
      <c r="G359" s="19">
        <f>(B359-E359)*'PSA&amp;CPR（function) '!F360</f>
        <v>0</v>
      </c>
      <c r="H359" s="19">
        <f>Remaining_balance($B$1,$D$1,A359,$B$3)*'PSA&amp;CPR（function) '!N360</f>
        <v>0</v>
      </c>
    </row>
    <row r="360" spans="1:8">
      <c r="A360">
        <f>'PSA&amp;CPR'!A360</f>
        <v>358</v>
      </c>
      <c r="B360" s="19">
        <f t="shared" si="10"/>
        <v>0</v>
      </c>
      <c r="C360" s="19">
        <f t="shared" si="11"/>
        <v>0</v>
      </c>
      <c r="D360" s="19">
        <f>Monthly_payment($B$1,$D$1,$B$3)*'PSA&amp;CPR（function) '!N360</f>
        <v>0</v>
      </c>
      <c r="E360" s="19">
        <f>Principle_portion_of_payment($B$1,$D$1,A360,$B$3)*'PSA&amp;CPR（function) '!N360</f>
        <v>0</v>
      </c>
      <c r="F360" s="19">
        <f>Interest_portion_of_payment($B$1,$D$1,A360,$B$3)*'PSA&amp;CPR（function) '!N360</f>
        <v>0</v>
      </c>
      <c r="G360" s="19">
        <f>(B360-E360)*'PSA&amp;CPR（function) '!F361</f>
        <v>0</v>
      </c>
      <c r="H360" s="19">
        <f>Remaining_balance($B$1,$D$1,A360,$B$3)*'PSA&amp;CPR（function) '!N361</f>
        <v>0</v>
      </c>
    </row>
    <row r="361" spans="1:8">
      <c r="A361">
        <f>'PSA&amp;CPR'!A361</f>
        <v>359</v>
      </c>
      <c r="B361" s="19">
        <f t="shared" si="10"/>
        <v>0</v>
      </c>
      <c r="C361" s="19">
        <f t="shared" si="11"/>
        <v>0</v>
      </c>
      <c r="D361" s="19">
        <f>Monthly_payment($B$1,$D$1,$B$3)*'PSA&amp;CPR（function) '!N361</f>
        <v>0</v>
      </c>
      <c r="E361" s="19">
        <f>Principle_portion_of_payment($B$1,$D$1,A361,$B$3)*'PSA&amp;CPR（function) '!N361</f>
        <v>0</v>
      </c>
      <c r="F361" s="19">
        <f>Interest_portion_of_payment($B$1,$D$1,A361,$B$3)*'PSA&amp;CPR（function) '!N361</f>
        <v>0</v>
      </c>
      <c r="G361" s="19">
        <f>(B361-E361)*'PSA&amp;CPR（function) '!F362</f>
        <v>0</v>
      </c>
      <c r="H361" s="19">
        <f>Remaining_balance($B$1,$D$1,A361,$B$3)*'PSA&amp;CPR（function) '!N362</f>
        <v>0</v>
      </c>
    </row>
    <row r="362" spans="1:8">
      <c r="A362">
        <f>'PSA&amp;CPR'!A362</f>
        <v>360</v>
      </c>
      <c r="B362" s="19">
        <f t="shared" si="10"/>
        <v>0</v>
      </c>
      <c r="C362" s="19">
        <f t="shared" si="11"/>
        <v>0</v>
      </c>
      <c r="D362" s="19">
        <f>Monthly_payment($B$1,$D$1,$B$3)*'PSA&amp;CPR（function) '!N362</f>
        <v>0</v>
      </c>
      <c r="E362" s="19">
        <f>Principle_portion_of_payment($B$1,$D$1,A362,$B$3)*'PSA&amp;CPR（function) '!N362</f>
        <v>0</v>
      </c>
      <c r="F362" s="19">
        <f>Interest_portion_of_payment($B$1,$D$1,A362,$B$3)*'PSA&amp;CPR（function) '!N362</f>
        <v>0</v>
      </c>
      <c r="G362" s="19">
        <f>(B362-E362)*'PSA&amp;CPR（function) '!F363</f>
        <v>0</v>
      </c>
      <c r="H362" s="19">
        <f>Remaining_balance($B$1,$D$1,A362,$B$3)*'PSA&amp;CPR（function) '!N363</f>
        <v>0</v>
      </c>
    </row>
    <row r="363" spans="1:8">
      <c r="B363" s="19"/>
      <c r="C363" s="19"/>
      <c r="D363" s="19"/>
      <c r="E363" s="19"/>
      <c r="F363" s="19"/>
      <c r="G363" s="19"/>
      <c r="H363" s="19"/>
    </row>
    <row r="364" spans="1:8">
      <c r="B364" s="19"/>
      <c r="C364" s="19"/>
      <c r="D364" s="19"/>
      <c r="E364" s="19"/>
      <c r="F364" s="19"/>
      <c r="G364" s="19"/>
      <c r="H364" s="19"/>
    </row>
    <row r="365" spans="1:8">
      <c r="B365" s="19"/>
      <c r="C365" s="19"/>
      <c r="D365" s="19"/>
      <c r="E365" s="19"/>
      <c r="F365" s="19"/>
      <c r="G365" s="19"/>
      <c r="H365" s="19"/>
    </row>
    <row r="366" spans="1:8">
      <c r="B366" s="19"/>
      <c r="C366" s="19"/>
      <c r="D366" s="19"/>
      <c r="E366" s="19"/>
      <c r="F366" s="19"/>
      <c r="G366" s="19"/>
      <c r="H366" s="19"/>
    </row>
    <row r="367" spans="1:8">
      <c r="B367" s="19"/>
      <c r="C367" s="19"/>
      <c r="D367" s="19"/>
      <c r="E367" s="19"/>
      <c r="F367" s="19"/>
      <c r="G367" s="19"/>
      <c r="H367" s="19"/>
    </row>
    <row r="368" spans="1:8">
      <c r="B368" s="19"/>
      <c r="C368" s="19"/>
      <c r="D368" s="19"/>
      <c r="E368" s="19"/>
      <c r="F368" s="19"/>
      <c r="G368" s="19"/>
      <c r="H368" s="19"/>
    </row>
    <row r="369" spans="2:8">
      <c r="B369" s="19"/>
      <c r="C369" s="19"/>
      <c r="D369" s="19"/>
      <c r="E369" s="19"/>
      <c r="F369" s="19"/>
      <c r="G369" s="19"/>
      <c r="H369" s="19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F964F-4068-4AF5-8D76-D4DFE457BDD9}">
  <sheetPr codeName="Sheet5"/>
  <dimension ref="A1:H369"/>
  <sheetViews>
    <sheetView zoomScale="90" zoomScaleNormal="90" workbookViewId="0">
      <selection activeCell="A20" sqref="A20"/>
    </sheetView>
  </sheetViews>
  <sheetFormatPr baseColWidth="10" defaultColWidth="8.83203125" defaultRowHeight="15"/>
  <cols>
    <col min="1" max="1" width="25" customWidth="1"/>
    <col min="2" max="2" width="20.33203125" customWidth="1"/>
    <col min="3" max="3" width="17.1640625" customWidth="1"/>
    <col min="4" max="4" width="27" customWidth="1"/>
    <col min="5" max="5" width="26.1640625" bestFit="1" customWidth="1"/>
    <col min="6" max="6" width="25.5" bestFit="1" customWidth="1"/>
    <col min="7" max="7" width="25.5" customWidth="1"/>
    <col min="8" max="8" width="26.33203125" customWidth="1"/>
  </cols>
  <sheetData>
    <row r="1" spans="1:8">
      <c r="A1" t="s">
        <v>3</v>
      </c>
      <c r="B1">
        <v>5</v>
      </c>
      <c r="C1" t="s">
        <v>2</v>
      </c>
      <c r="D1">
        <v>360</v>
      </c>
    </row>
    <row r="2" spans="1:8" ht="16">
      <c r="A2" s="27" t="s">
        <v>17</v>
      </c>
      <c r="B2" s="27" t="s">
        <v>12</v>
      </c>
      <c r="C2" s="27" t="s">
        <v>13</v>
      </c>
      <c r="D2" s="27" t="s">
        <v>29</v>
      </c>
      <c r="E2" s="27" t="s">
        <v>31</v>
      </c>
      <c r="F2" s="27" t="s">
        <v>30</v>
      </c>
      <c r="G2" s="27" t="s">
        <v>32</v>
      </c>
      <c r="H2" s="27" t="s">
        <v>16</v>
      </c>
    </row>
    <row r="3" spans="1:8">
      <c r="A3">
        <f>'PSA&amp;CPR'!A3</f>
        <v>1</v>
      </c>
      <c r="B3" s="19">
        <f>100000</f>
        <v>100000</v>
      </c>
      <c r="C3" s="19">
        <f>B3*($B$1/1200)</f>
        <v>416.66666666666669</v>
      </c>
      <c r="D3" s="19">
        <f>Monthly_payment($B$1,$D$1,$B$3)*1</f>
        <v>536.82162301213975</v>
      </c>
      <c r="E3" s="19">
        <f>Principle_portion_of_payment($B$1,$D$1,A3,$B$3)*1</f>
        <v>120.15495634547315</v>
      </c>
      <c r="F3" s="19">
        <f>Interest_portion_of_payment($B$1,$D$1,A3,$B$3)*1</f>
        <v>416.66666666666669</v>
      </c>
      <c r="G3" s="19">
        <f>(B3-E3)*'PSA&amp;CPR（function) '!G4</f>
        <v>22.653367881071453</v>
      </c>
      <c r="H3" s="19">
        <f>Remaining_balance($B$1,$D$1,A3,$B$3)*'PSA&amp;CPR（function) '!O4</f>
        <v>99848.866426705368</v>
      </c>
    </row>
    <row r="4" spans="1:8">
      <c r="A4">
        <f>'PSA&amp;CPR'!A4</f>
        <v>2</v>
      </c>
      <c r="B4" s="19">
        <f>H3</f>
        <v>99848.866426705368</v>
      </c>
      <c r="C4" s="19">
        <f>B4*($B$1/1200)</f>
        <v>416.0369434446057</v>
      </c>
      <c r="D4" s="19">
        <f>Monthly_payment($B$1,$D$1,$B$3)*'PSA&amp;CPR（function) '!O4</f>
        <v>536.65512303987748</v>
      </c>
      <c r="E4" s="19">
        <f>Principle_portion_of_payment($B$1,$D$1,A4,$B$3)*'PSA&amp;CPR（function) '!O4</f>
        <v>120.61817959527191</v>
      </c>
      <c r="F4" s="19">
        <f>Interest_portion_of_payment($B$1,$D$1,A4,$B$3)*'PSA&amp;CPR（function) '!O4</f>
        <v>416.03694344460558</v>
      </c>
      <c r="G4" s="19">
        <f>(B4-E4)*'PSA&amp;CPR（function) '!G5</f>
        <v>61.617090075607017</v>
      </c>
      <c r="H4" s="19">
        <f>Remaining_balance($B$1,$D$1,A4,$B$3)*'PSA&amp;CPR（function) '!O5</f>
        <v>99674.941211598489</v>
      </c>
    </row>
    <row r="5" spans="1:8">
      <c r="A5">
        <f>'PSA&amp;CPR'!A5</f>
        <v>3</v>
      </c>
      <c r="B5" s="19">
        <f t="shared" ref="B5:B68" si="0">H4</f>
        <v>99674.941211598489</v>
      </c>
      <c r="C5" s="19">
        <f t="shared" ref="C5:C68" si="1">B5*($B$1/1200)</f>
        <v>415.31225504832702</v>
      </c>
      <c r="D5" s="19">
        <f>Monthly_payment($B$1,$D$1,$B$3)*'PSA&amp;CPR（function) '!O5</f>
        <v>536.36826857081599</v>
      </c>
      <c r="E5" s="19">
        <f>Principle_portion_of_payment($B$1,$D$1,A5,$B$3)*'PSA&amp;CPR（function) '!O5</f>
        <v>121.05601352248897</v>
      </c>
      <c r="F5" s="19">
        <f>Interest_portion_of_payment($B$1,$D$1,A5,$B$3)*'PSA&amp;CPR（function) '!O5</f>
        <v>415.31225504832713</v>
      </c>
      <c r="G5" s="19">
        <f>(B5-E5)*'PSA&amp;CPR（function) '!G6</f>
        <v>168.18674739825528</v>
      </c>
      <c r="H5" s="19">
        <f>Remaining_balance($B$1,$D$1,A5,$B$3)*'PSA&amp;CPR（function) '!O6</f>
        <v>99408.244856713587</v>
      </c>
    </row>
    <row r="6" spans="1:8">
      <c r="A6">
        <f>'PSA&amp;CPR'!A6</f>
        <v>4</v>
      </c>
      <c r="B6" s="19">
        <f t="shared" si="0"/>
        <v>99408.244856713587</v>
      </c>
      <c r="C6" s="19">
        <f t="shared" si="1"/>
        <v>414.20102023630659</v>
      </c>
      <c r="D6" s="19">
        <f>Monthly_payment($B$1,$D$1,$B$3)*'PSA&amp;CPR（function) '!O6</f>
        <v>535.58359946849816</v>
      </c>
      <c r="E6" s="19">
        <f>Principle_portion_of_payment($B$1,$D$1,A6,$B$3)*'PSA&amp;CPR（function) '!O6</f>
        <v>121.3825792321916</v>
      </c>
      <c r="F6" s="19">
        <f>Interest_portion_of_payment($B$1,$D$1,A6,$B$3)*'PSA&amp;CPR（function) '!O6</f>
        <v>414.20102023630659</v>
      </c>
      <c r="G6" s="19">
        <f>(B6-E6)*'PSA&amp;CPR（function) '!G7</f>
        <v>463.45504869504794</v>
      </c>
      <c r="H6" s="19">
        <f>Remaining_balance($B$1,$D$1,A6,$B$3)*'PSA&amp;CPR（function) '!O7</f>
        <v>98884.503010936358</v>
      </c>
    </row>
    <row r="7" spans="1:8">
      <c r="A7">
        <f>'PSA&amp;CPR'!A7</f>
        <v>5</v>
      </c>
      <c r="B7" s="19">
        <f t="shared" si="0"/>
        <v>98884.503010936358</v>
      </c>
      <c r="C7" s="19">
        <f t="shared" si="1"/>
        <v>412.01876254556817</v>
      </c>
      <c r="D7" s="19">
        <f>Monthly_payment($B$1,$D$1,$B$3)*'PSA&amp;CPR（function) '!O7</f>
        <v>533.41315093872754</v>
      </c>
      <c r="E7" s="19">
        <f>Principle_portion_of_payment($B$1,$D$1,A7,$B$3)*'PSA&amp;CPR（function) '!O7</f>
        <v>121.39438839315943</v>
      </c>
      <c r="F7" s="19">
        <f>Interest_portion_of_payment($B$1,$D$1,A7,$B$3)*'PSA&amp;CPR（function) '!O7</f>
        <v>412.01876254556817</v>
      </c>
      <c r="G7" s="19">
        <f>(B7-E7)*'PSA&amp;CPR（function) '!G8</f>
        <v>1313.4109082625207</v>
      </c>
      <c r="H7" s="19">
        <f>Remaining_balance($B$1,$D$1,A7,$B$3)*'PSA&amp;CPR（function) '!O8</f>
        <v>97614.608239124864</v>
      </c>
    </row>
    <row r="8" spans="1:8">
      <c r="A8">
        <f>'PSA&amp;CPR'!A8</f>
        <v>6</v>
      </c>
      <c r="B8" s="19">
        <f t="shared" si="0"/>
        <v>97614.608239124864</v>
      </c>
      <c r="C8" s="19">
        <f t="shared" si="1"/>
        <v>406.72753432968693</v>
      </c>
      <c r="D8" s="19">
        <f>Monthly_payment($B$1,$D$1,$B$3)*'PSA&amp;CPR（function) '!O8</f>
        <v>527.21017477771113</v>
      </c>
      <c r="E8" s="19">
        <f>Principle_portion_of_payment($B$1,$D$1,A8,$B$3)*'PSA&amp;CPR（function) '!O8</f>
        <v>120.48264044802426</v>
      </c>
      <c r="F8" s="19">
        <f>Interest_portion_of_payment($B$1,$D$1,A8,$B$3)*'PSA&amp;CPR（function) '!O8</f>
        <v>406.72753432968688</v>
      </c>
      <c r="G8" s="19">
        <f>(B8-E8)*'PSA&amp;CPR（function) '!G9</f>
        <v>4107.7244464074101</v>
      </c>
      <c r="H8" s="19">
        <f>Remaining_balance($B$1,$D$1,A8,$B$3)*'PSA&amp;CPR（function) '!O9</f>
        <v>93824.35811314694</v>
      </c>
    </row>
    <row r="9" spans="1:8">
      <c r="A9">
        <f>'PSA&amp;CPR'!A9</f>
        <v>7</v>
      </c>
      <c r="B9" s="19">
        <f t="shared" si="0"/>
        <v>93824.35811314694</v>
      </c>
      <c r="C9" s="19">
        <f t="shared" si="1"/>
        <v>390.93482547144561</v>
      </c>
      <c r="D9" s="19">
        <f>Monthly_payment($B$1,$D$1,$B$3)*'PSA&amp;CPR（function) '!O9</f>
        <v>507.36550469570125</v>
      </c>
      <c r="E9" s="19">
        <f>Principle_portion_of_payment($B$1,$D$1,A9,$B$3)*'PSA&amp;CPR（function) '!O9</f>
        <v>116.4306792242557</v>
      </c>
      <c r="F9" s="19">
        <f>Interest_portion_of_payment($B$1,$D$1,A9,$B$3)*'PSA&amp;CPR（function) '!O9</f>
        <v>390.93482547144561</v>
      </c>
      <c r="G9" s="19">
        <f>(B9-E9)*'PSA&amp;CPR（function) '!G10</f>
        <v>93707.927433922683</v>
      </c>
      <c r="H9" s="19">
        <f>Remaining_balance($B$1,$D$1,A9,$B$3)*'PSA&amp;CPR（function) '!O10</f>
        <v>0</v>
      </c>
    </row>
    <row r="10" spans="1:8">
      <c r="A10">
        <f>'PSA&amp;CPR'!A10</f>
        <v>8</v>
      </c>
      <c r="B10" s="19">
        <f t="shared" si="0"/>
        <v>0</v>
      </c>
      <c r="C10" s="19">
        <f t="shared" si="1"/>
        <v>0</v>
      </c>
      <c r="D10" s="19">
        <f>Monthly_payment($B$1,$D$1,$B$3)*'PSA&amp;CPR（function) '!O10</f>
        <v>0</v>
      </c>
      <c r="E10" s="19">
        <f>Principle_portion_of_payment($B$1,$D$1,A10,$B$3)*'PSA&amp;CPR（function) '!O10</f>
        <v>0</v>
      </c>
      <c r="F10" s="19">
        <f>Interest_portion_of_payment($B$1,$D$1,A10,$B$3)*'PSA&amp;CPR（function) '!O10</f>
        <v>0</v>
      </c>
      <c r="G10" s="19">
        <f>(B10-E10)*'PSA&amp;CPR（function) '!G11</f>
        <v>0</v>
      </c>
      <c r="H10" s="19">
        <f>Remaining_balance($B$1,$D$1,A10,$B$3)*'PSA&amp;CPR（function) '!O11</f>
        <v>0</v>
      </c>
    </row>
    <row r="11" spans="1:8">
      <c r="A11">
        <f>'PSA&amp;CPR'!A11</f>
        <v>9</v>
      </c>
      <c r="B11" s="19">
        <f t="shared" si="0"/>
        <v>0</v>
      </c>
      <c r="C11" s="19">
        <f t="shared" si="1"/>
        <v>0</v>
      </c>
      <c r="D11" s="19">
        <f>Monthly_payment($B$1,$D$1,$B$3)*'PSA&amp;CPR（function) '!O11</f>
        <v>0</v>
      </c>
      <c r="E11" s="19">
        <f>Principle_portion_of_payment($B$1,$D$1,A11,$B$3)*'PSA&amp;CPR（function) '!O11</f>
        <v>0</v>
      </c>
      <c r="F11" s="19">
        <f>Interest_portion_of_payment($B$1,$D$1,A11,$B$3)*'PSA&amp;CPR（function) '!O11</f>
        <v>0</v>
      </c>
      <c r="G11" s="19">
        <f>(B11-E11)*'PSA&amp;CPR（function) '!G12</f>
        <v>0</v>
      </c>
      <c r="H11" s="19">
        <f>Remaining_balance($B$1,$D$1,A11,$B$3)*'PSA&amp;CPR（function) '!O12</f>
        <v>0</v>
      </c>
    </row>
    <row r="12" spans="1:8">
      <c r="A12">
        <f>'PSA&amp;CPR'!A12</f>
        <v>10</v>
      </c>
      <c r="B12" s="19">
        <f t="shared" si="0"/>
        <v>0</v>
      </c>
      <c r="C12" s="19">
        <f t="shared" si="1"/>
        <v>0</v>
      </c>
      <c r="D12" s="19">
        <f>Monthly_payment($B$1,$D$1,$B$3)*'PSA&amp;CPR（function) '!O12</f>
        <v>0</v>
      </c>
      <c r="E12" s="19">
        <f>Principle_portion_of_payment($B$1,$D$1,A12,$B$3)*'PSA&amp;CPR（function) '!O12</f>
        <v>0</v>
      </c>
      <c r="F12" s="19">
        <f>Interest_portion_of_payment($B$1,$D$1,A12,$B$3)*'PSA&amp;CPR（function) '!O12</f>
        <v>0</v>
      </c>
      <c r="G12" s="19">
        <f>(B12-E12)*'PSA&amp;CPR（function) '!G13</f>
        <v>0</v>
      </c>
      <c r="H12" s="19">
        <f>Remaining_balance($B$1,$D$1,A12,$B$3)*'PSA&amp;CPR（function) '!O13</f>
        <v>0</v>
      </c>
    </row>
    <row r="13" spans="1:8">
      <c r="A13">
        <f>'PSA&amp;CPR'!A13</f>
        <v>11</v>
      </c>
      <c r="B13" s="19">
        <f t="shared" si="0"/>
        <v>0</v>
      </c>
      <c r="C13" s="19">
        <f t="shared" si="1"/>
        <v>0</v>
      </c>
      <c r="D13" s="19">
        <f>Monthly_payment($B$1,$D$1,$B$3)*'PSA&amp;CPR（function) '!O13</f>
        <v>0</v>
      </c>
      <c r="E13" s="19">
        <f>Principle_portion_of_payment($B$1,$D$1,A13,$B$3)*'PSA&amp;CPR（function) '!O13</f>
        <v>0</v>
      </c>
      <c r="F13" s="19">
        <f>Interest_portion_of_payment($B$1,$D$1,A13,$B$3)*'PSA&amp;CPR（function) '!O13</f>
        <v>0</v>
      </c>
      <c r="G13" s="19">
        <f>(B13-E13)*'PSA&amp;CPR（function) '!G14</f>
        <v>0</v>
      </c>
      <c r="H13" s="19">
        <f>Remaining_balance($B$1,$D$1,A13,$B$3)*'PSA&amp;CPR（function) '!O14</f>
        <v>0</v>
      </c>
    </row>
    <row r="14" spans="1:8">
      <c r="A14">
        <f>'PSA&amp;CPR'!A14</f>
        <v>12</v>
      </c>
      <c r="B14" s="19">
        <f t="shared" si="0"/>
        <v>0</v>
      </c>
      <c r="C14" s="19">
        <f t="shared" si="1"/>
        <v>0</v>
      </c>
      <c r="D14" s="19">
        <f>Monthly_payment($B$1,$D$1,$B$3)*'PSA&amp;CPR（function) '!O14</f>
        <v>0</v>
      </c>
      <c r="E14" s="19">
        <f>Principle_portion_of_payment($B$1,$D$1,A14,$B$3)*'PSA&amp;CPR（function) '!O14</f>
        <v>0</v>
      </c>
      <c r="F14" s="19">
        <f>Interest_portion_of_payment($B$1,$D$1,A14,$B$3)*'PSA&amp;CPR（function) '!O14</f>
        <v>0</v>
      </c>
      <c r="G14" s="19">
        <f>(B14-E14)*'PSA&amp;CPR（function) '!G15</f>
        <v>0</v>
      </c>
      <c r="H14" s="19">
        <f>Remaining_balance($B$1,$D$1,A14,$B$3)*'PSA&amp;CPR（function) '!O15</f>
        <v>0</v>
      </c>
    </row>
    <row r="15" spans="1:8">
      <c r="A15">
        <f>'PSA&amp;CPR'!A15</f>
        <v>13</v>
      </c>
      <c r="B15" s="19">
        <f t="shared" si="0"/>
        <v>0</v>
      </c>
      <c r="C15" s="19">
        <f t="shared" si="1"/>
        <v>0</v>
      </c>
      <c r="D15" s="19">
        <f>Monthly_payment($B$1,$D$1,$B$3)*'PSA&amp;CPR（function) '!O15</f>
        <v>0</v>
      </c>
      <c r="E15" s="19">
        <f>Principle_portion_of_payment($B$1,$D$1,A15,$B$3)*'PSA&amp;CPR（function) '!O15</f>
        <v>0</v>
      </c>
      <c r="F15" s="19">
        <f>Interest_portion_of_payment($B$1,$D$1,A15,$B$3)*'PSA&amp;CPR（function) '!O15</f>
        <v>0</v>
      </c>
      <c r="G15" s="19">
        <f>(B15-E15)*'PSA&amp;CPR（function) '!G16</f>
        <v>0</v>
      </c>
      <c r="H15" s="19">
        <f>Remaining_balance($B$1,$D$1,A15,$B$3)*'PSA&amp;CPR（function) '!O16</f>
        <v>0</v>
      </c>
    </row>
    <row r="16" spans="1:8">
      <c r="A16">
        <f>'PSA&amp;CPR'!A16</f>
        <v>14</v>
      </c>
      <c r="B16" s="19">
        <f t="shared" si="0"/>
        <v>0</v>
      </c>
      <c r="C16" s="19">
        <f t="shared" si="1"/>
        <v>0</v>
      </c>
      <c r="D16" s="19">
        <f>Monthly_payment($B$1,$D$1,$B$3)*'PSA&amp;CPR（function) '!O16</f>
        <v>0</v>
      </c>
      <c r="E16" s="19">
        <f>Principle_portion_of_payment($B$1,$D$1,A16,$B$3)*'PSA&amp;CPR（function) '!O16</f>
        <v>0</v>
      </c>
      <c r="F16" s="19">
        <f>Interest_portion_of_payment($B$1,$D$1,A16,$B$3)*'PSA&amp;CPR（function) '!O16</f>
        <v>0</v>
      </c>
      <c r="G16" s="19">
        <f>(B16-E16)*'PSA&amp;CPR（function) '!G17</f>
        <v>0</v>
      </c>
      <c r="H16" s="19">
        <f>Remaining_balance($B$1,$D$1,A16,$B$3)*'PSA&amp;CPR（function) '!O17</f>
        <v>0</v>
      </c>
    </row>
    <row r="17" spans="1:8">
      <c r="A17">
        <f>'PSA&amp;CPR'!A17</f>
        <v>15</v>
      </c>
      <c r="B17" s="19">
        <f t="shared" si="0"/>
        <v>0</v>
      </c>
      <c r="C17" s="19">
        <f t="shared" si="1"/>
        <v>0</v>
      </c>
      <c r="D17" s="19">
        <f>Monthly_payment($B$1,$D$1,$B$3)*'PSA&amp;CPR（function) '!O17</f>
        <v>0</v>
      </c>
      <c r="E17" s="19">
        <f>Principle_portion_of_payment($B$1,$D$1,A17,$B$3)*'PSA&amp;CPR（function) '!O17</f>
        <v>0</v>
      </c>
      <c r="F17" s="19">
        <f>Interest_portion_of_payment($B$1,$D$1,A17,$B$3)*'PSA&amp;CPR（function) '!O17</f>
        <v>0</v>
      </c>
      <c r="G17" s="19">
        <f>(B17-E17)*'PSA&amp;CPR（function) '!G18</f>
        <v>0</v>
      </c>
      <c r="H17" s="19">
        <f>Remaining_balance($B$1,$D$1,A17,$B$3)*'PSA&amp;CPR（function) '!O18</f>
        <v>0</v>
      </c>
    </row>
    <row r="18" spans="1:8">
      <c r="A18">
        <f>'PSA&amp;CPR'!A18</f>
        <v>16</v>
      </c>
      <c r="B18" s="19">
        <f t="shared" si="0"/>
        <v>0</v>
      </c>
      <c r="C18" s="19">
        <f t="shared" si="1"/>
        <v>0</v>
      </c>
      <c r="D18" s="19">
        <f>Monthly_payment($B$1,$D$1,$B$3)*'PSA&amp;CPR（function) '!O18</f>
        <v>0</v>
      </c>
      <c r="E18" s="19">
        <f>Principle_portion_of_payment($B$1,$D$1,A18,$B$3)*'PSA&amp;CPR（function) '!O18</f>
        <v>0</v>
      </c>
      <c r="F18" s="19">
        <f>Interest_portion_of_payment($B$1,$D$1,A18,$B$3)*'PSA&amp;CPR（function) '!O18</f>
        <v>0</v>
      </c>
      <c r="G18" s="19">
        <f>(B18-E18)*'PSA&amp;CPR（function) '!G19</f>
        <v>0</v>
      </c>
      <c r="H18" s="19">
        <f>Remaining_balance($B$1,$D$1,A18,$B$3)*'PSA&amp;CPR（function) '!O19</f>
        <v>0</v>
      </c>
    </row>
    <row r="19" spans="1:8">
      <c r="A19">
        <f>'PSA&amp;CPR'!A19</f>
        <v>17</v>
      </c>
      <c r="B19" s="19">
        <f t="shared" si="0"/>
        <v>0</v>
      </c>
      <c r="C19" s="19">
        <f t="shared" si="1"/>
        <v>0</v>
      </c>
      <c r="D19" s="19">
        <f>Monthly_payment($B$1,$D$1,$B$3)*'PSA&amp;CPR（function) '!O19</f>
        <v>0</v>
      </c>
      <c r="E19" s="19">
        <f>Principle_portion_of_payment($B$1,$D$1,A19,$B$3)*'PSA&amp;CPR（function) '!O19</f>
        <v>0</v>
      </c>
      <c r="F19" s="19">
        <f>Interest_portion_of_payment($B$1,$D$1,A19,$B$3)*'PSA&amp;CPR（function) '!O19</f>
        <v>0</v>
      </c>
      <c r="G19" s="19">
        <f>(B19-E19)*'PSA&amp;CPR（function) '!G20</f>
        <v>0</v>
      </c>
      <c r="H19" s="19">
        <f>Remaining_balance($B$1,$D$1,A19,$B$3)*'PSA&amp;CPR（function) '!O20</f>
        <v>0</v>
      </c>
    </row>
    <row r="20" spans="1:8">
      <c r="A20">
        <f>'PSA&amp;CPR'!A20</f>
        <v>18</v>
      </c>
      <c r="B20" s="19">
        <f t="shared" si="0"/>
        <v>0</v>
      </c>
      <c r="C20" s="19">
        <f t="shared" si="1"/>
        <v>0</v>
      </c>
      <c r="D20" s="19">
        <f>Monthly_payment($B$1,$D$1,$B$3)*'PSA&amp;CPR（function) '!O20</f>
        <v>0</v>
      </c>
      <c r="E20" s="19">
        <f>Principle_portion_of_payment($B$1,$D$1,A20,$B$3)*'PSA&amp;CPR（function) '!O20</f>
        <v>0</v>
      </c>
      <c r="F20" s="19">
        <f>Interest_portion_of_payment($B$1,$D$1,A20,$B$3)*'PSA&amp;CPR（function) '!O20</f>
        <v>0</v>
      </c>
      <c r="G20" s="19">
        <f>(B20-E20)*'PSA&amp;CPR（function) '!G21</f>
        <v>0</v>
      </c>
      <c r="H20" s="19">
        <f>Remaining_balance($B$1,$D$1,A20,$B$3)*'PSA&amp;CPR（function) '!O21</f>
        <v>0</v>
      </c>
    </row>
    <row r="21" spans="1:8">
      <c r="A21">
        <f>'PSA&amp;CPR'!A21</f>
        <v>19</v>
      </c>
      <c r="B21" s="19">
        <f t="shared" si="0"/>
        <v>0</v>
      </c>
      <c r="C21" s="19">
        <f t="shared" si="1"/>
        <v>0</v>
      </c>
      <c r="D21" s="19">
        <f>Monthly_payment($B$1,$D$1,$B$3)*'PSA&amp;CPR（function) '!O21</f>
        <v>0</v>
      </c>
      <c r="E21" s="19">
        <f>Principle_portion_of_payment($B$1,$D$1,A21,$B$3)*'PSA&amp;CPR（function) '!O21</f>
        <v>0</v>
      </c>
      <c r="F21" s="19">
        <f>Interest_portion_of_payment($B$1,$D$1,A21,$B$3)*'PSA&amp;CPR（function) '!O21</f>
        <v>0</v>
      </c>
      <c r="G21" s="19">
        <f>(B21-E21)*'PSA&amp;CPR（function) '!G22</f>
        <v>0</v>
      </c>
      <c r="H21" s="19">
        <f>Remaining_balance($B$1,$D$1,A21,$B$3)*'PSA&amp;CPR（function) '!O22</f>
        <v>0</v>
      </c>
    </row>
    <row r="22" spans="1:8">
      <c r="A22">
        <f>'PSA&amp;CPR'!A22</f>
        <v>20</v>
      </c>
      <c r="B22" s="19">
        <f t="shared" si="0"/>
        <v>0</v>
      </c>
      <c r="C22" s="19">
        <f t="shared" si="1"/>
        <v>0</v>
      </c>
      <c r="D22" s="19">
        <f>Monthly_payment($B$1,$D$1,$B$3)*'PSA&amp;CPR（function) '!O22</f>
        <v>0</v>
      </c>
      <c r="E22" s="19">
        <f>Principle_portion_of_payment($B$1,$D$1,A22,$B$3)*'PSA&amp;CPR（function) '!O22</f>
        <v>0</v>
      </c>
      <c r="F22" s="19">
        <f>Interest_portion_of_payment($B$1,$D$1,A22,$B$3)*'PSA&amp;CPR（function) '!O22</f>
        <v>0</v>
      </c>
      <c r="G22" s="19">
        <f>(B22-E22)*'PSA&amp;CPR（function) '!G23</f>
        <v>0</v>
      </c>
      <c r="H22" s="19">
        <f>Remaining_balance($B$1,$D$1,A22,$B$3)*'PSA&amp;CPR（function) '!O23</f>
        <v>0</v>
      </c>
    </row>
    <row r="23" spans="1:8">
      <c r="A23">
        <f>'PSA&amp;CPR'!A23</f>
        <v>21</v>
      </c>
      <c r="B23" s="19">
        <f t="shared" si="0"/>
        <v>0</v>
      </c>
      <c r="C23" s="19">
        <f t="shared" si="1"/>
        <v>0</v>
      </c>
      <c r="D23" s="19">
        <f>Monthly_payment($B$1,$D$1,$B$3)*'PSA&amp;CPR（function) '!O23</f>
        <v>0</v>
      </c>
      <c r="E23" s="19">
        <f>Principle_portion_of_payment($B$1,$D$1,A23,$B$3)*'PSA&amp;CPR（function) '!O23</f>
        <v>0</v>
      </c>
      <c r="F23" s="19">
        <f>Interest_portion_of_payment($B$1,$D$1,A23,$B$3)*'PSA&amp;CPR（function) '!O23</f>
        <v>0</v>
      </c>
      <c r="G23" s="19">
        <f>(B23-E23)*'PSA&amp;CPR（function) '!G24</f>
        <v>0</v>
      </c>
      <c r="H23" s="19">
        <f>Remaining_balance($B$1,$D$1,A23,$B$3)*'PSA&amp;CPR（function) '!O24</f>
        <v>0</v>
      </c>
    </row>
    <row r="24" spans="1:8">
      <c r="A24">
        <f>'PSA&amp;CPR'!A24</f>
        <v>22</v>
      </c>
      <c r="B24" s="19">
        <f t="shared" si="0"/>
        <v>0</v>
      </c>
      <c r="C24" s="19">
        <f t="shared" si="1"/>
        <v>0</v>
      </c>
      <c r="D24" s="19">
        <f>Monthly_payment($B$1,$D$1,$B$3)*'PSA&amp;CPR（function) '!O24</f>
        <v>0</v>
      </c>
      <c r="E24" s="19">
        <f>Principle_portion_of_payment($B$1,$D$1,A24,$B$3)*'PSA&amp;CPR（function) '!O24</f>
        <v>0</v>
      </c>
      <c r="F24" s="19">
        <f>Interest_portion_of_payment($B$1,$D$1,A24,$B$3)*'PSA&amp;CPR（function) '!O24</f>
        <v>0</v>
      </c>
      <c r="G24" s="19">
        <f>(B24-E24)*'PSA&amp;CPR（function) '!G25</f>
        <v>0</v>
      </c>
      <c r="H24" s="19">
        <f>Remaining_balance($B$1,$D$1,A24,$B$3)*'PSA&amp;CPR（function) '!O25</f>
        <v>0</v>
      </c>
    </row>
    <row r="25" spans="1:8">
      <c r="A25">
        <f>'PSA&amp;CPR'!A25</f>
        <v>23</v>
      </c>
      <c r="B25" s="19">
        <f t="shared" si="0"/>
        <v>0</v>
      </c>
      <c r="C25" s="19">
        <f t="shared" si="1"/>
        <v>0</v>
      </c>
      <c r="D25" s="19">
        <f>Monthly_payment($B$1,$D$1,$B$3)*'PSA&amp;CPR（function) '!O25</f>
        <v>0</v>
      </c>
      <c r="E25" s="19">
        <f>Principle_portion_of_payment($B$1,$D$1,A25,$B$3)*'PSA&amp;CPR（function) '!O25</f>
        <v>0</v>
      </c>
      <c r="F25" s="19">
        <f>Interest_portion_of_payment($B$1,$D$1,A25,$B$3)*'PSA&amp;CPR（function) '!O25</f>
        <v>0</v>
      </c>
      <c r="G25" s="19">
        <f>(B25-E25)*'PSA&amp;CPR（function) '!G26</f>
        <v>0</v>
      </c>
      <c r="H25" s="19">
        <f>Remaining_balance($B$1,$D$1,A25,$B$3)*'PSA&amp;CPR（function) '!O26</f>
        <v>0</v>
      </c>
    </row>
    <row r="26" spans="1:8">
      <c r="A26">
        <f>'PSA&amp;CPR'!A26</f>
        <v>24</v>
      </c>
      <c r="B26" s="19">
        <f t="shared" si="0"/>
        <v>0</v>
      </c>
      <c r="C26" s="19">
        <f t="shared" si="1"/>
        <v>0</v>
      </c>
      <c r="D26" s="19">
        <f>Monthly_payment($B$1,$D$1,$B$3)*'PSA&amp;CPR（function) '!O26</f>
        <v>0</v>
      </c>
      <c r="E26" s="19">
        <f>Principle_portion_of_payment($B$1,$D$1,A26,$B$3)*'PSA&amp;CPR（function) '!O26</f>
        <v>0</v>
      </c>
      <c r="F26" s="19">
        <f>Interest_portion_of_payment($B$1,$D$1,A26,$B$3)*'PSA&amp;CPR（function) '!O26</f>
        <v>0</v>
      </c>
      <c r="G26" s="19">
        <f>(B26-E26)*'PSA&amp;CPR（function) '!G27</f>
        <v>0</v>
      </c>
      <c r="H26" s="19">
        <f>Remaining_balance($B$1,$D$1,A26,$B$3)*'PSA&amp;CPR（function) '!O27</f>
        <v>0</v>
      </c>
    </row>
    <row r="27" spans="1:8">
      <c r="A27">
        <f>'PSA&amp;CPR'!A27</f>
        <v>25</v>
      </c>
      <c r="B27" s="19">
        <f t="shared" si="0"/>
        <v>0</v>
      </c>
      <c r="C27" s="19">
        <f t="shared" si="1"/>
        <v>0</v>
      </c>
      <c r="D27" s="19">
        <f>Monthly_payment($B$1,$D$1,$B$3)*'PSA&amp;CPR（function) '!O27</f>
        <v>0</v>
      </c>
      <c r="E27" s="19">
        <f>Principle_portion_of_payment($B$1,$D$1,A27,$B$3)*'PSA&amp;CPR（function) '!O27</f>
        <v>0</v>
      </c>
      <c r="F27" s="19">
        <f>Interest_portion_of_payment($B$1,$D$1,A27,$B$3)*'PSA&amp;CPR（function) '!O27</f>
        <v>0</v>
      </c>
      <c r="G27" s="19">
        <f>(B27-E27)*'PSA&amp;CPR（function) '!G28</f>
        <v>0</v>
      </c>
      <c r="H27" s="19">
        <f>Remaining_balance($B$1,$D$1,A27,$B$3)*'PSA&amp;CPR（function) '!O28</f>
        <v>0</v>
      </c>
    </row>
    <row r="28" spans="1:8">
      <c r="A28">
        <f>'PSA&amp;CPR'!A28</f>
        <v>26</v>
      </c>
      <c r="B28" s="19">
        <f t="shared" si="0"/>
        <v>0</v>
      </c>
      <c r="C28" s="19">
        <f t="shared" si="1"/>
        <v>0</v>
      </c>
      <c r="D28" s="19">
        <f>Monthly_payment($B$1,$D$1,$B$3)*'PSA&amp;CPR（function) '!O28</f>
        <v>0</v>
      </c>
      <c r="E28" s="19">
        <f>Principle_portion_of_payment($B$1,$D$1,A28,$B$3)*'PSA&amp;CPR（function) '!O28</f>
        <v>0</v>
      </c>
      <c r="F28" s="19">
        <f>Interest_portion_of_payment($B$1,$D$1,A28,$B$3)*'PSA&amp;CPR（function) '!O28</f>
        <v>0</v>
      </c>
      <c r="G28" s="19">
        <f>(B28-E28)*'PSA&amp;CPR（function) '!G29</f>
        <v>0</v>
      </c>
      <c r="H28" s="19">
        <f>Remaining_balance($B$1,$D$1,A28,$B$3)*'PSA&amp;CPR（function) '!O29</f>
        <v>0</v>
      </c>
    </row>
    <row r="29" spans="1:8">
      <c r="A29">
        <f>'PSA&amp;CPR'!A29</f>
        <v>27</v>
      </c>
      <c r="B29" s="19">
        <f t="shared" si="0"/>
        <v>0</v>
      </c>
      <c r="C29" s="19">
        <f t="shared" si="1"/>
        <v>0</v>
      </c>
      <c r="D29" s="19">
        <f>Monthly_payment($B$1,$D$1,$B$3)*'PSA&amp;CPR（function) '!O29</f>
        <v>0</v>
      </c>
      <c r="E29" s="19">
        <f>Principle_portion_of_payment($B$1,$D$1,A29,$B$3)*'PSA&amp;CPR（function) '!O29</f>
        <v>0</v>
      </c>
      <c r="F29" s="19">
        <f>Interest_portion_of_payment($B$1,$D$1,A29,$B$3)*'PSA&amp;CPR（function) '!O29</f>
        <v>0</v>
      </c>
      <c r="G29" s="19">
        <f>(B29-E29)*'PSA&amp;CPR（function) '!G30</f>
        <v>0</v>
      </c>
      <c r="H29" s="19">
        <f>Remaining_balance($B$1,$D$1,A29,$B$3)*'PSA&amp;CPR（function) '!O30</f>
        <v>0</v>
      </c>
    </row>
    <row r="30" spans="1:8">
      <c r="A30">
        <f>'PSA&amp;CPR'!A30</f>
        <v>28</v>
      </c>
      <c r="B30" s="19">
        <f t="shared" si="0"/>
        <v>0</v>
      </c>
      <c r="C30" s="19">
        <f t="shared" si="1"/>
        <v>0</v>
      </c>
      <c r="D30" s="19">
        <f>Monthly_payment($B$1,$D$1,$B$3)*'PSA&amp;CPR（function) '!O30</f>
        <v>0</v>
      </c>
      <c r="E30" s="19">
        <f>Principle_portion_of_payment($B$1,$D$1,A30,$B$3)*'PSA&amp;CPR（function) '!O30</f>
        <v>0</v>
      </c>
      <c r="F30" s="19">
        <f>Interest_portion_of_payment($B$1,$D$1,A30,$B$3)*'PSA&amp;CPR（function) '!O30</f>
        <v>0</v>
      </c>
      <c r="G30" s="19">
        <f>(B30-E30)*'PSA&amp;CPR（function) '!G31</f>
        <v>0</v>
      </c>
      <c r="H30" s="19">
        <f>Remaining_balance($B$1,$D$1,A30,$B$3)*'PSA&amp;CPR（function) '!O31</f>
        <v>0</v>
      </c>
    </row>
    <row r="31" spans="1:8">
      <c r="A31">
        <f>'PSA&amp;CPR'!A31</f>
        <v>29</v>
      </c>
      <c r="B31" s="19">
        <f t="shared" si="0"/>
        <v>0</v>
      </c>
      <c r="C31" s="19">
        <f t="shared" si="1"/>
        <v>0</v>
      </c>
      <c r="D31" s="19">
        <f>Monthly_payment($B$1,$D$1,$B$3)*'PSA&amp;CPR（function) '!O31</f>
        <v>0</v>
      </c>
      <c r="E31" s="19">
        <f>Principle_portion_of_payment($B$1,$D$1,A31,$B$3)*'PSA&amp;CPR（function) '!O31</f>
        <v>0</v>
      </c>
      <c r="F31" s="19">
        <f>Interest_portion_of_payment($B$1,$D$1,A31,$B$3)*'PSA&amp;CPR（function) '!O31</f>
        <v>0</v>
      </c>
      <c r="G31" s="19">
        <f>(B31-E31)*'PSA&amp;CPR（function) '!G32</f>
        <v>0</v>
      </c>
      <c r="H31" s="19">
        <f>Remaining_balance($B$1,$D$1,A31,$B$3)*'PSA&amp;CPR（function) '!O32</f>
        <v>0</v>
      </c>
    </row>
    <row r="32" spans="1:8">
      <c r="A32">
        <f>'PSA&amp;CPR'!A32</f>
        <v>30</v>
      </c>
      <c r="B32" s="19">
        <f t="shared" si="0"/>
        <v>0</v>
      </c>
      <c r="C32" s="19">
        <f t="shared" si="1"/>
        <v>0</v>
      </c>
      <c r="D32" s="19">
        <f>Monthly_payment($B$1,$D$1,$B$3)*'PSA&amp;CPR（function) '!O32</f>
        <v>0</v>
      </c>
      <c r="E32" s="19">
        <f>Principle_portion_of_payment($B$1,$D$1,A32,$B$3)*'PSA&amp;CPR（function) '!O32</f>
        <v>0</v>
      </c>
      <c r="F32" s="19">
        <f>Interest_portion_of_payment($B$1,$D$1,A32,$B$3)*'PSA&amp;CPR（function) '!O32</f>
        <v>0</v>
      </c>
      <c r="G32" s="19">
        <f>(B32-E32)*'PSA&amp;CPR（function) '!G33</f>
        <v>0</v>
      </c>
      <c r="H32" s="19">
        <f>Remaining_balance($B$1,$D$1,A32,$B$3)*'PSA&amp;CPR（function) '!O33</f>
        <v>0</v>
      </c>
    </row>
    <row r="33" spans="1:8">
      <c r="A33">
        <f>'PSA&amp;CPR'!A33</f>
        <v>31</v>
      </c>
      <c r="B33" s="19">
        <f t="shared" si="0"/>
        <v>0</v>
      </c>
      <c r="C33" s="19">
        <f t="shared" si="1"/>
        <v>0</v>
      </c>
      <c r="D33" s="19">
        <f>Monthly_payment($B$1,$D$1,$B$3)*'PSA&amp;CPR（function) '!O33</f>
        <v>0</v>
      </c>
      <c r="E33" s="19">
        <f>Principle_portion_of_payment($B$1,$D$1,A33,$B$3)*'PSA&amp;CPR（function) '!O33</f>
        <v>0</v>
      </c>
      <c r="F33" s="19">
        <f>Interest_portion_of_payment($B$1,$D$1,A33,$B$3)*'PSA&amp;CPR（function) '!O33</f>
        <v>0</v>
      </c>
      <c r="G33" s="19">
        <f>(B33-E33)*'PSA&amp;CPR（function) '!G34</f>
        <v>0</v>
      </c>
      <c r="H33" s="19">
        <f>Remaining_balance($B$1,$D$1,A33,$B$3)*'PSA&amp;CPR（function) '!O34</f>
        <v>0</v>
      </c>
    </row>
    <row r="34" spans="1:8">
      <c r="A34">
        <f>'PSA&amp;CPR'!A34</f>
        <v>32</v>
      </c>
      <c r="B34" s="19">
        <f t="shared" si="0"/>
        <v>0</v>
      </c>
      <c r="C34" s="19">
        <f t="shared" si="1"/>
        <v>0</v>
      </c>
      <c r="D34" s="19">
        <f>Monthly_payment($B$1,$D$1,$B$3)*'PSA&amp;CPR（function) '!O34</f>
        <v>0</v>
      </c>
      <c r="E34" s="19">
        <f>Principle_portion_of_payment($B$1,$D$1,A34,$B$3)*'PSA&amp;CPR（function) '!O34</f>
        <v>0</v>
      </c>
      <c r="F34" s="19">
        <f>Interest_portion_of_payment($B$1,$D$1,A34,$B$3)*'PSA&amp;CPR（function) '!O34</f>
        <v>0</v>
      </c>
      <c r="G34" s="19">
        <f>(B34-E34)*'PSA&amp;CPR（function) '!G35</f>
        <v>0</v>
      </c>
      <c r="H34" s="19">
        <f>Remaining_balance($B$1,$D$1,A34,$B$3)*'PSA&amp;CPR（function) '!O35</f>
        <v>0</v>
      </c>
    </row>
    <row r="35" spans="1:8">
      <c r="A35">
        <f>'PSA&amp;CPR'!A35</f>
        <v>33</v>
      </c>
      <c r="B35" s="19">
        <f t="shared" si="0"/>
        <v>0</v>
      </c>
      <c r="C35" s="19">
        <f t="shared" si="1"/>
        <v>0</v>
      </c>
      <c r="D35" s="19">
        <f>Monthly_payment($B$1,$D$1,$B$3)*'PSA&amp;CPR（function) '!O35</f>
        <v>0</v>
      </c>
      <c r="E35" s="19">
        <f>Principle_portion_of_payment($B$1,$D$1,A35,$B$3)*'PSA&amp;CPR（function) '!O35</f>
        <v>0</v>
      </c>
      <c r="F35" s="19">
        <f>Interest_portion_of_payment($B$1,$D$1,A35,$B$3)*'PSA&amp;CPR（function) '!O35</f>
        <v>0</v>
      </c>
      <c r="G35" s="19">
        <f>(B35-E35)*'PSA&amp;CPR（function) '!G36</f>
        <v>0</v>
      </c>
      <c r="H35" s="19">
        <f>Remaining_balance($B$1,$D$1,A35,$B$3)*'PSA&amp;CPR（function) '!O36</f>
        <v>0</v>
      </c>
    </row>
    <row r="36" spans="1:8">
      <c r="A36">
        <f>'PSA&amp;CPR'!A36</f>
        <v>34</v>
      </c>
      <c r="B36" s="19">
        <f t="shared" si="0"/>
        <v>0</v>
      </c>
      <c r="C36" s="19">
        <f t="shared" si="1"/>
        <v>0</v>
      </c>
      <c r="D36" s="19">
        <f>Monthly_payment($B$1,$D$1,$B$3)*'PSA&amp;CPR（function) '!O36</f>
        <v>0</v>
      </c>
      <c r="E36" s="19">
        <f>Principle_portion_of_payment($B$1,$D$1,A36,$B$3)*'PSA&amp;CPR（function) '!O36</f>
        <v>0</v>
      </c>
      <c r="F36" s="19">
        <f>Interest_portion_of_payment($B$1,$D$1,A36,$B$3)*'PSA&amp;CPR（function) '!O36</f>
        <v>0</v>
      </c>
      <c r="G36" s="19">
        <f>(B36-E36)*'PSA&amp;CPR（function) '!G37</f>
        <v>0</v>
      </c>
      <c r="H36" s="19">
        <f>Remaining_balance($B$1,$D$1,A36,$B$3)*'PSA&amp;CPR（function) '!O37</f>
        <v>0</v>
      </c>
    </row>
    <row r="37" spans="1:8">
      <c r="A37">
        <f>'PSA&amp;CPR'!A37</f>
        <v>35</v>
      </c>
      <c r="B37" s="19">
        <f t="shared" si="0"/>
        <v>0</v>
      </c>
      <c r="C37" s="19">
        <f t="shared" si="1"/>
        <v>0</v>
      </c>
      <c r="D37" s="19">
        <f>Monthly_payment($B$1,$D$1,$B$3)*'PSA&amp;CPR（function) '!O37</f>
        <v>0</v>
      </c>
      <c r="E37" s="19">
        <f>Principle_portion_of_payment($B$1,$D$1,A37,$B$3)*'PSA&amp;CPR（function) '!O37</f>
        <v>0</v>
      </c>
      <c r="F37" s="19">
        <f>Interest_portion_of_payment($B$1,$D$1,A37,$B$3)*'PSA&amp;CPR（function) '!O37</f>
        <v>0</v>
      </c>
      <c r="G37" s="19">
        <f>(B37-E37)*'PSA&amp;CPR（function) '!G38</f>
        <v>0</v>
      </c>
      <c r="H37" s="19">
        <f>Remaining_balance($B$1,$D$1,A37,$B$3)*'PSA&amp;CPR（function) '!O38</f>
        <v>0</v>
      </c>
    </row>
    <row r="38" spans="1:8">
      <c r="A38">
        <f>'PSA&amp;CPR'!A38</f>
        <v>36</v>
      </c>
      <c r="B38" s="19">
        <f t="shared" si="0"/>
        <v>0</v>
      </c>
      <c r="C38" s="19">
        <f t="shared" si="1"/>
        <v>0</v>
      </c>
      <c r="D38" s="19">
        <f>Monthly_payment($B$1,$D$1,$B$3)*'PSA&amp;CPR（function) '!O38</f>
        <v>0</v>
      </c>
      <c r="E38" s="19">
        <f>Principle_portion_of_payment($B$1,$D$1,A38,$B$3)*'PSA&amp;CPR（function) '!O38</f>
        <v>0</v>
      </c>
      <c r="F38" s="19">
        <f>Interest_portion_of_payment($B$1,$D$1,A38,$B$3)*'PSA&amp;CPR（function) '!O38</f>
        <v>0</v>
      </c>
      <c r="G38" s="19">
        <f>(B38-E38)*'PSA&amp;CPR（function) '!G39</f>
        <v>0</v>
      </c>
      <c r="H38" s="19">
        <f>Remaining_balance($B$1,$D$1,A38,$B$3)*'PSA&amp;CPR（function) '!O39</f>
        <v>0</v>
      </c>
    </row>
    <row r="39" spans="1:8">
      <c r="A39">
        <f>'PSA&amp;CPR'!A39</f>
        <v>37</v>
      </c>
      <c r="B39" s="19">
        <f t="shared" si="0"/>
        <v>0</v>
      </c>
      <c r="C39" s="19">
        <f t="shared" si="1"/>
        <v>0</v>
      </c>
      <c r="D39" s="19">
        <f>Monthly_payment($B$1,$D$1,$B$3)*'PSA&amp;CPR（function) '!O39</f>
        <v>0</v>
      </c>
      <c r="E39" s="19">
        <f>Principle_portion_of_payment($B$1,$D$1,A39,$B$3)*'PSA&amp;CPR（function) '!O39</f>
        <v>0</v>
      </c>
      <c r="F39" s="19">
        <f>Interest_portion_of_payment($B$1,$D$1,A39,$B$3)*'PSA&amp;CPR（function) '!O39</f>
        <v>0</v>
      </c>
      <c r="G39" s="19">
        <f>(B39-E39)*'PSA&amp;CPR（function) '!G40</f>
        <v>0</v>
      </c>
      <c r="H39" s="19">
        <f>Remaining_balance($B$1,$D$1,A39,$B$3)*'PSA&amp;CPR（function) '!O40</f>
        <v>0</v>
      </c>
    </row>
    <row r="40" spans="1:8">
      <c r="A40">
        <f>'PSA&amp;CPR'!A40</f>
        <v>38</v>
      </c>
      <c r="B40" s="19">
        <f t="shared" si="0"/>
        <v>0</v>
      </c>
      <c r="C40" s="19">
        <f t="shared" si="1"/>
        <v>0</v>
      </c>
      <c r="D40" s="19">
        <f>Monthly_payment($B$1,$D$1,$B$3)*'PSA&amp;CPR（function) '!O40</f>
        <v>0</v>
      </c>
      <c r="E40" s="19">
        <f>Principle_portion_of_payment($B$1,$D$1,A40,$B$3)*'PSA&amp;CPR（function) '!O40</f>
        <v>0</v>
      </c>
      <c r="F40" s="19">
        <f>Interest_portion_of_payment($B$1,$D$1,A40,$B$3)*'PSA&amp;CPR（function) '!O40</f>
        <v>0</v>
      </c>
      <c r="G40" s="19">
        <f>(B40-E40)*'PSA&amp;CPR（function) '!G41</f>
        <v>0</v>
      </c>
      <c r="H40" s="19">
        <f>Remaining_balance($B$1,$D$1,A40,$B$3)*'PSA&amp;CPR（function) '!O41</f>
        <v>0</v>
      </c>
    </row>
    <row r="41" spans="1:8">
      <c r="A41">
        <f>'PSA&amp;CPR'!A41</f>
        <v>39</v>
      </c>
      <c r="B41" s="19">
        <f t="shared" si="0"/>
        <v>0</v>
      </c>
      <c r="C41" s="19">
        <f t="shared" si="1"/>
        <v>0</v>
      </c>
      <c r="D41" s="19">
        <f>Monthly_payment($B$1,$D$1,$B$3)*'PSA&amp;CPR（function) '!O41</f>
        <v>0</v>
      </c>
      <c r="E41" s="19">
        <f>Principle_portion_of_payment($B$1,$D$1,A41,$B$3)*'PSA&amp;CPR（function) '!O41</f>
        <v>0</v>
      </c>
      <c r="F41" s="19">
        <f>Interest_portion_of_payment($B$1,$D$1,A41,$B$3)*'PSA&amp;CPR（function) '!O41</f>
        <v>0</v>
      </c>
      <c r="G41" s="19">
        <f>(B41-E41)*'PSA&amp;CPR（function) '!G42</f>
        <v>0</v>
      </c>
      <c r="H41" s="19">
        <f>Remaining_balance($B$1,$D$1,A41,$B$3)*'PSA&amp;CPR（function) '!O42</f>
        <v>0</v>
      </c>
    </row>
    <row r="42" spans="1:8">
      <c r="A42">
        <f>'PSA&amp;CPR'!A42</f>
        <v>40</v>
      </c>
      <c r="B42" s="19">
        <f t="shared" si="0"/>
        <v>0</v>
      </c>
      <c r="C42" s="19">
        <f t="shared" si="1"/>
        <v>0</v>
      </c>
      <c r="D42" s="19">
        <f>Monthly_payment($B$1,$D$1,$B$3)*'PSA&amp;CPR（function) '!O42</f>
        <v>0</v>
      </c>
      <c r="E42" s="19">
        <f>Principle_portion_of_payment($B$1,$D$1,A42,$B$3)*'PSA&amp;CPR（function) '!O42</f>
        <v>0</v>
      </c>
      <c r="F42" s="19">
        <f>Interest_portion_of_payment($B$1,$D$1,A42,$B$3)*'PSA&amp;CPR（function) '!O42</f>
        <v>0</v>
      </c>
      <c r="G42" s="19">
        <f>(B42-E42)*'PSA&amp;CPR（function) '!G43</f>
        <v>0</v>
      </c>
      <c r="H42" s="19">
        <f>Remaining_balance($B$1,$D$1,A42,$B$3)*'PSA&amp;CPR（function) '!O43</f>
        <v>0</v>
      </c>
    </row>
    <row r="43" spans="1:8">
      <c r="A43">
        <f>'PSA&amp;CPR'!A43</f>
        <v>41</v>
      </c>
      <c r="B43" s="19">
        <f t="shared" si="0"/>
        <v>0</v>
      </c>
      <c r="C43" s="19">
        <f t="shared" si="1"/>
        <v>0</v>
      </c>
      <c r="D43" s="19">
        <f>Monthly_payment($B$1,$D$1,$B$3)*'PSA&amp;CPR（function) '!O43</f>
        <v>0</v>
      </c>
      <c r="E43" s="19">
        <f>Principle_portion_of_payment($B$1,$D$1,A43,$B$3)*'PSA&amp;CPR（function) '!O43</f>
        <v>0</v>
      </c>
      <c r="F43" s="19">
        <f>Interest_portion_of_payment($B$1,$D$1,A43,$B$3)*'PSA&amp;CPR（function) '!O43</f>
        <v>0</v>
      </c>
      <c r="G43" s="19">
        <f>(B43-E43)*'PSA&amp;CPR（function) '!G44</f>
        <v>0</v>
      </c>
      <c r="H43" s="19">
        <f>Remaining_balance($B$1,$D$1,A43,$B$3)*'PSA&amp;CPR（function) '!O44</f>
        <v>0</v>
      </c>
    </row>
    <row r="44" spans="1:8">
      <c r="A44">
        <f>'PSA&amp;CPR'!A44</f>
        <v>42</v>
      </c>
      <c r="B44" s="19">
        <f t="shared" si="0"/>
        <v>0</v>
      </c>
      <c r="C44" s="19">
        <f t="shared" si="1"/>
        <v>0</v>
      </c>
      <c r="D44" s="19">
        <f>Monthly_payment($B$1,$D$1,$B$3)*'PSA&amp;CPR（function) '!O44</f>
        <v>0</v>
      </c>
      <c r="E44" s="19">
        <f>Principle_portion_of_payment($B$1,$D$1,A44,$B$3)*'PSA&amp;CPR（function) '!O44</f>
        <v>0</v>
      </c>
      <c r="F44" s="19">
        <f>Interest_portion_of_payment($B$1,$D$1,A44,$B$3)*'PSA&amp;CPR（function) '!O44</f>
        <v>0</v>
      </c>
      <c r="G44" s="19">
        <f>(B44-E44)*'PSA&amp;CPR（function) '!G45</f>
        <v>0</v>
      </c>
      <c r="H44" s="19">
        <f>Remaining_balance($B$1,$D$1,A44,$B$3)*'PSA&amp;CPR（function) '!O45</f>
        <v>0</v>
      </c>
    </row>
    <row r="45" spans="1:8">
      <c r="A45">
        <f>'PSA&amp;CPR'!A45</f>
        <v>43</v>
      </c>
      <c r="B45" s="19">
        <f t="shared" si="0"/>
        <v>0</v>
      </c>
      <c r="C45" s="19">
        <f t="shared" si="1"/>
        <v>0</v>
      </c>
      <c r="D45" s="19">
        <f>Monthly_payment($B$1,$D$1,$B$3)*'PSA&amp;CPR（function) '!O45</f>
        <v>0</v>
      </c>
      <c r="E45" s="19">
        <f>Principle_portion_of_payment($B$1,$D$1,A45,$B$3)*'PSA&amp;CPR（function) '!O45</f>
        <v>0</v>
      </c>
      <c r="F45" s="19">
        <f>Interest_portion_of_payment($B$1,$D$1,A45,$B$3)*'PSA&amp;CPR（function) '!O45</f>
        <v>0</v>
      </c>
      <c r="G45" s="19">
        <f>(B45-E45)*'PSA&amp;CPR（function) '!G46</f>
        <v>0</v>
      </c>
      <c r="H45" s="19">
        <f>Remaining_balance($B$1,$D$1,A45,$B$3)*'PSA&amp;CPR（function) '!O46</f>
        <v>0</v>
      </c>
    </row>
    <row r="46" spans="1:8">
      <c r="A46">
        <f>'PSA&amp;CPR'!A46</f>
        <v>44</v>
      </c>
      <c r="B46" s="19">
        <f t="shared" si="0"/>
        <v>0</v>
      </c>
      <c r="C46" s="19">
        <f t="shared" si="1"/>
        <v>0</v>
      </c>
      <c r="D46" s="19">
        <f>Monthly_payment($B$1,$D$1,$B$3)*'PSA&amp;CPR（function) '!O46</f>
        <v>0</v>
      </c>
      <c r="E46" s="19">
        <f>Principle_portion_of_payment($B$1,$D$1,A46,$B$3)*'PSA&amp;CPR（function) '!O46</f>
        <v>0</v>
      </c>
      <c r="F46" s="19">
        <f>Interest_portion_of_payment($B$1,$D$1,A46,$B$3)*'PSA&amp;CPR（function) '!O46</f>
        <v>0</v>
      </c>
      <c r="G46" s="19">
        <f>(B46-E46)*'PSA&amp;CPR（function) '!G47</f>
        <v>0</v>
      </c>
      <c r="H46" s="19">
        <f>Remaining_balance($B$1,$D$1,A46,$B$3)*'PSA&amp;CPR（function) '!O47</f>
        <v>0</v>
      </c>
    </row>
    <row r="47" spans="1:8">
      <c r="A47">
        <f>'PSA&amp;CPR'!A47</f>
        <v>45</v>
      </c>
      <c r="B47" s="19">
        <f t="shared" si="0"/>
        <v>0</v>
      </c>
      <c r="C47" s="19">
        <f t="shared" si="1"/>
        <v>0</v>
      </c>
      <c r="D47" s="19">
        <f>Monthly_payment($B$1,$D$1,$B$3)*'PSA&amp;CPR（function) '!O47</f>
        <v>0</v>
      </c>
      <c r="E47" s="19">
        <f>Principle_portion_of_payment($B$1,$D$1,A47,$B$3)*'PSA&amp;CPR（function) '!O47</f>
        <v>0</v>
      </c>
      <c r="F47" s="19">
        <f>Interest_portion_of_payment($B$1,$D$1,A47,$B$3)*'PSA&amp;CPR（function) '!O47</f>
        <v>0</v>
      </c>
      <c r="G47" s="19">
        <f>(B47-E47)*'PSA&amp;CPR（function) '!G48</f>
        <v>0</v>
      </c>
      <c r="H47" s="19">
        <f>Remaining_balance($B$1,$D$1,A47,$B$3)*'PSA&amp;CPR（function) '!O48</f>
        <v>0</v>
      </c>
    </row>
    <row r="48" spans="1:8">
      <c r="A48">
        <f>'PSA&amp;CPR'!A48</f>
        <v>46</v>
      </c>
      <c r="B48" s="19">
        <f t="shared" si="0"/>
        <v>0</v>
      </c>
      <c r="C48" s="19">
        <f t="shared" si="1"/>
        <v>0</v>
      </c>
      <c r="D48" s="19">
        <f>Monthly_payment($B$1,$D$1,$B$3)*'PSA&amp;CPR（function) '!O48</f>
        <v>0</v>
      </c>
      <c r="E48" s="19">
        <f>Principle_portion_of_payment($B$1,$D$1,A48,$B$3)*'PSA&amp;CPR（function) '!O48</f>
        <v>0</v>
      </c>
      <c r="F48" s="19">
        <f>Interest_portion_of_payment($B$1,$D$1,A48,$B$3)*'PSA&amp;CPR（function) '!O48</f>
        <v>0</v>
      </c>
      <c r="G48" s="19">
        <f>(B48-E48)*'PSA&amp;CPR（function) '!G49</f>
        <v>0</v>
      </c>
      <c r="H48" s="19">
        <f>Remaining_balance($B$1,$D$1,A48,$B$3)*'PSA&amp;CPR（function) '!O49</f>
        <v>0</v>
      </c>
    </row>
    <row r="49" spans="1:8">
      <c r="A49">
        <f>'PSA&amp;CPR'!A49</f>
        <v>47</v>
      </c>
      <c r="B49" s="19">
        <f t="shared" si="0"/>
        <v>0</v>
      </c>
      <c r="C49" s="19">
        <f t="shared" si="1"/>
        <v>0</v>
      </c>
      <c r="D49" s="19">
        <f>Monthly_payment($B$1,$D$1,$B$3)*'PSA&amp;CPR（function) '!O49</f>
        <v>0</v>
      </c>
      <c r="E49" s="19">
        <f>Principle_portion_of_payment($B$1,$D$1,A49,$B$3)*'PSA&amp;CPR（function) '!O49</f>
        <v>0</v>
      </c>
      <c r="F49" s="19">
        <f>Interest_portion_of_payment($B$1,$D$1,A49,$B$3)*'PSA&amp;CPR（function) '!O49</f>
        <v>0</v>
      </c>
      <c r="G49" s="19">
        <f>(B49-E49)*'PSA&amp;CPR（function) '!G50</f>
        <v>0</v>
      </c>
      <c r="H49" s="19">
        <f>Remaining_balance($B$1,$D$1,A49,$B$3)*'PSA&amp;CPR（function) '!O50</f>
        <v>0</v>
      </c>
    </row>
    <row r="50" spans="1:8">
      <c r="A50">
        <f>'PSA&amp;CPR'!A50</f>
        <v>48</v>
      </c>
      <c r="B50" s="19">
        <f t="shared" si="0"/>
        <v>0</v>
      </c>
      <c r="C50" s="19">
        <f t="shared" si="1"/>
        <v>0</v>
      </c>
      <c r="D50" s="19">
        <f>Monthly_payment($B$1,$D$1,$B$3)*'PSA&amp;CPR（function) '!O50</f>
        <v>0</v>
      </c>
      <c r="E50" s="19">
        <f>Principle_portion_of_payment($B$1,$D$1,A50,$B$3)*'PSA&amp;CPR（function) '!O50</f>
        <v>0</v>
      </c>
      <c r="F50" s="19">
        <f>Interest_portion_of_payment($B$1,$D$1,A50,$B$3)*'PSA&amp;CPR（function) '!O50</f>
        <v>0</v>
      </c>
      <c r="G50" s="19">
        <f>(B50-E50)*'PSA&amp;CPR（function) '!G51</f>
        <v>0</v>
      </c>
      <c r="H50" s="19">
        <f>Remaining_balance($B$1,$D$1,A50,$B$3)*'PSA&amp;CPR（function) '!O51</f>
        <v>0</v>
      </c>
    </row>
    <row r="51" spans="1:8">
      <c r="A51">
        <f>'PSA&amp;CPR'!A51</f>
        <v>49</v>
      </c>
      <c r="B51" s="19">
        <f t="shared" si="0"/>
        <v>0</v>
      </c>
      <c r="C51" s="19">
        <f t="shared" si="1"/>
        <v>0</v>
      </c>
      <c r="D51" s="19">
        <f>Monthly_payment($B$1,$D$1,$B$3)*'PSA&amp;CPR（function) '!O51</f>
        <v>0</v>
      </c>
      <c r="E51" s="19">
        <f>Principle_portion_of_payment($B$1,$D$1,A51,$B$3)*'PSA&amp;CPR（function) '!O51</f>
        <v>0</v>
      </c>
      <c r="F51" s="19">
        <f>Interest_portion_of_payment($B$1,$D$1,A51,$B$3)*'PSA&amp;CPR（function) '!O51</f>
        <v>0</v>
      </c>
      <c r="G51" s="19">
        <f>(B51-E51)*'PSA&amp;CPR（function) '!G52</f>
        <v>0</v>
      </c>
      <c r="H51" s="19">
        <f>Remaining_balance($B$1,$D$1,A51,$B$3)*'PSA&amp;CPR（function) '!O52</f>
        <v>0</v>
      </c>
    </row>
    <row r="52" spans="1:8">
      <c r="A52">
        <f>'PSA&amp;CPR'!A52</f>
        <v>50</v>
      </c>
      <c r="B52" s="19">
        <f t="shared" si="0"/>
        <v>0</v>
      </c>
      <c r="C52" s="19">
        <f t="shared" si="1"/>
        <v>0</v>
      </c>
      <c r="D52" s="19">
        <f>Monthly_payment($B$1,$D$1,$B$3)*'PSA&amp;CPR（function) '!O52</f>
        <v>0</v>
      </c>
      <c r="E52" s="19">
        <f>Principle_portion_of_payment($B$1,$D$1,A52,$B$3)*'PSA&amp;CPR（function) '!O52</f>
        <v>0</v>
      </c>
      <c r="F52" s="19">
        <f>Interest_portion_of_payment($B$1,$D$1,A52,$B$3)*'PSA&amp;CPR（function) '!O52</f>
        <v>0</v>
      </c>
      <c r="G52" s="19">
        <f>(B52-E52)*'PSA&amp;CPR（function) '!G53</f>
        <v>0</v>
      </c>
      <c r="H52" s="19">
        <f>Remaining_balance($B$1,$D$1,A52,$B$3)*'PSA&amp;CPR（function) '!O53</f>
        <v>0</v>
      </c>
    </row>
    <row r="53" spans="1:8">
      <c r="A53">
        <f>'PSA&amp;CPR'!A53</f>
        <v>51</v>
      </c>
      <c r="B53" s="19">
        <f t="shared" si="0"/>
        <v>0</v>
      </c>
      <c r="C53" s="19">
        <f t="shared" si="1"/>
        <v>0</v>
      </c>
      <c r="D53" s="19">
        <f>Monthly_payment($B$1,$D$1,$B$3)*'PSA&amp;CPR（function) '!O53</f>
        <v>0</v>
      </c>
      <c r="E53" s="19">
        <f>Principle_portion_of_payment($B$1,$D$1,A53,$B$3)*'PSA&amp;CPR（function) '!O53</f>
        <v>0</v>
      </c>
      <c r="F53" s="19">
        <f>Interest_portion_of_payment($B$1,$D$1,A53,$B$3)*'PSA&amp;CPR（function) '!O53</f>
        <v>0</v>
      </c>
      <c r="G53" s="19">
        <f>(B53-E53)*'PSA&amp;CPR（function) '!G54</f>
        <v>0</v>
      </c>
      <c r="H53" s="19">
        <f>Remaining_balance($B$1,$D$1,A53,$B$3)*'PSA&amp;CPR（function) '!O54</f>
        <v>0</v>
      </c>
    </row>
    <row r="54" spans="1:8">
      <c r="A54">
        <f>'PSA&amp;CPR'!A54</f>
        <v>52</v>
      </c>
      <c r="B54" s="19">
        <f t="shared" si="0"/>
        <v>0</v>
      </c>
      <c r="C54" s="19">
        <f t="shared" si="1"/>
        <v>0</v>
      </c>
      <c r="D54" s="19">
        <f>Monthly_payment($B$1,$D$1,$B$3)*'PSA&amp;CPR（function) '!O54</f>
        <v>0</v>
      </c>
      <c r="E54" s="19">
        <f>Principle_portion_of_payment($B$1,$D$1,A54,$B$3)*'PSA&amp;CPR（function) '!O54</f>
        <v>0</v>
      </c>
      <c r="F54" s="19">
        <f>Interest_portion_of_payment($B$1,$D$1,A54,$B$3)*'PSA&amp;CPR（function) '!O54</f>
        <v>0</v>
      </c>
      <c r="G54" s="19">
        <f>(B54-E54)*'PSA&amp;CPR（function) '!G55</f>
        <v>0</v>
      </c>
      <c r="H54" s="19">
        <f>Remaining_balance($B$1,$D$1,A54,$B$3)*'PSA&amp;CPR（function) '!O55</f>
        <v>0</v>
      </c>
    </row>
    <row r="55" spans="1:8">
      <c r="A55">
        <f>'PSA&amp;CPR'!A55</f>
        <v>53</v>
      </c>
      <c r="B55" s="19">
        <f t="shared" si="0"/>
        <v>0</v>
      </c>
      <c r="C55" s="19">
        <f t="shared" si="1"/>
        <v>0</v>
      </c>
      <c r="D55" s="19">
        <f>Monthly_payment($B$1,$D$1,$B$3)*'PSA&amp;CPR（function) '!O55</f>
        <v>0</v>
      </c>
      <c r="E55" s="19">
        <f>Principle_portion_of_payment($B$1,$D$1,A55,$B$3)*'PSA&amp;CPR（function) '!O55</f>
        <v>0</v>
      </c>
      <c r="F55" s="19">
        <f>Interest_portion_of_payment($B$1,$D$1,A55,$B$3)*'PSA&amp;CPR（function) '!O55</f>
        <v>0</v>
      </c>
      <c r="G55" s="19">
        <f>(B55-E55)*'PSA&amp;CPR（function) '!G56</f>
        <v>0</v>
      </c>
      <c r="H55" s="19">
        <f>Remaining_balance($B$1,$D$1,A55,$B$3)*'PSA&amp;CPR（function) '!O56</f>
        <v>0</v>
      </c>
    </row>
    <row r="56" spans="1:8">
      <c r="A56">
        <f>'PSA&amp;CPR'!A56</f>
        <v>54</v>
      </c>
      <c r="B56" s="19">
        <f t="shared" si="0"/>
        <v>0</v>
      </c>
      <c r="C56" s="19">
        <f t="shared" si="1"/>
        <v>0</v>
      </c>
      <c r="D56" s="19">
        <f>Monthly_payment($B$1,$D$1,$B$3)*'PSA&amp;CPR（function) '!O56</f>
        <v>0</v>
      </c>
      <c r="E56" s="19">
        <f>Principle_portion_of_payment($B$1,$D$1,A56,$B$3)*'PSA&amp;CPR（function) '!O56</f>
        <v>0</v>
      </c>
      <c r="F56" s="19">
        <f>Interest_portion_of_payment($B$1,$D$1,A56,$B$3)*'PSA&amp;CPR（function) '!O56</f>
        <v>0</v>
      </c>
      <c r="G56" s="19">
        <f>(B56-E56)*'PSA&amp;CPR（function) '!G57</f>
        <v>0</v>
      </c>
      <c r="H56" s="19">
        <f>Remaining_balance($B$1,$D$1,A56,$B$3)*'PSA&amp;CPR（function) '!O57</f>
        <v>0</v>
      </c>
    </row>
    <row r="57" spans="1:8">
      <c r="A57">
        <f>'PSA&amp;CPR'!A57</f>
        <v>55</v>
      </c>
      <c r="B57" s="19">
        <f t="shared" si="0"/>
        <v>0</v>
      </c>
      <c r="C57" s="19">
        <f t="shared" si="1"/>
        <v>0</v>
      </c>
      <c r="D57" s="19">
        <f>Monthly_payment($B$1,$D$1,$B$3)*'PSA&amp;CPR（function) '!O57</f>
        <v>0</v>
      </c>
      <c r="E57" s="19">
        <f>Principle_portion_of_payment($B$1,$D$1,A57,$B$3)*'PSA&amp;CPR（function) '!O57</f>
        <v>0</v>
      </c>
      <c r="F57" s="19">
        <f>Interest_portion_of_payment($B$1,$D$1,A57,$B$3)*'PSA&amp;CPR（function) '!O57</f>
        <v>0</v>
      </c>
      <c r="G57" s="19">
        <f>(B57-E57)*'PSA&amp;CPR（function) '!G58</f>
        <v>0</v>
      </c>
      <c r="H57" s="19">
        <f>Remaining_balance($B$1,$D$1,A57,$B$3)*'PSA&amp;CPR（function) '!O58</f>
        <v>0</v>
      </c>
    </row>
    <row r="58" spans="1:8">
      <c r="A58">
        <f>'PSA&amp;CPR'!A58</f>
        <v>56</v>
      </c>
      <c r="B58" s="19">
        <f t="shared" si="0"/>
        <v>0</v>
      </c>
      <c r="C58" s="19">
        <f t="shared" si="1"/>
        <v>0</v>
      </c>
      <c r="D58" s="19">
        <f>Monthly_payment($B$1,$D$1,$B$3)*'PSA&amp;CPR（function) '!O58</f>
        <v>0</v>
      </c>
      <c r="E58" s="19">
        <f>Principle_portion_of_payment($B$1,$D$1,A58,$B$3)*'PSA&amp;CPR（function) '!O58</f>
        <v>0</v>
      </c>
      <c r="F58" s="19">
        <f>Interest_portion_of_payment($B$1,$D$1,A58,$B$3)*'PSA&amp;CPR（function) '!O58</f>
        <v>0</v>
      </c>
      <c r="G58" s="19">
        <f>(B58-E58)*'PSA&amp;CPR（function) '!G59</f>
        <v>0</v>
      </c>
      <c r="H58" s="19">
        <f>Remaining_balance($B$1,$D$1,A58,$B$3)*'PSA&amp;CPR（function) '!O59</f>
        <v>0</v>
      </c>
    </row>
    <row r="59" spans="1:8">
      <c r="A59">
        <f>'PSA&amp;CPR'!A59</f>
        <v>57</v>
      </c>
      <c r="B59" s="19">
        <f t="shared" si="0"/>
        <v>0</v>
      </c>
      <c r="C59" s="19">
        <f t="shared" si="1"/>
        <v>0</v>
      </c>
      <c r="D59" s="19">
        <f>Monthly_payment($B$1,$D$1,$B$3)*'PSA&amp;CPR（function) '!O59</f>
        <v>0</v>
      </c>
      <c r="E59" s="19">
        <f>Principle_portion_of_payment($B$1,$D$1,A59,$B$3)*'PSA&amp;CPR（function) '!O59</f>
        <v>0</v>
      </c>
      <c r="F59" s="19">
        <f>Interest_portion_of_payment($B$1,$D$1,A59,$B$3)*'PSA&amp;CPR（function) '!O59</f>
        <v>0</v>
      </c>
      <c r="G59" s="19">
        <f>(B59-E59)*'PSA&amp;CPR（function) '!G60</f>
        <v>0</v>
      </c>
      <c r="H59" s="19">
        <f>Remaining_balance($B$1,$D$1,A59,$B$3)*'PSA&amp;CPR（function) '!O60</f>
        <v>0</v>
      </c>
    </row>
    <row r="60" spans="1:8">
      <c r="A60">
        <f>'PSA&amp;CPR'!A60</f>
        <v>58</v>
      </c>
      <c r="B60" s="19">
        <f t="shared" si="0"/>
        <v>0</v>
      </c>
      <c r="C60" s="19">
        <f t="shared" si="1"/>
        <v>0</v>
      </c>
      <c r="D60" s="19">
        <f>Monthly_payment($B$1,$D$1,$B$3)*'PSA&amp;CPR（function) '!O60</f>
        <v>0</v>
      </c>
      <c r="E60" s="19">
        <f>Principle_portion_of_payment($B$1,$D$1,A60,$B$3)*'PSA&amp;CPR（function) '!O60</f>
        <v>0</v>
      </c>
      <c r="F60" s="19">
        <f>Interest_portion_of_payment($B$1,$D$1,A60,$B$3)*'PSA&amp;CPR（function) '!O60</f>
        <v>0</v>
      </c>
      <c r="G60" s="19">
        <f>(B60-E60)*'PSA&amp;CPR（function) '!G61</f>
        <v>0</v>
      </c>
      <c r="H60" s="19">
        <f>Remaining_balance($B$1,$D$1,A60,$B$3)*'PSA&amp;CPR（function) '!O61</f>
        <v>0</v>
      </c>
    </row>
    <row r="61" spans="1:8">
      <c r="A61">
        <f>'PSA&amp;CPR'!A61</f>
        <v>59</v>
      </c>
      <c r="B61" s="19">
        <f t="shared" si="0"/>
        <v>0</v>
      </c>
      <c r="C61" s="19">
        <f t="shared" si="1"/>
        <v>0</v>
      </c>
      <c r="D61" s="19">
        <f>Monthly_payment($B$1,$D$1,$B$3)*'PSA&amp;CPR（function) '!O61</f>
        <v>0</v>
      </c>
      <c r="E61" s="19">
        <f>Principle_portion_of_payment($B$1,$D$1,A61,$B$3)*'PSA&amp;CPR（function) '!O61</f>
        <v>0</v>
      </c>
      <c r="F61" s="19">
        <f>Interest_portion_of_payment($B$1,$D$1,A61,$B$3)*'PSA&amp;CPR（function) '!O61</f>
        <v>0</v>
      </c>
      <c r="G61" s="19">
        <f>(B61-E61)*'PSA&amp;CPR（function) '!G62</f>
        <v>0</v>
      </c>
      <c r="H61" s="19">
        <f>Remaining_balance($B$1,$D$1,A61,$B$3)*'PSA&amp;CPR（function) '!O62</f>
        <v>0</v>
      </c>
    </row>
    <row r="62" spans="1:8">
      <c r="A62">
        <f>'PSA&amp;CPR'!A62</f>
        <v>60</v>
      </c>
      <c r="B62" s="19">
        <f t="shared" si="0"/>
        <v>0</v>
      </c>
      <c r="C62" s="19">
        <f t="shared" si="1"/>
        <v>0</v>
      </c>
      <c r="D62" s="19">
        <f>Monthly_payment($B$1,$D$1,$B$3)*'PSA&amp;CPR（function) '!O62</f>
        <v>0</v>
      </c>
      <c r="E62" s="19">
        <f>Principle_portion_of_payment($B$1,$D$1,A62,$B$3)*'PSA&amp;CPR（function) '!O62</f>
        <v>0</v>
      </c>
      <c r="F62" s="19">
        <f>Interest_portion_of_payment($B$1,$D$1,A62,$B$3)*'PSA&amp;CPR（function) '!O62</f>
        <v>0</v>
      </c>
      <c r="G62" s="19">
        <f>(B62-E62)*'PSA&amp;CPR（function) '!G63</f>
        <v>0</v>
      </c>
      <c r="H62" s="19">
        <f>Remaining_balance($B$1,$D$1,A62,$B$3)*'PSA&amp;CPR（function) '!O63</f>
        <v>0</v>
      </c>
    </row>
    <row r="63" spans="1:8">
      <c r="A63">
        <f>'PSA&amp;CPR'!A63</f>
        <v>61</v>
      </c>
      <c r="B63" s="19">
        <f t="shared" si="0"/>
        <v>0</v>
      </c>
      <c r="C63" s="19">
        <f t="shared" si="1"/>
        <v>0</v>
      </c>
      <c r="D63" s="19">
        <f>Monthly_payment($B$1,$D$1,$B$3)*'PSA&amp;CPR（function) '!O63</f>
        <v>0</v>
      </c>
      <c r="E63" s="19">
        <f>Principle_portion_of_payment($B$1,$D$1,A63,$B$3)*'PSA&amp;CPR（function) '!O63</f>
        <v>0</v>
      </c>
      <c r="F63" s="19">
        <f>Interest_portion_of_payment($B$1,$D$1,A63,$B$3)*'PSA&amp;CPR（function) '!O63</f>
        <v>0</v>
      </c>
      <c r="G63" s="19">
        <f>(B63-E63)*'PSA&amp;CPR（function) '!G64</f>
        <v>0</v>
      </c>
      <c r="H63" s="19">
        <f>Remaining_balance($B$1,$D$1,A63,$B$3)*'PSA&amp;CPR（function) '!O64</f>
        <v>0</v>
      </c>
    </row>
    <row r="64" spans="1:8">
      <c r="A64">
        <f>'PSA&amp;CPR'!A64</f>
        <v>62</v>
      </c>
      <c r="B64" s="19">
        <f t="shared" si="0"/>
        <v>0</v>
      </c>
      <c r="C64" s="19">
        <f t="shared" si="1"/>
        <v>0</v>
      </c>
      <c r="D64" s="19">
        <f>Monthly_payment($B$1,$D$1,$B$3)*'PSA&amp;CPR（function) '!O64</f>
        <v>0</v>
      </c>
      <c r="E64" s="19">
        <f>Principle_portion_of_payment($B$1,$D$1,A64,$B$3)*'PSA&amp;CPR（function) '!O64</f>
        <v>0</v>
      </c>
      <c r="F64" s="19">
        <f>Interest_portion_of_payment($B$1,$D$1,A64,$B$3)*'PSA&amp;CPR（function) '!O64</f>
        <v>0</v>
      </c>
      <c r="G64" s="19">
        <f>(B64-E64)*'PSA&amp;CPR（function) '!G65</f>
        <v>0</v>
      </c>
      <c r="H64" s="19">
        <f>Remaining_balance($B$1,$D$1,A64,$B$3)*'PSA&amp;CPR（function) '!O65</f>
        <v>0</v>
      </c>
    </row>
    <row r="65" spans="1:8">
      <c r="A65">
        <f>'PSA&amp;CPR'!A65</f>
        <v>63</v>
      </c>
      <c r="B65" s="19">
        <f t="shared" si="0"/>
        <v>0</v>
      </c>
      <c r="C65" s="19">
        <f t="shared" si="1"/>
        <v>0</v>
      </c>
      <c r="D65" s="19">
        <f>Monthly_payment($B$1,$D$1,$B$3)*'PSA&amp;CPR（function) '!O65</f>
        <v>0</v>
      </c>
      <c r="E65" s="19">
        <f>Principle_portion_of_payment($B$1,$D$1,A65,$B$3)*'PSA&amp;CPR（function) '!O65</f>
        <v>0</v>
      </c>
      <c r="F65" s="19">
        <f>Interest_portion_of_payment($B$1,$D$1,A65,$B$3)*'PSA&amp;CPR（function) '!O65</f>
        <v>0</v>
      </c>
      <c r="G65" s="19">
        <f>(B65-E65)*'PSA&amp;CPR（function) '!G66</f>
        <v>0</v>
      </c>
      <c r="H65" s="19">
        <f>Remaining_balance($B$1,$D$1,A65,$B$3)*'PSA&amp;CPR（function) '!O66</f>
        <v>0</v>
      </c>
    </row>
    <row r="66" spans="1:8">
      <c r="A66">
        <f>'PSA&amp;CPR'!A66</f>
        <v>64</v>
      </c>
      <c r="B66" s="19">
        <f t="shared" si="0"/>
        <v>0</v>
      </c>
      <c r="C66" s="19">
        <f t="shared" si="1"/>
        <v>0</v>
      </c>
      <c r="D66" s="19">
        <f>Monthly_payment($B$1,$D$1,$B$3)*'PSA&amp;CPR（function) '!O66</f>
        <v>0</v>
      </c>
      <c r="E66" s="19">
        <f>Principle_portion_of_payment($B$1,$D$1,A66,$B$3)*'PSA&amp;CPR（function) '!O66</f>
        <v>0</v>
      </c>
      <c r="F66" s="19">
        <f>Interest_portion_of_payment($B$1,$D$1,A66,$B$3)*'PSA&amp;CPR（function) '!O66</f>
        <v>0</v>
      </c>
      <c r="G66" s="19">
        <f>(B66-E66)*'PSA&amp;CPR（function) '!G67</f>
        <v>0</v>
      </c>
      <c r="H66" s="19">
        <f>Remaining_balance($B$1,$D$1,A66,$B$3)*'PSA&amp;CPR（function) '!O67</f>
        <v>0</v>
      </c>
    </row>
    <row r="67" spans="1:8">
      <c r="A67">
        <f>'PSA&amp;CPR'!A67</f>
        <v>65</v>
      </c>
      <c r="B67" s="19">
        <f t="shared" si="0"/>
        <v>0</v>
      </c>
      <c r="C67" s="19">
        <f t="shared" si="1"/>
        <v>0</v>
      </c>
      <c r="D67" s="19">
        <f>Monthly_payment($B$1,$D$1,$B$3)*'PSA&amp;CPR（function) '!O67</f>
        <v>0</v>
      </c>
      <c r="E67" s="19">
        <f>Principle_portion_of_payment($B$1,$D$1,A67,$B$3)*'PSA&amp;CPR（function) '!O67</f>
        <v>0</v>
      </c>
      <c r="F67" s="19">
        <f>Interest_portion_of_payment($B$1,$D$1,A67,$B$3)*'PSA&amp;CPR（function) '!O67</f>
        <v>0</v>
      </c>
      <c r="G67" s="19">
        <f>(B67-E67)*'PSA&amp;CPR（function) '!G68</f>
        <v>0</v>
      </c>
      <c r="H67" s="19">
        <f>Remaining_balance($B$1,$D$1,A67,$B$3)*'PSA&amp;CPR（function) '!O68</f>
        <v>0</v>
      </c>
    </row>
    <row r="68" spans="1:8">
      <c r="A68">
        <f>'PSA&amp;CPR'!A68</f>
        <v>66</v>
      </c>
      <c r="B68" s="19">
        <f t="shared" si="0"/>
        <v>0</v>
      </c>
      <c r="C68" s="19">
        <f t="shared" si="1"/>
        <v>0</v>
      </c>
      <c r="D68" s="19">
        <f>Monthly_payment($B$1,$D$1,$B$3)*'PSA&amp;CPR（function) '!O68</f>
        <v>0</v>
      </c>
      <c r="E68" s="19">
        <f>Principle_portion_of_payment($B$1,$D$1,A68,$B$3)*'PSA&amp;CPR（function) '!O68</f>
        <v>0</v>
      </c>
      <c r="F68" s="19">
        <f>Interest_portion_of_payment($B$1,$D$1,A68,$B$3)*'PSA&amp;CPR（function) '!O68</f>
        <v>0</v>
      </c>
      <c r="G68" s="19">
        <f>(B68-E68)*'PSA&amp;CPR（function) '!G69</f>
        <v>0</v>
      </c>
      <c r="H68" s="19">
        <f>Remaining_balance($B$1,$D$1,A68,$B$3)*'PSA&amp;CPR（function) '!O69</f>
        <v>0</v>
      </c>
    </row>
    <row r="69" spans="1:8">
      <c r="A69">
        <f>'PSA&amp;CPR'!A69</f>
        <v>67</v>
      </c>
      <c r="B69" s="19">
        <f t="shared" ref="B69:B132" si="2">H68</f>
        <v>0</v>
      </c>
      <c r="C69" s="19">
        <f t="shared" ref="C69:C132" si="3">B69*($B$1/1200)</f>
        <v>0</v>
      </c>
      <c r="D69" s="19">
        <f>Monthly_payment($B$1,$D$1,$B$3)*'PSA&amp;CPR（function) '!O69</f>
        <v>0</v>
      </c>
      <c r="E69" s="19">
        <f>Principle_portion_of_payment($B$1,$D$1,A69,$B$3)*'PSA&amp;CPR（function) '!O69</f>
        <v>0</v>
      </c>
      <c r="F69" s="19">
        <f>Interest_portion_of_payment($B$1,$D$1,A69,$B$3)*'PSA&amp;CPR（function) '!O69</f>
        <v>0</v>
      </c>
      <c r="G69" s="19">
        <f>(B69-E69)*'PSA&amp;CPR（function) '!G70</f>
        <v>0</v>
      </c>
      <c r="H69" s="19">
        <f>Remaining_balance($B$1,$D$1,A69,$B$3)*'PSA&amp;CPR（function) '!O70</f>
        <v>0</v>
      </c>
    </row>
    <row r="70" spans="1:8">
      <c r="A70">
        <f>'PSA&amp;CPR'!A70</f>
        <v>68</v>
      </c>
      <c r="B70" s="19">
        <f t="shared" si="2"/>
        <v>0</v>
      </c>
      <c r="C70" s="19">
        <f t="shared" si="3"/>
        <v>0</v>
      </c>
      <c r="D70" s="19">
        <f>Monthly_payment($B$1,$D$1,$B$3)*'PSA&amp;CPR（function) '!O70</f>
        <v>0</v>
      </c>
      <c r="E70" s="19">
        <f>Principle_portion_of_payment($B$1,$D$1,A70,$B$3)*'PSA&amp;CPR（function) '!O70</f>
        <v>0</v>
      </c>
      <c r="F70" s="19">
        <f>Interest_portion_of_payment($B$1,$D$1,A70,$B$3)*'PSA&amp;CPR（function) '!O70</f>
        <v>0</v>
      </c>
      <c r="G70" s="19">
        <f>(B70-E70)*'PSA&amp;CPR（function) '!G71</f>
        <v>0</v>
      </c>
      <c r="H70" s="19">
        <f>Remaining_balance($B$1,$D$1,A70,$B$3)*'PSA&amp;CPR（function) '!O71</f>
        <v>0</v>
      </c>
    </row>
    <row r="71" spans="1:8">
      <c r="A71">
        <f>'PSA&amp;CPR'!A71</f>
        <v>69</v>
      </c>
      <c r="B71" s="19">
        <f t="shared" si="2"/>
        <v>0</v>
      </c>
      <c r="C71" s="19">
        <f t="shared" si="3"/>
        <v>0</v>
      </c>
      <c r="D71" s="19">
        <f>Monthly_payment($B$1,$D$1,$B$3)*'PSA&amp;CPR（function) '!O71</f>
        <v>0</v>
      </c>
      <c r="E71" s="19">
        <f>Principle_portion_of_payment($B$1,$D$1,A71,$B$3)*'PSA&amp;CPR（function) '!O71</f>
        <v>0</v>
      </c>
      <c r="F71" s="19">
        <f>Interest_portion_of_payment($B$1,$D$1,A71,$B$3)*'PSA&amp;CPR（function) '!O71</f>
        <v>0</v>
      </c>
      <c r="G71" s="19">
        <f>(B71-E71)*'PSA&amp;CPR（function) '!G72</f>
        <v>0</v>
      </c>
      <c r="H71" s="19">
        <f>Remaining_balance($B$1,$D$1,A71,$B$3)*'PSA&amp;CPR（function) '!O72</f>
        <v>0</v>
      </c>
    </row>
    <row r="72" spans="1:8">
      <c r="A72">
        <f>'PSA&amp;CPR'!A72</f>
        <v>70</v>
      </c>
      <c r="B72" s="19">
        <f t="shared" si="2"/>
        <v>0</v>
      </c>
      <c r="C72" s="19">
        <f t="shared" si="3"/>
        <v>0</v>
      </c>
      <c r="D72" s="19">
        <f>Monthly_payment($B$1,$D$1,$B$3)*'PSA&amp;CPR（function) '!O72</f>
        <v>0</v>
      </c>
      <c r="E72" s="19">
        <f>Principle_portion_of_payment($B$1,$D$1,A72,$B$3)*'PSA&amp;CPR（function) '!O72</f>
        <v>0</v>
      </c>
      <c r="F72" s="19">
        <f>Interest_portion_of_payment($B$1,$D$1,A72,$B$3)*'PSA&amp;CPR（function) '!O72</f>
        <v>0</v>
      </c>
      <c r="G72" s="19">
        <f>(B72-E72)*'PSA&amp;CPR（function) '!G73</f>
        <v>0</v>
      </c>
      <c r="H72" s="19">
        <f>Remaining_balance($B$1,$D$1,A72,$B$3)*'PSA&amp;CPR（function) '!O73</f>
        <v>0</v>
      </c>
    </row>
    <row r="73" spans="1:8">
      <c r="A73">
        <f>'PSA&amp;CPR'!A73</f>
        <v>71</v>
      </c>
      <c r="B73" s="19">
        <f t="shared" si="2"/>
        <v>0</v>
      </c>
      <c r="C73" s="19">
        <f t="shared" si="3"/>
        <v>0</v>
      </c>
      <c r="D73" s="19">
        <f>Monthly_payment($B$1,$D$1,$B$3)*'PSA&amp;CPR（function) '!O73</f>
        <v>0</v>
      </c>
      <c r="E73" s="19">
        <f>Principle_portion_of_payment($B$1,$D$1,A73,$B$3)*'PSA&amp;CPR（function) '!O73</f>
        <v>0</v>
      </c>
      <c r="F73" s="19">
        <f>Interest_portion_of_payment($B$1,$D$1,A73,$B$3)*'PSA&amp;CPR（function) '!O73</f>
        <v>0</v>
      </c>
      <c r="G73" s="19">
        <f>(B73-E73)*'PSA&amp;CPR（function) '!G74</f>
        <v>0</v>
      </c>
      <c r="H73" s="19">
        <f>Remaining_balance($B$1,$D$1,A73,$B$3)*'PSA&amp;CPR（function) '!O74</f>
        <v>0</v>
      </c>
    </row>
    <row r="74" spans="1:8">
      <c r="A74">
        <f>'PSA&amp;CPR'!A74</f>
        <v>72</v>
      </c>
      <c r="B74" s="19">
        <f t="shared" si="2"/>
        <v>0</v>
      </c>
      <c r="C74" s="19">
        <f t="shared" si="3"/>
        <v>0</v>
      </c>
      <c r="D74" s="19">
        <f>Monthly_payment($B$1,$D$1,$B$3)*'PSA&amp;CPR（function) '!O74</f>
        <v>0</v>
      </c>
      <c r="E74" s="19">
        <f>Principle_portion_of_payment($B$1,$D$1,A74,$B$3)*'PSA&amp;CPR（function) '!O74</f>
        <v>0</v>
      </c>
      <c r="F74" s="19">
        <f>Interest_portion_of_payment($B$1,$D$1,A74,$B$3)*'PSA&amp;CPR（function) '!O74</f>
        <v>0</v>
      </c>
      <c r="G74" s="19">
        <f>(B74-E74)*'PSA&amp;CPR（function) '!G75</f>
        <v>0</v>
      </c>
      <c r="H74" s="19">
        <f>Remaining_balance($B$1,$D$1,A74,$B$3)*'PSA&amp;CPR（function) '!O75</f>
        <v>0</v>
      </c>
    </row>
    <row r="75" spans="1:8">
      <c r="A75">
        <f>'PSA&amp;CPR'!A75</f>
        <v>73</v>
      </c>
      <c r="B75" s="19">
        <f t="shared" si="2"/>
        <v>0</v>
      </c>
      <c r="C75" s="19">
        <f t="shared" si="3"/>
        <v>0</v>
      </c>
      <c r="D75" s="19">
        <f>Monthly_payment($B$1,$D$1,$B$3)*'PSA&amp;CPR（function) '!O75</f>
        <v>0</v>
      </c>
      <c r="E75" s="19">
        <f>Principle_portion_of_payment($B$1,$D$1,A75,$B$3)*'PSA&amp;CPR（function) '!O75</f>
        <v>0</v>
      </c>
      <c r="F75" s="19">
        <f>Interest_portion_of_payment($B$1,$D$1,A75,$B$3)*'PSA&amp;CPR（function) '!O75</f>
        <v>0</v>
      </c>
      <c r="G75" s="19">
        <f>(B75-E75)*'PSA&amp;CPR（function) '!G76</f>
        <v>0</v>
      </c>
      <c r="H75" s="19">
        <f>Remaining_balance($B$1,$D$1,A75,$B$3)*'PSA&amp;CPR（function) '!O76</f>
        <v>0</v>
      </c>
    </row>
    <row r="76" spans="1:8">
      <c r="A76">
        <f>'PSA&amp;CPR'!A76</f>
        <v>74</v>
      </c>
      <c r="B76" s="19">
        <f t="shared" si="2"/>
        <v>0</v>
      </c>
      <c r="C76" s="19">
        <f t="shared" si="3"/>
        <v>0</v>
      </c>
      <c r="D76" s="19">
        <f>Monthly_payment($B$1,$D$1,$B$3)*'PSA&amp;CPR（function) '!O76</f>
        <v>0</v>
      </c>
      <c r="E76" s="19">
        <f>Principle_portion_of_payment($B$1,$D$1,A76,$B$3)*'PSA&amp;CPR（function) '!O76</f>
        <v>0</v>
      </c>
      <c r="F76" s="19">
        <f>Interest_portion_of_payment($B$1,$D$1,A76,$B$3)*'PSA&amp;CPR（function) '!O76</f>
        <v>0</v>
      </c>
      <c r="G76" s="19">
        <f>(B76-E76)*'PSA&amp;CPR（function) '!G77</f>
        <v>0</v>
      </c>
      <c r="H76" s="19">
        <f>Remaining_balance($B$1,$D$1,A76,$B$3)*'PSA&amp;CPR（function) '!O77</f>
        <v>0</v>
      </c>
    </row>
    <row r="77" spans="1:8">
      <c r="A77">
        <f>'PSA&amp;CPR'!A77</f>
        <v>75</v>
      </c>
      <c r="B77" s="19">
        <f t="shared" si="2"/>
        <v>0</v>
      </c>
      <c r="C77" s="19">
        <f t="shared" si="3"/>
        <v>0</v>
      </c>
      <c r="D77" s="19">
        <f>Monthly_payment($B$1,$D$1,$B$3)*'PSA&amp;CPR（function) '!O77</f>
        <v>0</v>
      </c>
      <c r="E77" s="19">
        <f>Principle_portion_of_payment($B$1,$D$1,A77,$B$3)*'PSA&amp;CPR（function) '!O77</f>
        <v>0</v>
      </c>
      <c r="F77" s="19">
        <f>Interest_portion_of_payment($B$1,$D$1,A77,$B$3)*'PSA&amp;CPR（function) '!O77</f>
        <v>0</v>
      </c>
      <c r="G77" s="19">
        <f>(B77-E77)*'PSA&amp;CPR（function) '!G78</f>
        <v>0</v>
      </c>
      <c r="H77" s="19">
        <f>Remaining_balance($B$1,$D$1,A77,$B$3)*'PSA&amp;CPR（function) '!O78</f>
        <v>0</v>
      </c>
    </row>
    <row r="78" spans="1:8">
      <c r="A78">
        <f>'PSA&amp;CPR'!A78</f>
        <v>76</v>
      </c>
      <c r="B78" s="19">
        <f t="shared" si="2"/>
        <v>0</v>
      </c>
      <c r="C78" s="19">
        <f t="shared" si="3"/>
        <v>0</v>
      </c>
      <c r="D78" s="19">
        <f>Monthly_payment($B$1,$D$1,$B$3)*'PSA&amp;CPR（function) '!O78</f>
        <v>0</v>
      </c>
      <c r="E78" s="19">
        <f>Principle_portion_of_payment($B$1,$D$1,A78,$B$3)*'PSA&amp;CPR（function) '!O78</f>
        <v>0</v>
      </c>
      <c r="F78" s="19">
        <f>Interest_portion_of_payment($B$1,$D$1,A78,$B$3)*'PSA&amp;CPR（function) '!O78</f>
        <v>0</v>
      </c>
      <c r="G78" s="19">
        <f>(B78-E78)*'PSA&amp;CPR（function) '!G79</f>
        <v>0</v>
      </c>
      <c r="H78" s="19">
        <f>Remaining_balance($B$1,$D$1,A78,$B$3)*'PSA&amp;CPR（function) '!O79</f>
        <v>0</v>
      </c>
    </row>
    <row r="79" spans="1:8">
      <c r="A79">
        <f>'PSA&amp;CPR'!A79</f>
        <v>77</v>
      </c>
      <c r="B79" s="19">
        <f t="shared" si="2"/>
        <v>0</v>
      </c>
      <c r="C79" s="19">
        <f t="shared" si="3"/>
        <v>0</v>
      </c>
      <c r="D79" s="19">
        <f>Monthly_payment($B$1,$D$1,$B$3)*'PSA&amp;CPR（function) '!O79</f>
        <v>0</v>
      </c>
      <c r="E79" s="19">
        <f>Principle_portion_of_payment($B$1,$D$1,A79,$B$3)*'PSA&amp;CPR（function) '!O79</f>
        <v>0</v>
      </c>
      <c r="F79" s="19">
        <f>Interest_portion_of_payment($B$1,$D$1,A79,$B$3)*'PSA&amp;CPR（function) '!O79</f>
        <v>0</v>
      </c>
      <c r="G79" s="19">
        <f>(B79-E79)*'PSA&amp;CPR（function) '!G80</f>
        <v>0</v>
      </c>
      <c r="H79" s="19">
        <f>Remaining_balance($B$1,$D$1,A79,$B$3)*'PSA&amp;CPR（function) '!O80</f>
        <v>0</v>
      </c>
    </row>
    <row r="80" spans="1:8">
      <c r="A80">
        <f>'PSA&amp;CPR'!A80</f>
        <v>78</v>
      </c>
      <c r="B80" s="19">
        <f t="shared" si="2"/>
        <v>0</v>
      </c>
      <c r="C80" s="19">
        <f t="shared" si="3"/>
        <v>0</v>
      </c>
      <c r="D80" s="19">
        <f>Monthly_payment($B$1,$D$1,$B$3)*'PSA&amp;CPR（function) '!O80</f>
        <v>0</v>
      </c>
      <c r="E80" s="19">
        <f>Principle_portion_of_payment($B$1,$D$1,A80,$B$3)*'PSA&amp;CPR（function) '!O80</f>
        <v>0</v>
      </c>
      <c r="F80" s="19">
        <f>Interest_portion_of_payment($B$1,$D$1,A80,$B$3)*'PSA&amp;CPR（function) '!O80</f>
        <v>0</v>
      </c>
      <c r="G80" s="19">
        <f>(B80-E80)*'PSA&amp;CPR（function) '!G81</f>
        <v>0</v>
      </c>
      <c r="H80" s="19">
        <f>Remaining_balance($B$1,$D$1,A80,$B$3)*'PSA&amp;CPR（function) '!O81</f>
        <v>0</v>
      </c>
    </row>
    <row r="81" spans="1:8">
      <c r="A81">
        <f>'PSA&amp;CPR'!A81</f>
        <v>79</v>
      </c>
      <c r="B81" s="19">
        <f t="shared" si="2"/>
        <v>0</v>
      </c>
      <c r="C81" s="19">
        <f t="shared" si="3"/>
        <v>0</v>
      </c>
      <c r="D81" s="19">
        <f>Monthly_payment($B$1,$D$1,$B$3)*'PSA&amp;CPR（function) '!O81</f>
        <v>0</v>
      </c>
      <c r="E81" s="19">
        <f>Principle_portion_of_payment($B$1,$D$1,A81,$B$3)*'PSA&amp;CPR（function) '!O81</f>
        <v>0</v>
      </c>
      <c r="F81" s="19">
        <f>Interest_portion_of_payment($B$1,$D$1,A81,$B$3)*'PSA&amp;CPR（function) '!O81</f>
        <v>0</v>
      </c>
      <c r="G81" s="19">
        <f>(B81-E81)*'PSA&amp;CPR（function) '!G82</f>
        <v>0</v>
      </c>
      <c r="H81" s="19">
        <f>Remaining_balance($B$1,$D$1,A81,$B$3)*'PSA&amp;CPR（function) '!O82</f>
        <v>0</v>
      </c>
    </row>
    <row r="82" spans="1:8">
      <c r="A82">
        <f>'PSA&amp;CPR'!A82</f>
        <v>80</v>
      </c>
      <c r="B82" s="19">
        <f t="shared" si="2"/>
        <v>0</v>
      </c>
      <c r="C82" s="19">
        <f t="shared" si="3"/>
        <v>0</v>
      </c>
      <c r="D82" s="19">
        <f>Monthly_payment($B$1,$D$1,$B$3)*'PSA&amp;CPR（function) '!O82</f>
        <v>0</v>
      </c>
      <c r="E82" s="19">
        <f>Principle_portion_of_payment($B$1,$D$1,A82,$B$3)*'PSA&amp;CPR（function) '!O82</f>
        <v>0</v>
      </c>
      <c r="F82" s="19">
        <f>Interest_portion_of_payment($B$1,$D$1,A82,$B$3)*'PSA&amp;CPR（function) '!O82</f>
        <v>0</v>
      </c>
      <c r="G82" s="19">
        <f>(B82-E82)*'PSA&amp;CPR（function) '!G83</f>
        <v>0</v>
      </c>
      <c r="H82" s="19">
        <f>Remaining_balance($B$1,$D$1,A82,$B$3)*'PSA&amp;CPR（function) '!O83</f>
        <v>0</v>
      </c>
    </row>
    <row r="83" spans="1:8">
      <c r="A83">
        <f>'PSA&amp;CPR'!A83</f>
        <v>81</v>
      </c>
      <c r="B83" s="19">
        <f t="shared" si="2"/>
        <v>0</v>
      </c>
      <c r="C83" s="19">
        <f t="shared" si="3"/>
        <v>0</v>
      </c>
      <c r="D83" s="19">
        <f>Monthly_payment($B$1,$D$1,$B$3)*'PSA&amp;CPR（function) '!O83</f>
        <v>0</v>
      </c>
      <c r="E83" s="19">
        <f>Principle_portion_of_payment($B$1,$D$1,A83,$B$3)*'PSA&amp;CPR（function) '!O83</f>
        <v>0</v>
      </c>
      <c r="F83" s="19">
        <f>Interest_portion_of_payment($B$1,$D$1,A83,$B$3)*'PSA&amp;CPR（function) '!O83</f>
        <v>0</v>
      </c>
      <c r="G83" s="19">
        <f>(B83-E83)*'PSA&amp;CPR（function) '!G84</f>
        <v>0</v>
      </c>
      <c r="H83" s="19">
        <f>Remaining_balance($B$1,$D$1,A83,$B$3)*'PSA&amp;CPR（function) '!O84</f>
        <v>0</v>
      </c>
    </row>
    <row r="84" spans="1:8">
      <c r="A84">
        <f>'PSA&amp;CPR'!A84</f>
        <v>82</v>
      </c>
      <c r="B84" s="19">
        <f t="shared" si="2"/>
        <v>0</v>
      </c>
      <c r="C84" s="19">
        <f t="shared" si="3"/>
        <v>0</v>
      </c>
      <c r="D84" s="19">
        <f>Monthly_payment($B$1,$D$1,$B$3)*'PSA&amp;CPR（function) '!O84</f>
        <v>0</v>
      </c>
      <c r="E84" s="19">
        <f>Principle_portion_of_payment($B$1,$D$1,A84,$B$3)*'PSA&amp;CPR（function) '!O84</f>
        <v>0</v>
      </c>
      <c r="F84" s="19">
        <f>Interest_portion_of_payment($B$1,$D$1,A84,$B$3)*'PSA&amp;CPR（function) '!O84</f>
        <v>0</v>
      </c>
      <c r="G84" s="19">
        <f>(B84-E84)*'PSA&amp;CPR（function) '!G85</f>
        <v>0</v>
      </c>
      <c r="H84" s="19">
        <f>Remaining_balance($B$1,$D$1,A84,$B$3)*'PSA&amp;CPR（function) '!O85</f>
        <v>0</v>
      </c>
    </row>
    <row r="85" spans="1:8">
      <c r="A85">
        <f>'PSA&amp;CPR'!A85</f>
        <v>83</v>
      </c>
      <c r="B85" s="19">
        <f t="shared" si="2"/>
        <v>0</v>
      </c>
      <c r="C85" s="19">
        <f t="shared" si="3"/>
        <v>0</v>
      </c>
      <c r="D85" s="19">
        <f>Monthly_payment($B$1,$D$1,$B$3)*'PSA&amp;CPR（function) '!O85</f>
        <v>0</v>
      </c>
      <c r="E85" s="19">
        <f>Principle_portion_of_payment($B$1,$D$1,A85,$B$3)*'PSA&amp;CPR（function) '!O85</f>
        <v>0</v>
      </c>
      <c r="F85" s="19">
        <f>Interest_portion_of_payment($B$1,$D$1,A85,$B$3)*'PSA&amp;CPR（function) '!O85</f>
        <v>0</v>
      </c>
      <c r="G85" s="19">
        <f>(B85-E85)*'PSA&amp;CPR（function) '!G86</f>
        <v>0</v>
      </c>
      <c r="H85" s="19">
        <f>Remaining_balance($B$1,$D$1,A85,$B$3)*'PSA&amp;CPR（function) '!O86</f>
        <v>0</v>
      </c>
    </row>
    <row r="86" spans="1:8">
      <c r="A86">
        <f>'PSA&amp;CPR'!A86</f>
        <v>84</v>
      </c>
      <c r="B86" s="19">
        <f t="shared" si="2"/>
        <v>0</v>
      </c>
      <c r="C86" s="19">
        <f t="shared" si="3"/>
        <v>0</v>
      </c>
      <c r="D86" s="19">
        <f>Monthly_payment($B$1,$D$1,$B$3)*'PSA&amp;CPR（function) '!O86</f>
        <v>0</v>
      </c>
      <c r="E86" s="19">
        <f>Principle_portion_of_payment($B$1,$D$1,A86,$B$3)*'PSA&amp;CPR（function) '!O86</f>
        <v>0</v>
      </c>
      <c r="F86" s="19">
        <f>Interest_portion_of_payment($B$1,$D$1,A86,$B$3)*'PSA&amp;CPR（function) '!O86</f>
        <v>0</v>
      </c>
      <c r="G86" s="19">
        <f>(B86-E86)*'PSA&amp;CPR（function) '!G87</f>
        <v>0</v>
      </c>
      <c r="H86" s="19">
        <f>Remaining_balance($B$1,$D$1,A86,$B$3)*'PSA&amp;CPR（function) '!O87</f>
        <v>0</v>
      </c>
    </row>
    <row r="87" spans="1:8">
      <c r="A87">
        <f>'PSA&amp;CPR'!A87</f>
        <v>85</v>
      </c>
      <c r="B87" s="19">
        <f t="shared" si="2"/>
        <v>0</v>
      </c>
      <c r="C87" s="19">
        <f t="shared" si="3"/>
        <v>0</v>
      </c>
      <c r="D87" s="19">
        <f>Monthly_payment($B$1,$D$1,$B$3)*'PSA&amp;CPR（function) '!O87</f>
        <v>0</v>
      </c>
      <c r="E87" s="19">
        <f>Principle_portion_of_payment($B$1,$D$1,A87,$B$3)*'PSA&amp;CPR（function) '!O87</f>
        <v>0</v>
      </c>
      <c r="F87" s="19">
        <f>Interest_portion_of_payment($B$1,$D$1,A87,$B$3)*'PSA&amp;CPR（function) '!O87</f>
        <v>0</v>
      </c>
      <c r="G87" s="19">
        <f>(B87-E87)*'PSA&amp;CPR（function) '!G88</f>
        <v>0</v>
      </c>
      <c r="H87" s="19">
        <f>Remaining_balance($B$1,$D$1,A87,$B$3)*'PSA&amp;CPR（function) '!O88</f>
        <v>0</v>
      </c>
    </row>
    <row r="88" spans="1:8">
      <c r="A88">
        <f>'PSA&amp;CPR'!A88</f>
        <v>86</v>
      </c>
      <c r="B88" s="19">
        <f t="shared" si="2"/>
        <v>0</v>
      </c>
      <c r="C88" s="19">
        <f t="shared" si="3"/>
        <v>0</v>
      </c>
      <c r="D88" s="19">
        <f>Monthly_payment($B$1,$D$1,$B$3)*'PSA&amp;CPR（function) '!O88</f>
        <v>0</v>
      </c>
      <c r="E88" s="19">
        <f>Principle_portion_of_payment($B$1,$D$1,A88,$B$3)*'PSA&amp;CPR（function) '!O88</f>
        <v>0</v>
      </c>
      <c r="F88" s="19">
        <f>Interest_portion_of_payment($B$1,$D$1,A88,$B$3)*'PSA&amp;CPR（function) '!O88</f>
        <v>0</v>
      </c>
      <c r="G88" s="19">
        <f>(B88-E88)*'PSA&amp;CPR（function) '!G89</f>
        <v>0</v>
      </c>
      <c r="H88" s="19">
        <f>Remaining_balance($B$1,$D$1,A88,$B$3)*'PSA&amp;CPR（function) '!O89</f>
        <v>0</v>
      </c>
    </row>
    <row r="89" spans="1:8">
      <c r="A89">
        <f>'PSA&amp;CPR'!A89</f>
        <v>87</v>
      </c>
      <c r="B89" s="19">
        <f t="shared" si="2"/>
        <v>0</v>
      </c>
      <c r="C89" s="19">
        <f t="shared" si="3"/>
        <v>0</v>
      </c>
      <c r="D89" s="19">
        <f>Monthly_payment($B$1,$D$1,$B$3)*'PSA&amp;CPR（function) '!O89</f>
        <v>0</v>
      </c>
      <c r="E89" s="19">
        <f>Principle_portion_of_payment($B$1,$D$1,A89,$B$3)*'PSA&amp;CPR（function) '!O89</f>
        <v>0</v>
      </c>
      <c r="F89" s="19">
        <f>Interest_portion_of_payment($B$1,$D$1,A89,$B$3)*'PSA&amp;CPR（function) '!O89</f>
        <v>0</v>
      </c>
      <c r="G89" s="19">
        <f>(B89-E89)*'PSA&amp;CPR（function) '!G90</f>
        <v>0</v>
      </c>
      <c r="H89" s="19">
        <f>Remaining_balance($B$1,$D$1,A89,$B$3)*'PSA&amp;CPR（function) '!O90</f>
        <v>0</v>
      </c>
    </row>
    <row r="90" spans="1:8">
      <c r="A90">
        <f>'PSA&amp;CPR'!A90</f>
        <v>88</v>
      </c>
      <c r="B90" s="19">
        <f t="shared" si="2"/>
        <v>0</v>
      </c>
      <c r="C90" s="19">
        <f t="shared" si="3"/>
        <v>0</v>
      </c>
      <c r="D90" s="19">
        <f>Monthly_payment($B$1,$D$1,$B$3)*'PSA&amp;CPR（function) '!O90</f>
        <v>0</v>
      </c>
      <c r="E90" s="19">
        <f>Principle_portion_of_payment($B$1,$D$1,A90,$B$3)*'PSA&amp;CPR（function) '!O90</f>
        <v>0</v>
      </c>
      <c r="F90" s="19">
        <f>Interest_portion_of_payment($B$1,$D$1,A90,$B$3)*'PSA&amp;CPR（function) '!O90</f>
        <v>0</v>
      </c>
      <c r="G90" s="19">
        <f>(B90-E90)*'PSA&amp;CPR（function) '!G91</f>
        <v>0</v>
      </c>
      <c r="H90" s="19">
        <f>Remaining_balance($B$1,$D$1,A90,$B$3)*'PSA&amp;CPR（function) '!O91</f>
        <v>0</v>
      </c>
    </row>
    <row r="91" spans="1:8">
      <c r="A91">
        <f>'PSA&amp;CPR'!A91</f>
        <v>89</v>
      </c>
      <c r="B91" s="19">
        <f t="shared" si="2"/>
        <v>0</v>
      </c>
      <c r="C91" s="19">
        <f t="shared" si="3"/>
        <v>0</v>
      </c>
      <c r="D91" s="19">
        <f>Monthly_payment($B$1,$D$1,$B$3)*'PSA&amp;CPR（function) '!O91</f>
        <v>0</v>
      </c>
      <c r="E91" s="19">
        <f>Principle_portion_of_payment($B$1,$D$1,A91,$B$3)*'PSA&amp;CPR（function) '!O91</f>
        <v>0</v>
      </c>
      <c r="F91" s="19">
        <f>Interest_portion_of_payment($B$1,$D$1,A91,$B$3)*'PSA&amp;CPR（function) '!O91</f>
        <v>0</v>
      </c>
      <c r="G91" s="19">
        <f>(B91-E91)*'PSA&amp;CPR（function) '!G92</f>
        <v>0</v>
      </c>
      <c r="H91" s="19">
        <f>Remaining_balance($B$1,$D$1,A91,$B$3)*'PSA&amp;CPR（function) '!O92</f>
        <v>0</v>
      </c>
    </row>
    <row r="92" spans="1:8">
      <c r="A92">
        <f>'PSA&amp;CPR'!A92</f>
        <v>90</v>
      </c>
      <c r="B92" s="19">
        <f t="shared" si="2"/>
        <v>0</v>
      </c>
      <c r="C92" s="19">
        <f t="shared" si="3"/>
        <v>0</v>
      </c>
      <c r="D92" s="19">
        <f>Monthly_payment($B$1,$D$1,$B$3)*'PSA&amp;CPR（function) '!O92</f>
        <v>0</v>
      </c>
      <c r="E92" s="19">
        <f>Principle_portion_of_payment($B$1,$D$1,A92,$B$3)*'PSA&amp;CPR（function) '!O92</f>
        <v>0</v>
      </c>
      <c r="F92" s="19">
        <f>Interest_portion_of_payment($B$1,$D$1,A92,$B$3)*'PSA&amp;CPR（function) '!O92</f>
        <v>0</v>
      </c>
      <c r="G92" s="19">
        <f>(B92-E92)*'PSA&amp;CPR（function) '!G93</f>
        <v>0</v>
      </c>
      <c r="H92" s="19">
        <f>Remaining_balance($B$1,$D$1,A92,$B$3)*'PSA&amp;CPR（function) '!O93</f>
        <v>0</v>
      </c>
    </row>
    <row r="93" spans="1:8">
      <c r="A93">
        <f>'PSA&amp;CPR'!A93</f>
        <v>91</v>
      </c>
      <c r="B93" s="19">
        <f t="shared" si="2"/>
        <v>0</v>
      </c>
      <c r="C93" s="19">
        <f t="shared" si="3"/>
        <v>0</v>
      </c>
      <c r="D93" s="19">
        <f>Monthly_payment($B$1,$D$1,$B$3)*'PSA&amp;CPR（function) '!O93</f>
        <v>0</v>
      </c>
      <c r="E93" s="19">
        <f>Principle_portion_of_payment($B$1,$D$1,A93,$B$3)*'PSA&amp;CPR（function) '!O93</f>
        <v>0</v>
      </c>
      <c r="F93" s="19">
        <f>Interest_portion_of_payment($B$1,$D$1,A93,$B$3)*'PSA&amp;CPR（function) '!O93</f>
        <v>0</v>
      </c>
      <c r="G93" s="19">
        <f>(B93-E93)*'PSA&amp;CPR（function) '!G94</f>
        <v>0</v>
      </c>
      <c r="H93" s="19">
        <f>Remaining_balance($B$1,$D$1,A93,$B$3)*'PSA&amp;CPR（function) '!O94</f>
        <v>0</v>
      </c>
    </row>
    <row r="94" spans="1:8">
      <c r="A94">
        <f>'PSA&amp;CPR'!A94</f>
        <v>92</v>
      </c>
      <c r="B94" s="19">
        <f t="shared" si="2"/>
        <v>0</v>
      </c>
      <c r="C94" s="19">
        <f t="shared" si="3"/>
        <v>0</v>
      </c>
      <c r="D94" s="19">
        <f>Monthly_payment($B$1,$D$1,$B$3)*'PSA&amp;CPR（function) '!O94</f>
        <v>0</v>
      </c>
      <c r="E94" s="19">
        <f>Principle_portion_of_payment($B$1,$D$1,A94,$B$3)*'PSA&amp;CPR（function) '!O94</f>
        <v>0</v>
      </c>
      <c r="F94" s="19">
        <f>Interest_portion_of_payment($B$1,$D$1,A94,$B$3)*'PSA&amp;CPR（function) '!O94</f>
        <v>0</v>
      </c>
      <c r="G94" s="19">
        <f>(B94-E94)*'PSA&amp;CPR（function) '!G95</f>
        <v>0</v>
      </c>
      <c r="H94" s="19">
        <f>Remaining_balance($B$1,$D$1,A94,$B$3)*'PSA&amp;CPR（function) '!O95</f>
        <v>0</v>
      </c>
    </row>
    <row r="95" spans="1:8">
      <c r="A95">
        <f>'PSA&amp;CPR'!A95</f>
        <v>93</v>
      </c>
      <c r="B95" s="19">
        <f t="shared" si="2"/>
        <v>0</v>
      </c>
      <c r="C95" s="19">
        <f t="shared" si="3"/>
        <v>0</v>
      </c>
      <c r="D95" s="19">
        <f>Monthly_payment($B$1,$D$1,$B$3)*'PSA&amp;CPR（function) '!O95</f>
        <v>0</v>
      </c>
      <c r="E95" s="19">
        <f>Principle_portion_of_payment($B$1,$D$1,A95,$B$3)*'PSA&amp;CPR（function) '!O95</f>
        <v>0</v>
      </c>
      <c r="F95" s="19">
        <f>Interest_portion_of_payment($B$1,$D$1,A95,$B$3)*'PSA&amp;CPR（function) '!O95</f>
        <v>0</v>
      </c>
      <c r="G95" s="19">
        <f>(B95-E95)*'PSA&amp;CPR（function) '!G96</f>
        <v>0</v>
      </c>
      <c r="H95" s="19">
        <f>Remaining_balance($B$1,$D$1,A95,$B$3)*'PSA&amp;CPR（function) '!O96</f>
        <v>0</v>
      </c>
    </row>
    <row r="96" spans="1:8">
      <c r="A96">
        <f>'PSA&amp;CPR'!A96</f>
        <v>94</v>
      </c>
      <c r="B96" s="19">
        <f t="shared" si="2"/>
        <v>0</v>
      </c>
      <c r="C96" s="19">
        <f t="shared" si="3"/>
        <v>0</v>
      </c>
      <c r="D96" s="19">
        <f>Monthly_payment($B$1,$D$1,$B$3)*'PSA&amp;CPR（function) '!O96</f>
        <v>0</v>
      </c>
      <c r="E96" s="19">
        <f>Principle_portion_of_payment($B$1,$D$1,A96,$B$3)*'PSA&amp;CPR（function) '!O96</f>
        <v>0</v>
      </c>
      <c r="F96" s="19">
        <f>Interest_portion_of_payment($B$1,$D$1,A96,$B$3)*'PSA&amp;CPR（function) '!O96</f>
        <v>0</v>
      </c>
      <c r="G96" s="19">
        <f>(B96-E96)*'PSA&amp;CPR（function) '!G97</f>
        <v>0</v>
      </c>
      <c r="H96" s="19">
        <f>Remaining_balance($B$1,$D$1,A96,$B$3)*'PSA&amp;CPR（function) '!O97</f>
        <v>0</v>
      </c>
    </row>
    <row r="97" spans="1:8">
      <c r="A97">
        <f>'PSA&amp;CPR'!A97</f>
        <v>95</v>
      </c>
      <c r="B97" s="19">
        <f t="shared" si="2"/>
        <v>0</v>
      </c>
      <c r="C97" s="19">
        <f t="shared" si="3"/>
        <v>0</v>
      </c>
      <c r="D97" s="19">
        <f>Monthly_payment($B$1,$D$1,$B$3)*'PSA&amp;CPR（function) '!O97</f>
        <v>0</v>
      </c>
      <c r="E97" s="19">
        <f>Principle_portion_of_payment($B$1,$D$1,A97,$B$3)*'PSA&amp;CPR（function) '!O97</f>
        <v>0</v>
      </c>
      <c r="F97" s="19">
        <f>Interest_portion_of_payment($B$1,$D$1,A97,$B$3)*'PSA&amp;CPR（function) '!O97</f>
        <v>0</v>
      </c>
      <c r="G97" s="19">
        <f>(B97-E97)*'PSA&amp;CPR（function) '!G98</f>
        <v>0</v>
      </c>
      <c r="H97" s="19">
        <f>Remaining_balance($B$1,$D$1,A97,$B$3)*'PSA&amp;CPR（function) '!O98</f>
        <v>0</v>
      </c>
    </row>
    <row r="98" spans="1:8">
      <c r="A98">
        <f>'PSA&amp;CPR'!A98</f>
        <v>96</v>
      </c>
      <c r="B98" s="19">
        <f t="shared" si="2"/>
        <v>0</v>
      </c>
      <c r="C98" s="19">
        <f t="shared" si="3"/>
        <v>0</v>
      </c>
      <c r="D98" s="19">
        <f>Monthly_payment($B$1,$D$1,$B$3)*'PSA&amp;CPR（function) '!O98</f>
        <v>0</v>
      </c>
      <c r="E98" s="19">
        <f>Principle_portion_of_payment($B$1,$D$1,A98,$B$3)*'PSA&amp;CPR（function) '!O98</f>
        <v>0</v>
      </c>
      <c r="F98" s="19">
        <f>Interest_portion_of_payment($B$1,$D$1,A98,$B$3)*'PSA&amp;CPR（function) '!O98</f>
        <v>0</v>
      </c>
      <c r="G98" s="19">
        <f>(B98-E98)*'PSA&amp;CPR（function) '!G99</f>
        <v>0</v>
      </c>
      <c r="H98" s="19">
        <f>Remaining_balance($B$1,$D$1,A98,$B$3)*'PSA&amp;CPR（function) '!O99</f>
        <v>0</v>
      </c>
    </row>
    <row r="99" spans="1:8">
      <c r="A99">
        <f>'PSA&amp;CPR'!A99</f>
        <v>97</v>
      </c>
      <c r="B99" s="19">
        <f t="shared" si="2"/>
        <v>0</v>
      </c>
      <c r="C99" s="19">
        <f t="shared" si="3"/>
        <v>0</v>
      </c>
      <c r="D99" s="19">
        <f>Monthly_payment($B$1,$D$1,$B$3)*'PSA&amp;CPR（function) '!O99</f>
        <v>0</v>
      </c>
      <c r="E99" s="19">
        <f>Principle_portion_of_payment($B$1,$D$1,A99,$B$3)*'PSA&amp;CPR（function) '!O99</f>
        <v>0</v>
      </c>
      <c r="F99" s="19">
        <f>Interest_portion_of_payment($B$1,$D$1,A99,$B$3)*'PSA&amp;CPR（function) '!O99</f>
        <v>0</v>
      </c>
      <c r="G99" s="19">
        <f>(B99-E99)*'PSA&amp;CPR（function) '!G100</f>
        <v>0</v>
      </c>
      <c r="H99" s="19">
        <f>Remaining_balance($B$1,$D$1,A99,$B$3)*'PSA&amp;CPR（function) '!O100</f>
        <v>0</v>
      </c>
    </row>
    <row r="100" spans="1:8">
      <c r="A100">
        <f>'PSA&amp;CPR'!A100</f>
        <v>98</v>
      </c>
      <c r="B100" s="19">
        <f t="shared" si="2"/>
        <v>0</v>
      </c>
      <c r="C100" s="19">
        <f t="shared" si="3"/>
        <v>0</v>
      </c>
      <c r="D100" s="19">
        <f>Monthly_payment($B$1,$D$1,$B$3)*'PSA&amp;CPR（function) '!O100</f>
        <v>0</v>
      </c>
      <c r="E100" s="19">
        <f>Principle_portion_of_payment($B$1,$D$1,A100,$B$3)*'PSA&amp;CPR（function) '!O100</f>
        <v>0</v>
      </c>
      <c r="F100" s="19">
        <f>Interest_portion_of_payment($B$1,$D$1,A100,$B$3)*'PSA&amp;CPR（function) '!O100</f>
        <v>0</v>
      </c>
      <c r="G100" s="19">
        <f>(B100-E100)*'PSA&amp;CPR（function) '!G101</f>
        <v>0</v>
      </c>
      <c r="H100" s="19">
        <f>Remaining_balance($B$1,$D$1,A100,$B$3)*'PSA&amp;CPR（function) '!O101</f>
        <v>0</v>
      </c>
    </row>
    <row r="101" spans="1:8">
      <c r="A101">
        <f>'PSA&amp;CPR'!A101</f>
        <v>99</v>
      </c>
      <c r="B101" s="19">
        <f t="shared" si="2"/>
        <v>0</v>
      </c>
      <c r="C101" s="19">
        <f t="shared" si="3"/>
        <v>0</v>
      </c>
      <c r="D101" s="19">
        <f>Monthly_payment($B$1,$D$1,$B$3)*'PSA&amp;CPR（function) '!O101</f>
        <v>0</v>
      </c>
      <c r="E101" s="19">
        <f>Principle_portion_of_payment($B$1,$D$1,A101,$B$3)*'PSA&amp;CPR（function) '!O101</f>
        <v>0</v>
      </c>
      <c r="F101" s="19">
        <f>Interest_portion_of_payment($B$1,$D$1,A101,$B$3)*'PSA&amp;CPR（function) '!O101</f>
        <v>0</v>
      </c>
      <c r="G101" s="19">
        <f>(B101-E101)*'PSA&amp;CPR（function) '!G102</f>
        <v>0</v>
      </c>
      <c r="H101" s="19">
        <f>Remaining_balance($B$1,$D$1,A101,$B$3)*'PSA&amp;CPR（function) '!O102</f>
        <v>0</v>
      </c>
    </row>
    <row r="102" spans="1:8">
      <c r="A102">
        <f>'PSA&amp;CPR'!A102</f>
        <v>100</v>
      </c>
      <c r="B102" s="19">
        <f t="shared" si="2"/>
        <v>0</v>
      </c>
      <c r="C102" s="19">
        <f t="shared" si="3"/>
        <v>0</v>
      </c>
      <c r="D102" s="19">
        <f>Monthly_payment($B$1,$D$1,$B$3)*'PSA&amp;CPR（function) '!O102</f>
        <v>0</v>
      </c>
      <c r="E102" s="19">
        <f>Principle_portion_of_payment($B$1,$D$1,A102,$B$3)*'PSA&amp;CPR（function) '!O102</f>
        <v>0</v>
      </c>
      <c r="F102" s="19">
        <f>Interest_portion_of_payment($B$1,$D$1,A102,$B$3)*'PSA&amp;CPR（function) '!O102</f>
        <v>0</v>
      </c>
      <c r="G102" s="19">
        <f>(B102-E102)*'PSA&amp;CPR（function) '!G103</f>
        <v>0</v>
      </c>
      <c r="H102" s="19">
        <f>Remaining_balance($B$1,$D$1,A102,$B$3)*'PSA&amp;CPR（function) '!O103</f>
        <v>0</v>
      </c>
    </row>
    <row r="103" spans="1:8">
      <c r="A103">
        <f>'PSA&amp;CPR'!A103</f>
        <v>101</v>
      </c>
      <c r="B103" s="19">
        <f t="shared" si="2"/>
        <v>0</v>
      </c>
      <c r="C103" s="19">
        <f t="shared" si="3"/>
        <v>0</v>
      </c>
      <c r="D103" s="19">
        <f>Monthly_payment($B$1,$D$1,$B$3)*'PSA&amp;CPR（function) '!O103</f>
        <v>0</v>
      </c>
      <c r="E103" s="19">
        <f>Principle_portion_of_payment($B$1,$D$1,A103,$B$3)*'PSA&amp;CPR（function) '!O103</f>
        <v>0</v>
      </c>
      <c r="F103" s="19">
        <f>Interest_portion_of_payment($B$1,$D$1,A103,$B$3)*'PSA&amp;CPR（function) '!O103</f>
        <v>0</v>
      </c>
      <c r="G103" s="19">
        <f>(B103-E103)*'PSA&amp;CPR（function) '!G104</f>
        <v>0</v>
      </c>
      <c r="H103" s="19">
        <f>Remaining_balance($B$1,$D$1,A103,$B$3)*'PSA&amp;CPR（function) '!O104</f>
        <v>0</v>
      </c>
    </row>
    <row r="104" spans="1:8">
      <c r="A104">
        <f>'PSA&amp;CPR'!A104</f>
        <v>102</v>
      </c>
      <c r="B104" s="19">
        <f t="shared" si="2"/>
        <v>0</v>
      </c>
      <c r="C104" s="19">
        <f t="shared" si="3"/>
        <v>0</v>
      </c>
      <c r="D104" s="19">
        <f>Monthly_payment($B$1,$D$1,$B$3)*'PSA&amp;CPR（function) '!O104</f>
        <v>0</v>
      </c>
      <c r="E104" s="19">
        <f>Principle_portion_of_payment($B$1,$D$1,A104,$B$3)*'PSA&amp;CPR（function) '!O104</f>
        <v>0</v>
      </c>
      <c r="F104" s="19">
        <f>Interest_portion_of_payment($B$1,$D$1,A104,$B$3)*'PSA&amp;CPR（function) '!O104</f>
        <v>0</v>
      </c>
      <c r="G104" s="19">
        <f>(B104-E104)*'PSA&amp;CPR（function) '!G105</f>
        <v>0</v>
      </c>
      <c r="H104" s="19">
        <f>Remaining_balance($B$1,$D$1,A104,$B$3)*'PSA&amp;CPR（function) '!O105</f>
        <v>0</v>
      </c>
    </row>
    <row r="105" spans="1:8">
      <c r="A105">
        <f>'PSA&amp;CPR'!A105</f>
        <v>103</v>
      </c>
      <c r="B105" s="19">
        <f t="shared" si="2"/>
        <v>0</v>
      </c>
      <c r="C105" s="19">
        <f t="shared" si="3"/>
        <v>0</v>
      </c>
      <c r="D105" s="19">
        <f>Monthly_payment($B$1,$D$1,$B$3)*'PSA&amp;CPR（function) '!O105</f>
        <v>0</v>
      </c>
      <c r="E105" s="19">
        <f>Principle_portion_of_payment($B$1,$D$1,A105,$B$3)*'PSA&amp;CPR（function) '!O105</f>
        <v>0</v>
      </c>
      <c r="F105" s="19">
        <f>Interest_portion_of_payment($B$1,$D$1,A105,$B$3)*'PSA&amp;CPR（function) '!O105</f>
        <v>0</v>
      </c>
      <c r="G105" s="19">
        <f>(B105-E105)*'PSA&amp;CPR（function) '!G106</f>
        <v>0</v>
      </c>
      <c r="H105" s="19">
        <f>Remaining_balance($B$1,$D$1,A105,$B$3)*'PSA&amp;CPR（function) '!O106</f>
        <v>0</v>
      </c>
    </row>
    <row r="106" spans="1:8">
      <c r="A106">
        <f>'PSA&amp;CPR'!A106</f>
        <v>104</v>
      </c>
      <c r="B106" s="19">
        <f t="shared" si="2"/>
        <v>0</v>
      </c>
      <c r="C106" s="19">
        <f t="shared" si="3"/>
        <v>0</v>
      </c>
      <c r="D106" s="19">
        <f>Monthly_payment($B$1,$D$1,$B$3)*'PSA&amp;CPR（function) '!O106</f>
        <v>0</v>
      </c>
      <c r="E106" s="19">
        <f>Principle_portion_of_payment($B$1,$D$1,A106,$B$3)*'PSA&amp;CPR（function) '!O106</f>
        <v>0</v>
      </c>
      <c r="F106" s="19">
        <f>Interest_portion_of_payment($B$1,$D$1,A106,$B$3)*'PSA&amp;CPR（function) '!O106</f>
        <v>0</v>
      </c>
      <c r="G106" s="19">
        <f>(B106-E106)*'PSA&amp;CPR（function) '!G107</f>
        <v>0</v>
      </c>
      <c r="H106" s="19">
        <f>Remaining_balance($B$1,$D$1,A106,$B$3)*'PSA&amp;CPR（function) '!O107</f>
        <v>0</v>
      </c>
    </row>
    <row r="107" spans="1:8">
      <c r="A107">
        <f>'PSA&amp;CPR'!A107</f>
        <v>105</v>
      </c>
      <c r="B107" s="19">
        <f t="shared" si="2"/>
        <v>0</v>
      </c>
      <c r="C107" s="19">
        <f t="shared" si="3"/>
        <v>0</v>
      </c>
      <c r="D107" s="19">
        <f>Monthly_payment($B$1,$D$1,$B$3)*'PSA&amp;CPR（function) '!O107</f>
        <v>0</v>
      </c>
      <c r="E107" s="19">
        <f>Principle_portion_of_payment($B$1,$D$1,A107,$B$3)*'PSA&amp;CPR（function) '!O107</f>
        <v>0</v>
      </c>
      <c r="F107" s="19">
        <f>Interest_portion_of_payment($B$1,$D$1,A107,$B$3)*'PSA&amp;CPR（function) '!O107</f>
        <v>0</v>
      </c>
      <c r="G107" s="19">
        <f>(B107-E107)*'PSA&amp;CPR（function) '!G108</f>
        <v>0</v>
      </c>
      <c r="H107" s="19">
        <f>Remaining_balance($B$1,$D$1,A107,$B$3)*'PSA&amp;CPR（function) '!O108</f>
        <v>0</v>
      </c>
    </row>
    <row r="108" spans="1:8">
      <c r="A108">
        <f>'PSA&amp;CPR'!A108</f>
        <v>106</v>
      </c>
      <c r="B108" s="19">
        <f t="shared" si="2"/>
        <v>0</v>
      </c>
      <c r="C108" s="19">
        <f t="shared" si="3"/>
        <v>0</v>
      </c>
      <c r="D108" s="19">
        <f>Monthly_payment($B$1,$D$1,$B$3)*'PSA&amp;CPR（function) '!O108</f>
        <v>0</v>
      </c>
      <c r="E108" s="19">
        <f>Principle_portion_of_payment($B$1,$D$1,A108,$B$3)*'PSA&amp;CPR（function) '!O108</f>
        <v>0</v>
      </c>
      <c r="F108" s="19">
        <f>Interest_portion_of_payment($B$1,$D$1,A108,$B$3)*'PSA&amp;CPR（function) '!O108</f>
        <v>0</v>
      </c>
      <c r="G108" s="19">
        <f>(B108-E108)*'PSA&amp;CPR（function) '!G109</f>
        <v>0</v>
      </c>
      <c r="H108" s="19">
        <f>Remaining_balance($B$1,$D$1,A108,$B$3)*'PSA&amp;CPR（function) '!O109</f>
        <v>0</v>
      </c>
    </row>
    <row r="109" spans="1:8">
      <c r="A109">
        <f>'PSA&amp;CPR'!A109</f>
        <v>107</v>
      </c>
      <c r="B109" s="19">
        <f t="shared" si="2"/>
        <v>0</v>
      </c>
      <c r="C109" s="19">
        <f t="shared" si="3"/>
        <v>0</v>
      </c>
      <c r="D109" s="19">
        <f>Monthly_payment($B$1,$D$1,$B$3)*'PSA&amp;CPR（function) '!O109</f>
        <v>0</v>
      </c>
      <c r="E109" s="19">
        <f>Principle_portion_of_payment($B$1,$D$1,A109,$B$3)*'PSA&amp;CPR（function) '!O109</f>
        <v>0</v>
      </c>
      <c r="F109" s="19">
        <f>Interest_portion_of_payment($B$1,$D$1,A109,$B$3)*'PSA&amp;CPR（function) '!O109</f>
        <v>0</v>
      </c>
      <c r="G109" s="19">
        <f>(B109-E109)*'PSA&amp;CPR（function) '!G110</f>
        <v>0</v>
      </c>
      <c r="H109" s="19">
        <f>Remaining_balance($B$1,$D$1,A109,$B$3)*'PSA&amp;CPR（function) '!O110</f>
        <v>0</v>
      </c>
    </row>
    <row r="110" spans="1:8">
      <c r="A110">
        <f>'PSA&amp;CPR'!A110</f>
        <v>108</v>
      </c>
      <c r="B110" s="19">
        <f t="shared" si="2"/>
        <v>0</v>
      </c>
      <c r="C110" s="19">
        <f t="shared" si="3"/>
        <v>0</v>
      </c>
      <c r="D110" s="19">
        <f>Monthly_payment($B$1,$D$1,$B$3)*'PSA&amp;CPR（function) '!O110</f>
        <v>0</v>
      </c>
      <c r="E110" s="19">
        <f>Principle_portion_of_payment($B$1,$D$1,A110,$B$3)*'PSA&amp;CPR（function) '!O110</f>
        <v>0</v>
      </c>
      <c r="F110" s="19">
        <f>Interest_portion_of_payment($B$1,$D$1,A110,$B$3)*'PSA&amp;CPR（function) '!O110</f>
        <v>0</v>
      </c>
      <c r="G110" s="19">
        <f>(B110-E110)*'PSA&amp;CPR（function) '!G111</f>
        <v>0</v>
      </c>
      <c r="H110" s="19">
        <f>Remaining_balance($B$1,$D$1,A110,$B$3)*'PSA&amp;CPR（function) '!O111</f>
        <v>0</v>
      </c>
    </row>
    <row r="111" spans="1:8">
      <c r="A111">
        <f>'PSA&amp;CPR'!A111</f>
        <v>109</v>
      </c>
      <c r="B111" s="19">
        <f t="shared" si="2"/>
        <v>0</v>
      </c>
      <c r="C111" s="19">
        <f t="shared" si="3"/>
        <v>0</v>
      </c>
      <c r="D111" s="19">
        <f>Monthly_payment($B$1,$D$1,$B$3)*'PSA&amp;CPR（function) '!O111</f>
        <v>0</v>
      </c>
      <c r="E111" s="19">
        <f>Principle_portion_of_payment($B$1,$D$1,A111,$B$3)*'PSA&amp;CPR（function) '!O111</f>
        <v>0</v>
      </c>
      <c r="F111" s="19">
        <f>Interest_portion_of_payment($B$1,$D$1,A111,$B$3)*'PSA&amp;CPR（function) '!O111</f>
        <v>0</v>
      </c>
      <c r="G111" s="19">
        <f>(B111-E111)*'PSA&amp;CPR（function) '!G112</f>
        <v>0</v>
      </c>
      <c r="H111" s="19">
        <f>Remaining_balance($B$1,$D$1,A111,$B$3)*'PSA&amp;CPR（function) '!O112</f>
        <v>0</v>
      </c>
    </row>
    <row r="112" spans="1:8">
      <c r="A112">
        <f>'PSA&amp;CPR'!A112</f>
        <v>110</v>
      </c>
      <c r="B112" s="19">
        <f t="shared" si="2"/>
        <v>0</v>
      </c>
      <c r="C112" s="19">
        <f t="shared" si="3"/>
        <v>0</v>
      </c>
      <c r="D112" s="19">
        <f>Monthly_payment($B$1,$D$1,$B$3)*'PSA&amp;CPR（function) '!O112</f>
        <v>0</v>
      </c>
      <c r="E112" s="19">
        <f>Principle_portion_of_payment($B$1,$D$1,A112,$B$3)*'PSA&amp;CPR（function) '!O112</f>
        <v>0</v>
      </c>
      <c r="F112" s="19">
        <f>Interest_portion_of_payment($B$1,$D$1,A112,$B$3)*'PSA&amp;CPR（function) '!O112</f>
        <v>0</v>
      </c>
      <c r="G112" s="19">
        <f>(B112-E112)*'PSA&amp;CPR（function) '!G113</f>
        <v>0</v>
      </c>
      <c r="H112" s="19">
        <f>Remaining_balance($B$1,$D$1,A112,$B$3)*'PSA&amp;CPR（function) '!O113</f>
        <v>0</v>
      </c>
    </row>
    <row r="113" spans="1:8">
      <c r="A113">
        <f>'PSA&amp;CPR'!A113</f>
        <v>111</v>
      </c>
      <c r="B113" s="19">
        <f t="shared" si="2"/>
        <v>0</v>
      </c>
      <c r="C113" s="19">
        <f t="shared" si="3"/>
        <v>0</v>
      </c>
      <c r="D113" s="19">
        <f>Monthly_payment($B$1,$D$1,$B$3)*'PSA&amp;CPR（function) '!O113</f>
        <v>0</v>
      </c>
      <c r="E113" s="19">
        <f>Principle_portion_of_payment($B$1,$D$1,A113,$B$3)*'PSA&amp;CPR（function) '!O113</f>
        <v>0</v>
      </c>
      <c r="F113" s="19">
        <f>Interest_portion_of_payment($B$1,$D$1,A113,$B$3)*'PSA&amp;CPR（function) '!O113</f>
        <v>0</v>
      </c>
      <c r="G113" s="19">
        <f>(B113-E113)*'PSA&amp;CPR（function) '!G114</f>
        <v>0</v>
      </c>
      <c r="H113" s="19">
        <f>Remaining_balance($B$1,$D$1,A113,$B$3)*'PSA&amp;CPR（function) '!O114</f>
        <v>0</v>
      </c>
    </row>
    <row r="114" spans="1:8">
      <c r="A114">
        <f>'PSA&amp;CPR'!A114</f>
        <v>112</v>
      </c>
      <c r="B114" s="19">
        <f t="shared" si="2"/>
        <v>0</v>
      </c>
      <c r="C114" s="19">
        <f t="shared" si="3"/>
        <v>0</v>
      </c>
      <c r="D114" s="19">
        <f>Monthly_payment($B$1,$D$1,$B$3)*'PSA&amp;CPR（function) '!O114</f>
        <v>0</v>
      </c>
      <c r="E114" s="19">
        <f>Principle_portion_of_payment($B$1,$D$1,A114,$B$3)*'PSA&amp;CPR（function) '!O114</f>
        <v>0</v>
      </c>
      <c r="F114" s="19">
        <f>Interest_portion_of_payment($B$1,$D$1,A114,$B$3)*'PSA&amp;CPR（function) '!O114</f>
        <v>0</v>
      </c>
      <c r="G114" s="19">
        <f>(B114-E114)*'PSA&amp;CPR（function) '!G115</f>
        <v>0</v>
      </c>
      <c r="H114" s="19">
        <f>Remaining_balance($B$1,$D$1,A114,$B$3)*'PSA&amp;CPR（function) '!O115</f>
        <v>0</v>
      </c>
    </row>
    <row r="115" spans="1:8">
      <c r="A115">
        <f>'PSA&amp;CPR'!A115</f>
        <v>113</v>
      </c>
      <c r="B115" s="19">
        <f t="shared" si="2"/>
        <v>0</v>
      </c>
      <c r="C115" s="19">
        <f t="shared" si="3"/>
        <v>0</v>
      </c>
      <c r="D115" s="19">
        <f>Monthly_payment($B$1,$D$1,$B$3)*'PSA&amp;CPR（function) '!O115</f>
        <v>0</v>
      </c>
      <c r="E115" s="19">
        <f>Principle_portion_of_payment($B$1,$D$1,A115,$B$3)*'PSA&amp;CPR（function) '!O115</f>
        <v>0</v>
      </c>
      <c r="F115" s="19">
        <f>Interest_portion_of_payment($B$1,$D$1,A115,$B$3)*'PSA&amp;CPR（function) '!O115</f>
        <v>0</v>
      </c>
      <c r="G115" s="19">
        <f>(B115-E115)*'PSA&amp;CPR（function) '!G116</f>
        <v>0</v>
      </c>
      <c r="H115" s="19">
        <f>Remaining_balance($B$1,$D$1,A115,$B$3)*'PSA&amp;CPR（function) '!O116</f>
        <v>0</v>
      </c>
    </row>
    <row r="116" spans="1:8">
      <c r="A116">
        <f>'PSA&amp;CPR'!A116</f>
        <v>114</v>
      </c>
      <c r="B116" s="19">
        <f t="shared" si="2"/>
        <v>0</v>
      </c>
      <c r="C116" s="19">
        <f t="shared" si="3"/>
        <v>0</v>
      </c>
      <c r="D116" s="19">
        <f>Monthly_payment($B$1,$D$1,$B$3)*'PSA&amp;CPR（function) '!O116</f>
        <v>0</v>
      </c>
      <c r="E116" s="19">
        <f>Principle_portion_of_payment($B$1,$D$1,A116,$B$3)*'PSA&amp;CPR（function) '!O116</f>
        <v>0</v>
      </c>
      <c r="F116" s="19">
        <f>Interest_portion_of_payment($B$1,$D$1,A116,$B$3)*'PSA&amp;CPR（function) '!O116</f>
        <v>0</v>
      </c>
      <c r="G116" s="19">
        <f>(B116-E116)*'PSA&amp;CPR（function) '!G117</f>
        <v>0</v>
      </c>
      <c r="H116" s="19">
        <f>Remaining_balance($B$1,$D$1,A116,$B$3)*'PSA&amp;CPR（function) '!O117</f>
        <v>0</v>
      </c>
    </row>
    <row r="117" spans="1:8">
      <c r="A117">
        <f>'PSA&amp;CPR'!A117</f>
        <v>115</v>
      </c>
      <c r="B117" s="19">
        <f t="shared" si="2"/>
        <v>0</v>
      </c>
      <c r="C117" s="19">
        <f t="shared" si="3"/>
        <v>0</v>
      </c>
      <c r="D117" s="19">
        <f>Monthly_payment($B$1,$D$1,$B$3)*'PSA&amp;CPR（function) '!O117</f>
        <v>0</v>
      </c>
      <c r="E117" s="19">
        <f>Principle_portion_of_payment($B$1,$D$1,A117,$B$3)*'PSA&amp;CPR（function) '!O117</f>
        <v>0</v>
      </c>
      <c r="F117" s="19">
        <f>Interest_portion_of_payment($B$1,$D$1,A117,$B$3)*'PSA&amp;CPR（function) '!O117</f>
        <v>0</v>
      </c>
      <c r="G117" s="19">
        <f>(B117-E117)*'PSA&amp;CPR（function) '!G118</f>
        <v>0</v>
      </c>
      <c r="H117" s="19">
        <f>Remaining_balance($B$1,$D$1,A117,$B$3)*'PSA&amp;CPR（function) '!O118</f>
        <v>0</v>
      </c>
    </row>
    <row r="118" spans="1:8">
      <c r="A118">
        <f>'PSA&amp;CPR'!A118</f>
        <v>116</v>
      </c>
      <c r="B118" s="19">
        <f t="shared" si="2"/>
        <v>0</v>
      </c>
      <c r="C118" s="19">
        <f t="shared" si="3"/>
        <v>0</v>
      </c>
      <c r="D118" s="19">
        <f>Monthly_payment($B$1,$D$1,$B$3)*'PSA&amp;CPR（function) '!O118</f>
        <v>0</v>
      </c>
      <c r="E118" s="19">
        <f>Principle_portion_of_payment($B$1,$D$1,A118,$B$3)*'PSA&amp;CPR（function) '!O118</f>
        <v>0</v>
      </c>
      <c r="F118" s="19">
        <f>Interest_portion_of_payment($B$1,$D$1,A118,$B$3)*'PSA&amp;CPR（function) '!O118</f>
        <v>0</v>
      </c>
      <c r="G118" s="19">
        <f>(B118-E118)*'PSA&amp;CPR（function) '!G119</f>
        <v>0</v>
      </c>
      <c r="H118" s="19">
        <f>Remaining_balance($B$1,$D$1,A118,$B$3)*'PSA&amp;CPR（function) '!O119</f>
        <v>0</v>
      </c>
    </row>
    <row r="119" spans="1:8">
      <c r="A119">
        <f>'PSA&amp;CPR'!A119</f>
        <v>117</v>
      </c>
      <c r="B119" s="19">
        <f t="shared" si="2"/>
        <v>0</v>
      </c>
      <c r="C119" s="19">
        <f t="shared" si="3"/>
        <v>0</v>
      </c>
      <c r="D119" s="19">
        <f>Monthly_payment($B$1,$D$1,$B$3)*'PSA&amp;CPR（function) '!O119</f>
        <v>0</v>
      </c>
      <c r="E119" s="19">
        <f>Principle_portion_of_payment($B$1,$D$1,A119,$B$3)*'PSA&amp;CPR（function) '!O119</f>
        <v>0</v>
      </c>
      <c r="F119" s="19">
        <f>Interest_portion_of_payment($B$1,$D$1,A119,$B$3)*'PSA&amp;CPR（function) '!O119</f>
        <v>0</v>
      </c>
      <c r="G119" s="19">
        <f>(B119-E119)*'PSA&amp;CPR（function) '!G120</f>
        <v>0</v>
      </c>
      <c r="H119" s="19">
        <f>Remaining_balance($B$1,$D$1,A119,$B$3)*'PSA&amp;CPR（function) '!O120</f>
        <v>0</v>
      </c>
    </row>
    <row r="120" spans="1:8">
      <c r="A120">
        <f>'PSA&amp;CPR'!A120</f>
        <v>118</v>
      </c>
      <c r="B120" s="19">
        <f t="shared" si="2"/>
        <v>0</v>
      </c>
      <c r="C120" s="19">
        <f t="shared" si="3"/>
        <v>0</v>
      </c>
      <c r="D120" s="19">
        <f>Monthly_payment($B$1,$D$1,$B$3)*'PSA&amp;CPR（function) '!O120</f>
        <v>0</v>
      </c>
      <c r="E120" s="19">
        <f>Principle_portion_of_payment($B$1,$D$1,A120,$B$3)*'PSA&amp;CPR（function) '!O120</f>
        <v>0</v>
      </c>
      <c r="F120" s="19">
        <f>Interest_portion_of_payment($B$1,$D$1,A120,$B$3)*'PSA&amp;CPR（function) '!O120</f>
        <v>0</v>
      </c>
      <c r="G120" s="19">
        <f>(B120-E120)*'PSA&amp;CPR（function) '!G121</f>
        <v>0</v>
      </c>
      <c r="H120" s="19">
        <f>Remaining_balance($B$1,$D$1,A120,$B$3)*'PSA&amp;CPR（function) '!O121</f>
        <v>0</v>
      </c>
    </row>
    <row r="121" spans="1:8">
      <c r="A121">
        <f>'PSA&amp;CPR'!A121</f>
        <v>119</v>
      </c>
      <c r="B121" s="19">
        <f t="shared" si="2"/>
        <v>0</v>
      </c>
      <c r="C121" s="19">
        <f t="shared" si="3"/>
        <v>0</v>
      </c>
      <c r="D121" s="19">
        <f>Monthly_payment($B$1,$D$1,$B$3)*'PSA&amp;CPR（function) '!O121</f>
        <v>0</v>
      </c>
      <c r="E121" s="19">
        <f>Principle_portion_of_payment($B$1,$D$1,A121,$B$3)*'PSA&amp;CPR（function) '!O121</f>
        <v>0</v>
      </c>
      <c r="F121" s="19">
        <f>Interest_portion_of_payment($B$1,$D$1,A121,$B$3)*'PSA&amp;CPR（function) '!O121</f>
        <v>0</v>
      </c>
      <c r="G121" s="19">
        <f>(B121-E121)*'PSA&amp;CPR（function) '!G122</f>
        <v>0</v>
      </c>
      <c r="H121" s="19">
        <f>Remaining_balance($B$1,$D$1,A121,$B$3)*'PSA&amp;CPR（function) '!O122</f>
        <v>0</v>
      </c>
    </row>
    <row r="122" spans="1:8">
      <c r="A122">
        <f>'PSA&amp;CPR'!A122</f>
        <v>120</v>
      </c>
      <c r="B122" s="19">
        <f t="shared" si="2"/>
        <v>0</v>
      </c>
      <c r="C122" s="19">
        <f t="shared" si="3"/>
        <v>0</v>
      </c>
      <c r="D122" s="19">
        <f>Monthly_payment($B$1,$D$1,$B$3)*'PSA&amp;CPR（function) '!O122</f>
        <v>0</v>
      </c>
      <c r="E122" s="19">
        <f>Principle_portion_of_payment($B$1,$D$1,A122,$B$3)*'PSA&amp;CPR（function) '!O122</f>
        <v>0</v>
      </c>
      <c r="F122" s="19">
        <f>Interest_portion_of_payment($B$1,$D$1,A122,$B$3)*'PSA&amp;CPR（function) '!O122</f>
        <v>0</v>
      </c>
      <c r="G122" s="19">
        <f>(B122-E122)*'PSA&amp;CPR（function) '!G123</f>
        <v>0</v>
      </c>
      <c r="H122" s="19">
        <f>Remaining_balance($B$1,$D$1,A122,$B$3)*'PSA&amp;CPR（function) '!O123</f>
        <v>0</v>
      </c>
    </row>
    <row r="123" spans="1:8">
      <c r="A123">
        <f>'PSA&amp;CPR'!A123</f>
        <v>121</v>
      </c>
      <c r="B123" s="19">
        <f t="shared" si="2"/>
        <v>0</v>
      </c>
      <c r="C123" s="19">
        <f t="shared" si="3"/>
        <v>0</v>
      </c>
      <c r="D123" s="19">
        <f>Monthly_payment($B$1,$D$1,$B$3)*'PSA&amp;CPR（function) '!O123</f>
        <v>0</v>
      </c>
      <c r="E123" s="19">
        <f>Principle_portion_of_payment($B$1,$D$1,A123,$B$3)*'PSA&amp;CPR（function) '!O123</f>
        <v>0</v>
      </c>
      <c r="F123" s="19">
        <f>Interest_portion_of_payment($B$1,$D$1,A123,$B$3)*'PSA&amp;CPR（function) '!O123</f>
        <v>0</v>
      </c>
      <c r="G123" s="19">
        <f>(B123-E123)*'PSA&amp;CPR（function) '!G124</f>
        <v>0</v>
      </c>
      <c r="H123" s="19">
        <f>Remaining_balance($B$1,$D$1,A123,$B$3)*'PSA&amp;CPR（function) '!O124</f>
        <v>0</v>
      </c>
    </row>
    <row r="124" spans="1:8">
      <c r="A124">
        <f>'PSA&amp;CPR'!A124</f>
        <v>122</v>
      </c>
      <c r="B124" s="19">
        <f t="shared" si="2"/>
        <v>0</v>
      </c>
      <c r="C124" s="19">
        <f t="shared" si="3"/>
        <v>0</v>
      </c>
      <c r="D124" s="19">
        <f>Monthly_payment($B$1,$D$1,$B$3)*'PSA&amp;CPR（function) '!O124</f>
        <v>0</v>
      </c>
      <c r="E124" s="19">
        <f>Principle_portion_of_payment($B$1,$D$1,A124,$B$3)*'PSA&amp;CPR（function) '!O124</f>
        <v>0</v>
      </c>
      <c r="F124" s="19">
        <f>Interest_portion_of_payment($B$1,$D$1,A124,$B$3)*'PSA&amp;CPR（function) '!O124</f>
        <v>0</v>
      </c>
      <c r="G124" s="19">
        <f>(B124-E124)*'PSA&amp;CPR（function) '!G125</f>
        <v>0</v>
      </c>
      <c r="H124" s="19">
        <f>Remaining_balance($B$1,$D$1,A124,$B$3)*'PSA&amp;CPR（function) '!O125</f>
        <v>0</v>
      </c>
    </row>
    <row r="125" spans="1:8">
      <c r="A125">
        <f>'PSA&amp;CPR'!A125</f>
        <v>123</v>
      </c>
      <c r="B125" s="19">
        <f t="shared" si="2"/>
        <v>0</v>
      </c>
      <c r="C125" s="19">
        <f t="shared" si="3"/>
        <v>0</v>
      </c>
      <c r="D125" s="19">
        <f>Monthly_payment($B$1,$D$1,$B$3)*'PSA&amp;CPR（function) '!O125</f>
        <v>0</v>
      </c>
      <c r="E125" s="19">
        <f>Principle_portion_of_payment($B$1,$D$1,A125,$B$3)*'PSA&amp;CPR（function) '!O125</f>
        <v>0</v>
      </c>
      <c r="F125" s="19">
        <f>Interest_portion_of_payment($B$1,$D$1,A125,$B$3)*'PSA&amp;CPR（function) '!O125</f>
        <v>0</v>
      </c>
      <c r="G125" s="19">
        <f>(B125-E125)*'PSA&amp;CPR（function) '!G126</f>
        <v>0</v>
      </c>
      <c r="H125" s="19">
        <f>Remaining_balance($B$1,$D$1,A125,$B$3)*'PSA&amp;CPR（function) '!O126</f>
        <v>0</v>
      </c>
    </row>
    <row r="126" spans="1:8">
      <c r="A126">
        <f>'PSA&amp;CPR'!A126</f>
        <v>124</v>
      </c>
      <c r="B126" s="19">
        <f t="shared" si="2"/>
        <v>0</v>
      </c>
      <c r="C126" s="19">
        <f t="shared" si="3"/>
        <v>0</v>
      </c>
      <c r="D126" s="19">
        <f>Monthly_payment($B$1,$D$1,$B$3)*'PSA&amp;CPR（function) '!O126</f>
        <v>0</v>
      </c>
      <c r="E126" s="19">
        <f>Principle_portion_of_payment($B$1,$D$1,A126,$B$3)*'PSA&amp;CPR（function) '!O126</f>
        <v>0</v>
      </c>
      <c r="F126" s="19">
        <f>Interest_portion_of_payment($B$1,$D$1,A126,$B$3)*'PSA&amp;CPR（function) '!O126</f>
        <v>0</v>
      </c>
      <c r="G126" s="19">
        <f>(B126-E126)*'PSA&amp;CPR（function) '!G127</f>
        <v>0</v>
      </c>
      <c r="H126" s="19">
        <f>Remaining_balance($B$1,$D$1,A126,$B$3)*'PSA&amp;CPR（function) '!O127</f>
        <v>0</v>
      </c>
    </row>
    <row r="127" spans="1:8">
      <c r="A127">
        <f>'PSA&amp;CPR'!A127</f>
        <v>125</v>
      </c>
      <c r="B127" s="19">
        <f t="shared" si="2"/>
        <v>0</v>
      </c>
      <c r="C127" s="19">
        <f t="shared" si="3"/>
        <v>0</v>
      </c>
      <c r="D127" s="19">
        <f>Monthly_payment($B$1,$D$1,$B$3)*'PSA&amp;CPR（function) '!O127</f>
        <v>0</v>
      </c>
      <c r="E127" s="19">
        <f>Principle_portion_of_payment($B$1,$D$1,A127,$B$3)*'PSA&amp;CPR（function) '!O127</f>
        <v>0</v>
      </c>
      <c r="F127" s="19">
        <f>Interest_portion_of_payment($B$1,$D$1,A127,$B$3)*'PSA&amp;CPR（function) '!O127</f>
        <v>0</v>
      </c>
      <c r="G127" s="19">
        <f>(B127-E127)*'PSA&amp;CPR（function) '!G128</f>
        <v>0</v>
      </c>
      <c r="H127" s="19">
        <f>Remaining_balance($B$1,$D$1,A127,$B$3)*'PSA&amp;CPR（function) '!O128</f>
        <v>0</v>
      </c>
    </row>
    <row r="128" spans="1:8">
      <c r="A128">
        <f>'PSA&amp;CPR'!A128</f>
        <v>126</v>
      </c>
      <c r="B128" s="19">
        <f t="shared" si="2"/>
        <v>0</v>
      </c>
      <c r="C128" s="19">
        <f t="shared" si="3"/>
        <v>0</v>
      </c>
      <c r="D128" s="19">
        <f>Monthly_payment($B$1,$D$1,$B$3)*'PSA&amp;CPR（function) '!O128</f>
        <v>0</v>
      </c>
      <c r="E128" s="19">
        <f>Principle_portion_of_payment($B$1,$D$1,A128,$B$3)*'PSA&amp;CPR（function) '!O128</f>
        <v>0</v>
      </c>
      <c r="F128" s="19">
        <f>Interest_portion_of_payment($B$1,$D$1,A128,$B$3)*'PSA&amp;CPR（function) '!O128</f>
        <v>0</v>
      </c>
      <c r="G128" s="19">
        <f>(B128-E128)*'PSA&amp;CPR（function) '!G129</f>
        <v>0</v>
      </c>
      <c r="H128" s="19">
        <f>Remaining_balance($B$1,$D$1,A128,$B$3)*'PSA&amp;CPR（function) '!O129</f>
        <v>0</v>
      </c>
    </row>
    <row r="129" spans="1:8">
      <c r="A129">
        <f>'PSA&amp;CPR'!A129</f>
        <v>127</v>
      </c>
      <c r="B129" s="19">
        <f t="shared" si="2"/>
        <v>0</v>
      </c>
      <c r="C129" s="19">
        <f t="shared" si="3"/>
        <v>0</v>
      </c>
      <c r="D129" s="19">
        <f>Monthly_payment($B$1,$D$1,$B$3)*'PSA&amp;CPR（function) '!O129</f>
        <v>0</v>
      </c>
      <c r="E129" s="19">
        <f>Principle_portion_of_payment($B$1,$D$1,A129,$B$3)*'PSA&amp;CPR（function) '!O129</f>
        <v>0</v>
      </c>
      <c r="F129" s="19">
        <f>Interest_portion_of_payment($B$1,$D$1,A129,$B$3)*'PSA&amp;CPR（function) '!O129</f>
        <v>0</v>
      </c>
      <c r="G129" s="19">
        <f>(B129-E129)*'PSA&amp;CPR（function) '!G130</f>
        <v>0</v>
      </c>
      <c r="H129" s="19">
        <f>Remaining_balance($B$1,$D$1,A129,$B$3)*'PSA&amp;CPR（function) '!O130</f>
        <v>0</v>
      </c>
    </row>
    <row r="130" spans="1:8">
      <c r="A130">
        <f>'PSA&amp;CPR'!A130</f>
        <v>128</v>
      </c>
      <c r="B130" s="19">
        <f t="shared" si="2"/>
        <v>0</v>
      </c>
      <c r="C130" s="19">
        <f t="shared" si="3"/>
        <v>0</v>
      </c>
      <c r="D130" s="19">
        <f>Monthly_payment($B$1,$D$1,$B$3)*'PSA&amp;CPR（function) '!O130</f>
        <v>0</v>
      </c>
      <c r="E130" s="19">
        <f>Principle_portion_of_payment($B$1,$D$1,A130,$B$3)*'PSA&amp;CPR（function) '!O130</f>
        <v>0</v>
      </c>
      <c r="F130" s="19">
        <f>Interest_portion_of_payment($B$1,$D$1,A130,$B$3)*'PSA&amp;CPR（function) '!O130</f>
        <v>0</v>
      </c>
      <c r="G130" s="19">
        <f>(B130-E130)*'PSA&amp;CPR（function) '!G131</f>
        <v>0</v>
      </c>
      <c r="H130" s="19">
        <f>Remaining_balance($B$1,$D$1,A130,$B$3)*'PSA&amp;CPR（function) '!O131</f>
        <v>0</v>
      </c>
    </row>
    <row r="131" spans="1:8">
      <c r="A131">
        <f>'PSA&amp;CPR'!A131</f>
        <v>129</v>
      </c>
      <c r="B131" s="19">
        <f t="shared" si="2"/>
        <v>0</v>
      </c>
      <c r="C131" s="19">
        <f t="shared" si="3"/>
        <v>0</v>
      </c>
      <c r="D131" s="19">
        <f>Monthly_payment($B$1,$D$1,$B$3)*'PSA&amp;CPR（function) '!O131</f>
        <v>0</v>
      </c>
      <c r="E131" s="19">
        <f>Principle_portion_of_payment($B$1,$D$1,A131,$B$3)*'PSA&amp;CPR（function) '!O131</f>
        <v>0</v>
      </c>
      <c r="F131" s="19">
        <f>Interest_portion_of_payment($B$1,$D$1,A131,$B$3)*'PSA&amp;CPR（function) '!O131</f>
        <v>0</v>
      </c>
      <c r="G131" s="19">
        <f>(B131-E131)*'PSA&amp;CPR（function) '!G132</f>
        <v>0</v>
      </c>
      <c r="H131" s="19">
        <f>Remaining_balance($B$1,$D$1,A131,$B$3)*'PSA&amp;CPR（function) '!O132</f>
        <v>0</v>
      </c>
    </row>
    <row r="132" spans="1:8">
      <c r="A132">
        <f>'PSA&amp;CPR'!A132</f>
        <v>130</v>
      </c>
      <c r="B132" s="19">
        <f t="shared" si="2"/>
        <v>0</v>
      </c>
      <c r="C132" s="19">
        <f t="shared" si="3"/>
        <v>0</v>
      </c>
      <c r="D132" s="19">
        <f>Monthly_payment($B$1,$D$1,$B$3)*'PSA&amp;CPR（function) '!O132</f>
        <v>0</v>
      </c>
      <c r="E132" s="19">
        <f>Principle_portion_of_payment($B$1,$D$1,A132,$B$3)*'PSA&amp;CPR（function) '!O132</f>
        <v>0</v>
      </c>
      <c r="F132" s="19">
        <f>Interest_portion_of_payment($B$1,$D$1,A132,$B$3)*'PSA&amp;CPR（function) '!O132</f>
        <v>0</v>
      </c>
      <c r="G132" s="19">
        <f>(B132-E132)*'PSA&amp;CPR（function) '!G133</f>
        <v>0</v>
      </c>
      <c r="H132" s="19">
        <f>Remaining_balance($B$1,$D$1,A132,$B$3)*'PSA&amp;CPR（function) '!O133</f>
        <v>0</v>
      </c>
    </row>
    <row r="133" spans="1:8">
      <c r="A133">
        <f>'PSA&amp;CPR'!A133</f>
        <v>131</v>
      </c>
      <c r="B133" s="19">
        <f t="shared" ref="B133:B196" si="4">H132</f>
        <v>0</v>
      </c>
      <c r="C133" s="19">
        <f t="shared" ref="C133:C196" si="5">B133*($B$1/1200)</f>
        <v>0</v>
      </c>
      <c r="D133" s="19">
        <f>Monthly_payment($B$1,$D$1,$B$3)*'PSA&amp;CPR（function) '!O133</f>
        <v>0</v>
      </c>
      <c r="E133" s="19">
        <f>Principle_portion_of_payment($B$1,$D$1,A133,$B$3)*'PSA&amp;CPR（function) '!O133</f>
        <v>0</v>
      </c>
      <c r="F133" s="19">
        <f>Interest_portion_of_payment($B$1,$D$1,A133,$B$3)*'PSA&amp;CPR（function) '!O133</f>
        <v>0</v>
      </c>
      <c r="G133" s="19">
        <f>(B133-E133)*'PSA&amp;CPR（function) '!G134</f>
        <v>0</v>
      </c>
      <c r="H133" s="19">
        <f>Remaining_balance($B$1,$D$1,A133,$B$3)*'PSA&amp;CPR（function) '!O134</f>
        <v>0</v>
      </c>
    </row>
    <row r="134" spans="1:8">
      <c r="A134">
        <f>'PSA&amp;CPR'!A134</f>
        <v>132</v>
      </c>
      <c r="B134" s="19">
        <f t="shared" si="4"/>
        <v>0</v>
      </c>
      <c r="C134" s="19">
        <f t="shared" si="5"/>
        <v>0</v>
      </c>
      <c r="D134" s="19">
        <f>Monthly_payment($B$1,$D$1,$B$3)*'PSA&amp;CPR（function) '!O134</f>
        <v>0</v>
      </c>
      <c r="E134" s="19">
        <f>Principle_portion_of_payment($B$1,$D$1,A134,$B$3)*'PSA&amp;CPR（function) '!O134</f>
        <v>0</v>
      </c>
      <c r="F134" s="19">
        <f>Interest_portion_of_payment($B$1,$D$1,A134,$B$3)*'PSA&amp;CPR（function) '!O134</f>
        <v>0</v>
      </c>
      <c r="G134" s="19">
        <f>(B134-E134)*'PSA&amp;CPR（function) '!G135</f>
        <v>0</v>
      </c>
      <c r="H134" s="19">
        <f>Remaining_balance($B$1,$D$1,A134,$B$3)*'PSA&amp;CPR（function) '!O135</f>
        <v>0</v>
      </c>
    </row>
    <row r="135" spans="1:8">
      <c r="A135">
        <f>'PSA&amp;CPR'!A135</f>
        <v>133</v>
      </c>
      <c r="B135" s="19">
        <f t="shared" si="4"/>
        <v>0</v>
      </c>
      <c r="C135" s="19">
        <f t="shared" si="5"/>
        <v>0</v>
      </c>
      <c r="D135" s="19">
        <f>Monthly_payment($B$1,$D$1,$B$3)*'PSA&amp;CPR（function) '!O135</f>
        <v>0</v>
      </c>
      <c r="E135" s="19">
        <f>Principle_portion_of_payment($B$1,$D$1,A135,$B$3)*'PSA&amp;CPR（function) '!O135</f>
        <v>0</v>
      </c>
      <c r="F135" s="19">
        <f>Interest_portion_of_payment($B$1,$D$1,A135,$B$3)*'PSA&amp;CPR（function) '!O135</f>
        <v>0</v>
      </c>
      <c r="G135" s="19">
        <f>(B135-E135)*'PSA&amp;CPR（function) '!G136</f>
        <v>0</v>
      </c>
      <c r="H135" s="19">
        <f>Remaining_balance($B$1,$D$1,A135,$B$3)*'PSA&amp;CPR（function) '!O136</f>
        <v>0</v>
      </c>
    </row>
    <row r="136" spans="1:8">
      <c r="A136">
        <f>'PSA&amp;CPR'!A136</f>
        <v>134</v>
      </c>
      <c r="B136" s="19">
        <f t="shared" si="4"/>
        <v>0</v>
      </c>
      <c r="C136" s="19">
        <f t="shared" si="5"/>
        <v>0</v>
      </c>
      <c r="D136" s="19">
        <f>Monthly_payment($B$1,$D$1,$B$3)*'PSA&amp;CPR（function) '!O136</f>
        <v>0</v>
      </c>
      <c r="E136" s="19">
        <f>Principle_portion_of_payment($B$1,$D$1,A136,$B$3)*'PSA&amp;CPR（function) '!O136</f>
        <v>0</v>
      </c>
      <c r="F136" s="19">
        <f>Interest_portion_of_payment($B$1,$D$1,A136,$B$3)*'PSA&amp;CPR（function) '!O136</f>
        <v>0</v>
      </c>
      <c r="G136" s="19">
        <f>(B136-E136)*'PSA&amp;CPR（function) '!G137</f>
        <v>0</v>
      </c>
      <c r="H136" s="19">
        <f>Remaining_balance($B$1,$D$1,A136,$B$3)*'PSA&amp;CPR（function) '!O137</f>
        <v>0</v>
      </c>
    </row>
    <row r="137" spans="1:8">
      <c r="A137">
        <f>'PSA&amp;CPR'!A137</f>
        <v>135</v>
      </c>
      <c r="B137" s="19">
        <f t="shared" si="4"/>
        <v>0</v>
      </c>
      <c r="C137" s="19">
        <f t="shared" si="5"/>
        <v>0</v>
      </c>
      <c r="D137" s="19">
        <f>Monthly_payment($B$1,$D$1,$B$3)*'PSA&amp;CPR（function) '!O137</f>
        <v>0</v>
      </c>
      <c r="E137" s="19">
        <f>Principle_portion_of_payment($B$1,$D$1,A137,$B$3)*'PSA&amp;CPR（function) '!O137</f>
        <v>0</v>
      </c>
      <c r="F137" s="19">
        <f>Interest_portion_of_payment($B$1,$D$1,A137,$B$3)*'PSA&amp;CPR（function) '!O137</f>
        <v>0</v>
      </c>
      <c r="G137" s="19">
        <f>(B137-E137)*'PSA&amp;CPR（function) '!G138</f>
        <v>0</v>
      </c>
      <c r="H137" s="19">
        <f>Remaining_balance($B$1,$D$1,A137,$B$3)*'PSA&amp;CPR（function) '!O138</f>
        <v>0</v>
      </c>
    </row>
    <row r="138" spans="1:8">
      <c r="A138">
        <f>'PSA&amp;CPR'!A138</f>
        <v>136</v>
      </c>
      <c r="B138" s="19">
        <f t="shared" si="4"/>
        <v>0</v>
      </c>
      <c r="C138" s="19">
        <f t="shared" si="5"/>
        <v>0</v>
      </c>
      <c r="D138" s="19">
        <f>Monthly_payment($B$1,$D$1,$B$3)*'PSA&amp;CPR（function) '!O138</f>
        <v>0</v>
      </c>
      <c r="E138" s="19">
        <f>Principle_portion_of_payment($B$1,$D$1,A138,$B$3)*'PSA&amp;CPR（function) '!O138</f>
        <v>0</v>
      </c>
      <c r="F138" s="19">
        <f>Interest_portion_of_payment($B$1,$D$1,A138,$B$3)*'PSA&amp;CPR（function) '!O138</f>
        <v>0</v>
      </c>
      <c r="G138" s="19">
        <f>(B138-E138)*'PSA&amp;CPR（function) '!G139</f>
        <v>0</v>
      </c>
      <c r="H138" s="19">
        <f>Remaining_balance($B$1,$D$1,A138,$B$3)*'PSA&amp;CPR（function) '!O139</f>
        <v>0</v>
      </c>
    </row>
    <row r="139" spans="1:8">
      <c r="A139">
        <f>'PSA&amp;CPR'!A139</f>
        <v>137</v>
      </c>
      <c r="B139" s="19">
        <f t="shared" si="4"/>
        <v>0</v>
      </c>
      <c r="C139" s="19">
        <f t="shared" si="5"/>
        <v>0</v>
      </c>
      <c r="D139" s="19">
        <f>Monthly_payment($B$1,$D$1,$B$3)*'PSA&amp;CPR（function) '!O139</f>
        <v>0</v>
      </c>
      <c r="E139" s="19">
        <f>Principle_portion_of_payment($B$1,$D$1,A139,$B$3)*'PSA&amp;CPR（function) '!O139</f>
        <v>0</v>
      </c>
      <c r="F139" s="19">
        <f>Interest_portion_of_payment($B$1,$D$1,A139,$B$3)*'PSA&amp;CPR（function) '!O139</f>
        <v>0</v>
      </c>
      <c r="G139" s="19">
        <f>(B139-E139)*'PSA&amp;CPR（function) '!G140</f>
        <v>0</v>
      </c>
      <c r="H139" s="19">
        <f>Remaining_balance($B$1,$D$1,A139,$B$3)*'PSA&amp;CPR（function) '!O140</f>
        <v>0</v>
      </c>
    </row>
    <row r="140" spans="1:8">
      <c r="A140">
        <f>'PSA&amp;CPR'!A140</f>
        <v>138</v>
      </c>
      <c r="B140" s="19">
        <f t="shared" si="4"/>
        <v>0</v>
      </c>
      <c r="C140" s="19">
        <f t="shared" si="5"/>
        <v>0</v>
      </c>
      <c r="D140" s="19">
        <f>Monthly_payment($B$1,$D$1,$B$3)*'PSA&amp;CPR（function) '!O140</f>
        <v>0</v>
      </c>
      <c r="E140" s="19">
        <f>Principle_portion_of_payment($B$1,$D$1,A140,$B$3)*'PSA&amp;CPR（function) '!O140</f>
        <v>0</v>
      </c>
      <c r="F140" s="19">
        <f>Interest_portion_of_payment($B$1,$D$1,A140,$B$3)*'PSA&amp;CPR（function) '!O140</f>
        <v>0</v>
      </c>
      <c r="G140" s="19">
        <f>(B140-E140)*'PSA&amp;CPR（function) '!G141</f>
        <v>0</v>
      </c>
      <c r="H140" s="19">
        <f>Remaining_balance($B$1,$D$1,A140,$B$3)*'PSA&amp;CPR（function) '!O141</f>
        <v>0</v>
      </c>
    </row>
    <row r="141" spans="1:8">
      <c r="A141">
        <f>'PSA&amp;CPR'!A141</f>
        <v>139</v>
      </c>
      <c r="B141" s="19">
        <f t="shared" si="4"/>
        <v>0</v>
      </c>
      <c r="C141" s="19">
        <f t="shared" si="5"/>
        <v>0</v>
      </c>
      <c r="D141" s="19">
        <f>Monthly_payment($B$1,$D$1,$B$3)*'PSA&amp;CPR（function) '!O141</f>
        <v>0</v>
      </c>
      <c r="E141" s="19">
        <f>Principle_portion_of_payment($B$1,$D$1,A141,$B$3)*'PSA&amp;CPR（function) '!O141</f>
        <v>0</v>
      </c>
      <c r="F141" s="19">
        <f>Interest_portion_of_payment($B$1,$D$1,A141,$B$3)*'PSA&amp;CPR（function) '!O141</f>
        <v>0</v>
      </c>
      <c r="G141" s="19">
        <f>(B141-E141)*'PSA&amp;CPR（function) '!G142</f>
        <v>0</v>
      </c>
      <c r="H141" s="19">
        <f>Remaining_balance($B$1,$D$1,A141,$B$3)*'PSA&amp;CPR（function) '!O142</f>
        <v>0</v>
      </c>
    </row>
    <row r="142" spans="1:8">
      <c r="A142">
        <f>'PSA&amp;CPR'!A142</f>
        <v>140</v>
      </c>
      <c r="B142" s="19">
        <f t="shared" si="4"/>
        <v>0</v>
      </c>
      <c r="C142" s="19">
        <f t="shared" si="5"/>
        <v>0</v>
      </c>
      <c r="D142" s="19">
        <f>Monthly_payment($B$1,$D$1,$B$3)*'PSA&amp;CPR（function) '!O142</f>
        <v>0</v>
      </c>
      <c r="E142" s="19">
        <f>Principle_portion_of_payment($B$1,$D$1,A142,$B$3)*'PSA&amp;CPR（function) '!O142</f>
        <v>0</v>
      </c>
      <c r="F142" s="19">
        <f>Interest_portion_of_payment($B$1,$D$1,A142,$B$3)*'PSA&amp;CPR（function) '!O142</f>
        <v>0</v>
      </c>
      <c r="G142" s="19">
        <f>(B142-E142)*'PSA&amp;CPR（function) '!G143</f>
        <v>0</v>
      </c>
      <c r="H142" s="19">
        <f>Remaining_balance($B$1,$D$1,A142,$B$3)*'PSA&amp;CPR（function) '!O143</f>
        <v>0</v>
      </c>
    </row>
    <row r="143" spans="1:8">
      <c r="A143">
        <f>'PSA&amp;CPR'!A143</f>
        <v>141</v>
      </c>
      <c r="B143" s="19">
        <f t="shared" si="4"/>
        <v>0</v>
      </c>
      <c r="C143" s="19">
        <f t="shared" si="5"/>
        <v>0</v>
      </c>
      <c r="D143" s="19">
        <f>Monthly_payment($B$1,$D$1,$B$3)*'PSA&amp;CPR（function) '!O143</f>
        <v>0</v>
      </c>
      <c r="E143" s="19">
        <f>Principle_portion_of_payment($B$1,$D$1,A143,$B$3)*'PSA&amp;CPR（function) '!O143</f>
        <v>0</v>
      </c>
      <c r="F143" s="19">
        <f>Interest_portion_of_payment($B$1,$D$1,A143,$B$3)*'PSA&amp;CPR（function) '!O143</f>
        <v>0</v>
      </c>
      <c r="G143" s="19">
        <f>(B143-E143)*'PSA&amp;CPR（function) '!G144</f>
        <v>0</v>
      </c>
      <c r="H143" s="19">
        <f>Remaining_balance($B$1,$D$1,A143,$B$3)*'PSA&amp;CPR（function) '!O144</f>
        <v>0</v>
      </c>
    </row>
    <row r="144" spans="1:8">
      <c r="A144">
        <f>'PSA&amp;CPR'!A144</f>
        <v>142</v>
      </c>
      <c r="B144" s="19">
        <f t="shared" si="4"/>
        <v>0</v>
      </c>
      <c r="C144" s="19">
        <f t="shared" si="5"/>
        <v>0</v>
      </c>
      <c r="D144" s="19">
        <f>Monthly_payment($B$1,$D$1,$B$3)*'PSA&amp;CPR（function) '!O144</f>
        <v>0</v>
      </c>
      <c r="E144" s="19">
        <f>Principle_portion_of_payment($B$1,$D$1,A144,$B$3)*'PSA&amp;CPR（function) '!O144</f>
        <v>0</v>
      </c>
      <c r="F144" s="19">
        <f>Interest_portion_of_payment($B$1,$D$1,A144,$B$3)*'PSA&amp;CPR（function) '!O144</f>
        <v>0</v>
      </c>
      <c r="G144" s="19">
        <f>(B144-E144)*'PSA&amp;CPR（function) '!G145</f>
        <v>0</v>
      </c>
      <c r="H144" s="19">
        <f>Remaining_balance($B$1,$D$1,A144,$B$3)*'PSA&amp;CPR（function) '!O145</f>
        <v>0</v>
      </c>
    </row>
    <row r="145" spans="1:8">
      <c r="A145">
        <f>'PSA&amp;CPR'!A145</f>
        <v>143</v>
      </c>
      <c r="B145" s="19">
        <f t="shared" si="4"/>
        <v>0</v>
      </c>
      <c r="C145" s="19">
        <f t="shared" si="5"/>
        <v>0</v>
      </c>
      <c r="D145" s="19">
        <f>Monthly_payment($B$1,$D$1,$B$3)*'PSA&amp;CPR（function) '!O145</f>
        <v>0</v>
      </c>
      <c r="E145" s="19">
        <f>Principle_portion_of_payment($B$1,$D$1,A145,$B$3)*'PSA&amp;CPR（function) '!O145</f>
        <v>0</v>
      </c>
      <c r="F145" s="19">
        <f>Interest_portion_of_payment($B$1,$D$1,A145,$B$3)*'PSA&amp;CPR（function) '!O145</f>
        <v>0</v>
      </c>
      <c r="G145" s="19">
        <f>(B145-E145)*'PSA&amp;CPR（function) '!G146</f>
        <v>0</v>
      </c>
      <c r="H145" s="19">
        <f>Remaining_balance($B$1,$D$1,A145,$B$3)*'PSA&amp;CPR（function) '!O146</f>
        <v>0</v>
      </c>
    </row>
    <row r="146" spans="1:8">
      <c r="A146">
        <f>'PSA&amp;CPR'!A146</f>
        <v>144</v>
      </c>
      <c r="B146" s="19">
        <f t="shared" si="4"/>
        <v>0</v>
      </c>
      <c r="C146" s="19">
        <f t="shared" si="5"/>
        <v>0</v>
      </c>
      <c r="D146" s="19">
        <f>Monthly_payment($B$1,$D$1,$B$3)*'PSA&amp;CPR（function) '!O146</f>
        <v>0</v>
      </c>
      <c r="E146" s="19">
        <f>Principle_portion_of_payment($B$1,$D$1,A146,$B$3)*'PSA&amp;CPR（function) '!O146</f>
        <v>0</v>
      </c>
      <c r="F146" s="19">
        <f>Interest_portion_of_payment($B$1,$D$1,A146,$B$3)*'PSA&amp;CPR（function) '!O146</f>
        <v>0</v>
      </c>
      <c r="G146" s="19">
        <f>(B146-E146)*'PSA&amp;CPR（function) '!G147</f>
        <v>0</v>
      </c>
      <c r="H146" s="19">
        <f>Remaining_balance($B$1,$D$1,A146,$B$3)*'PSA&amp;CPR（function) '!O147</f>
        <v>0</v>
      </c>
    </row>
    <row r="147" spans="1:8">
      <c r="A147">
        <f>'PSA&amp;CPR'!A147</f>
        <v>145</v>
      </c>
      <c r="B147" s="19">
        <f t="shared" si="4"/>
        <v>0</v>
      </c>
      <c r="C147" s="19">
        <f t="shared" si="5"/>
        <v>0</v>
      </c>
      <c r="D147" s="19">
        <f>Monthly_payment($B$1,$D$1,$B$3)*'PSA&amp;CPR（function) '!O147</f>
        <v>0</v>
      </c>
      <c r="E147" s="19">
        <f>Principle_portion_of_payment($B$1,$D$1,A147,$B$3)*'PSA&amp;CPR（function) '!O147</f>
        <v>0</v>
      </c>
      <c r="F147" s="19">
        <f>Interest_portion_of_payment($B$1,$D$1,A147,$B$3)*'PSA&amp;CPR（function) '!O147</f>
        <v>0</v>
      </c>
      <c r="G147" s="19">
        <f>(B147-E147)*'PSA&amp;CPR（function) '!G148</f>
        <v>0</v>
      </c>
      <c r="H147" s="19">
        <f>Remaining_balance($B$1,$D$1,A147,$B$3)*'PSA&amp;CPR（function) '!O148</f>
        <v>0</v>
      </c>
    </row>
    <row r="148" spans="1:8">
      <c r="A148">
        <f>'PSA&amp;CPR'!A148</f>
        <v>146</v>
      </c>
      <c r="B148" s="19">
        <f t="shared" si="4"/>
        <v>0</v>
      </c>
      <c r="C148" s="19">
        <f t="shared" si="5"/>
        <v>0</v>
      </c>
      <c r="D148" s="19">
        <f>Monthly_payment($B$1,$D$1,$B$3)*'PSA&amp;CPR（function) '!O148</f>
        <v>0</v>
      </c>
      <c r="E148" s="19">
        <f>Principle_portion_of_payment($B$1,$D$1,A148,$B$3)*'PSA&amp;CPR（function) '!O148</f>
        <v>0</v>
      </c>
      <c r="F148" s="19">
        <f>Interest_portion_of_payment($B$1,$D$1,A148,$B$3)*'PSA&amp;CPR（function) '!O148</f>
        <v>0</v>
      </c>
      <c r="G148" s="19">
        <f>(B148-E148)*'PSA&amp;CPR（function) '!G149</f>
        <v>0</v>
      </c>
      <c r="H148" s="19">
        <f>Remaining_balance($B$1,$D$1,A148,$B$3)*'PSA&amp;CPR（function) '!O149</f>
        <v>0</v>
      </c>
    </row>
    <row r="149" spans="1:8">
      <c r="A149">
        <f>'PSA&amp;CPR'!A149</f>
        <v>147</v>
      </c>
      <c r="B149" s="19">
        <f t="shared" si="4"/>
        <v>0</v>
      </c>
      <c r="C149" s="19">
        <f t="shared" si="5"/>
        <v>0</v>
      </c>
      <c r="D149" s="19">
        <f>Monthly_payment($B$1,$D$1,$B$3)*'PSA&amp;CPR（function) '!O149</f>
        <v>0</v>
      </c>
      <c r="E149" s="19">
        <f>Principle_portion_of_payment($B$1,$D$1,A149,$B$3)*'PSA&amp;CPR（function) '!O149</f>
        <v>0</v>
      </c>
      <c r="F149" s="19">
        <f>Interest_portion_of_payment($B$1,$D$1,A149,$B$3)*'PSA&amp;CPR（function) '!O149</f>
        <v>0</v>
      </c>
      <c r="G149" s="19">
        <f>(B149-E149)*'PSA&amp;CPR（function) '!G150</f>
        <v>0</v>
      </c>
      <c r="H149" s="19">
        <f>Remaining_balance($B$1,$D$1,A149,$B$3)*'PSA&amp;CPR（function) '!O150</f>
        <v>0</v>
      </c>
    </row>
    <row r="150" spans="1:8">
      <c r="A150">
        <f>'PSA&amp;CPR'!A150</f>
        <v>148</v>
      </c>
      <c r="B150" s="19">
        <f t="shared" si="4"/>
        <v>0</v>
      </c>
      <c r="C150" s="19">
        <f t="shared" si="5"/>
        <v>0</v>
      </c>
      <c r="D150" s="19">
        <f>Monthly_payment($B$1,$D$1,$B$3)*'PSA&amp;CPR（function) '!O150</f>
        <v>0</v>
      </c>
      <c r="E150" s="19">
        <f>Principle_portion_of_payment($B$1,$D$1,A150,$B$3)*'PSA&amp;CPR（function) '!O150</f>
        <v>0</v>
      </c>
      <c r="F150" s="19">
        <f>Interest_portion_of_payment($B$1,$D$1,A150,$B$3)*'PSA&amp;CPR（function) '!O150</f>
        <v>0</v>
      </c>
      <c r="G150" s="19">
        <f>(B150-E150)*'PSA&amp;CPR（function) '!G151</f>
        <v>0</v>
      </c>
      <c r="H150" s="19">
        <f>Remaining_balance($B$1,$D$1,A150,$B$3)*'PSA&amp;CPR（function) '!O151</f>
        <v>0</v>
      </c>
    </row>
    <row r="151" spans="1:8">
      <c r="A151">
        <f>'PSA&amp;CPR'!A151</f>
        <v>149</v>
      </c>
      <c r="B151" s="19">
        <f t="shared" si="4"/>
        <v>0</v>
      </c>
      <c r="C151" s="19">
        <f t="shared" si="5"/>
        <v>0</v>
      </c>
      <c r="D151" s="19">
        <f>Monthly_payment($B$1,$D$1,$B$3)*'PSA&amp;CPR（function) '!O151</f>
        <v>0</v>
      </c>
      <c r="E151" s="19">
        <f>Principle_portion_of_payment($B$1,$D$1,A151,$B$3)*'PSA&amp;CPR（function) '!O151</f>
        <v>0</v>
      </c>
      <c r="F151" s="19">
        <f>Interest_portion_of_payment($B$1,$D$1,A151,$B$3)*'PSA&amp;CPR（function) '!O151</f>
        <v>0</v>
      </c>
      <c r="G151" s="19">
        <f>(B151-E151)*'PSA&amp;CPR（function) '!G152</f>
        <v>0</v>
      </c>
      <c r="H151" s="19">
        <f>Remaining_balance($B$1,$D$1,A151,$B$3)*'PSA&amp;CPR（function) '!O152</f>
        <v>0</v>
      </c>
    </row>
    <row r="152" spans="1:8">
      <c r="A152">
        <f>'PSA&amp;CPR'!A152</f>
        <v>150</v>
      </c>
      <c r="B152" s="19">
        <f t="shared" si="4"/>
        <v>0</v>
      </c>
      <c r="C152" s="19">
        <f t="shared" si="5"/>
        <v>0</v>
      </c>
      <c r="D152" s="19">
        <f>Monthly_payment($B$1,$D$1,$B$3)*'PSA&amp;CPR（function) '!O152</f>
        <v>0</v>
      </c>
      <c r="E152" s="19">
        <f>Principle_portion_of_payment($B$1,$D$1,A152,$B$3)*'PSA&amp;CPR（function) '!O152</f>
        <v>0</v>
      </c>
      <c r="F152" s="19">
        <f>Interest_portion_of_payment($B$1,$D$1,A152,$B$3)*'PSA&amp;CPR（function) '!O152</f>
        <v>0</v>
      </c>
      <c r="G152" s="19">
        <f>(B152-E152)*'PSA&amp;CPR（function) '!G153</f>
        <v>0</v>
      </c>
      <c r="H152" s="19">
        <f>Remaining_balance($B$1,$D$1,A152,$B$3)*'PSA&amp;CPR（function) '!O153</f>
        <v>0</v>
      </c>
    </row>
    <row r="153" spans="1:8">
      <c r="A153">
        <f>'PSA&amp;CPR'!A153</f>
        <v>151</v>
      </c>
      <c r="B153" s="19">
        <f t="shared" si="4"/>
        <v>0</v>
      </c>
      <c r="C153" s="19">
        <f t="shared" si="5"/>
        <v>0</v>
      </c>
      <c r="D153" s="19">
        <f>Monthly_payment($B$1,$D$1,$B$3)*'PSA&amp;CPR（function) '!O153</f>
        <v>0</v>
      </c>
      <c r="E153" s="19">
        <f>Principle_portion_of_payment($B$1,$D$1,A153,$B$3)*'PSA&amp;CPR（function) '!O153</f>
        <v>0</v>
      </c>
      <c r="F153" s="19">
        <f>Interest_portion_of_payment($B$1,$D$1,A153,$B$3)*'PSA&amp;CPR（function) '!O153</f>
        <v>0</v>
      </c>
      <c r="G153" s="19">
        <f>(B153-E153)*'PSA&amp;CPR（function) '!G154</f>
        <v>0</v>
      </c>
      <c r="H153" s="19">
        <f>Remaining_balance($B$1,$D$1,A153,$B$3)*'PSA&amp;CPR（function) '!O154</f>
        <v>0</v>
      </c>
    </row>
    <row r="154" spans="1:8">
      <c r="A154">
        <f>'PSA&amp;CPR'!A154</f>
        <v>152</v>
      </c>
      <c r="B154" s="19">
        <f t="shared" si="4"/>
        <v>0</v>
      </c>
      <c r="C154" s="19">
        <f t="shared" si="5"/>
        <v>0</v>
      </c>
      <c r="D154" s="19">
        <f>Monthly_payment($B$1,$D$1,$B$3)*'PSA&amp;CPR（function) '!O154</f>
        <v>0</v>
      </c>
      <c r="E154" s="19">
        <f>Principle_portion_of_payment($B$1,$D$1,A154,$B$3)*'PSA&amp;CPR（function) '!O154</f>
        <v>0</v>
      </c>
      <c r="F154" s="19">
        <f>Interest_portion_of_payment($B$1,$D$1,A154,$B$3)*'PSA&amp;CPR（function) '!O154</f>
        <v>0</v>
      </c>
      <c r="G154" s="19">
        <f>(B154-E154)*'PSA&amp;CPR（function) '!G155</f>
        <v>0</v>
      </c>
      <c r="H154" s="19">
        <f>Remaining_balance($B$1,$D$1,A154,$B$3)*'PSA&amp;CPR（function) '!O155</f>
        <v>0</v>
      </c>
    </row>
    <row r="155" spans="1:8">
      <c r="A155">
        <f>'PSA&amp;CPR'!A155</f>
        <v>153</v>
      </c>
      <c r="B155" s="19">
        <f t="shared" si="4"/>
        <v>0</v>
      </c>
      <c r="C155" s="19">
        <f t="shared" si="5"/>
        <v>0</v>
      </c>
      <c r="D155" s="19">
        <f>Monthly_payment($B$1,$D$1,$B$3)*'PSA&amp;CPR（function) '!O155</f>
        <v>0</v>
      </c>
      <c r="E155" s="19">
        <f>Principle_portion_of_payment($B$1,$D$1,A155,$B$3)*'PSA&amp;CPR（function) '!O155</f>
        <v>0</v>
      </c>
      <c r="F155" s="19">
        <f>Interest_portion_of_payment($B$1,$D$1,A155,$B$3)*'PSA&amp;CPR（function) '!O155</f>
        <v>0</v>
      </c>
      <c r="G155" s="19">
        <f>(B155-E155)*'PSA&amp;CPR（function) '!G156</f>
        <v>0</v>
      </c>
      <c r="H155" s="19">
        <f>Remaining_balance($B$1,$D$1,A155,$B$3)*'PSA&amp;CPR（function) '!O156</f>
        <v>0</v>
      </c>
    </row>
    <row r="156" spans="1:8">
      <c r="A156">
        <f>'PSA&amp;CPR'!A156</f>
        <v>154</v>
      </c>
      <c r="B156" s="19">
        <f t="shared" si="4"/>
        <v>0</v>
      </c>
      <c r="C156" s="19">
        <f t="shared" si="5"/>
        <v>0</v>
      </c>
      <c r="D156" s="19">
        <f>Monthly_payment($B$1,$D$1,$B$3)*'PSA&amp;CPR（function) '!O156</f>
        <v>0</v>
      </c>
      <c r="E156" s="19">
        <f>Principle_portion_of_payment($B$1,$D$1,A156,$B$3)*'PSA&amp;CPR（function) '!O156</f>
        <v>0</v>
      </c>
      <c r="F156" s="19">
        <f>Interest_portion_of_payment($B$1,$D$1,A156,$B$3)*'PSA&amp;CPR（function) '!O156</f>
        <v>0</v>
      </c>
      <c r="G156" s="19">
        <f>(B156-E156)*'PSA&amp;CPR（function) '!G157</f>
        <v>0</v>
      </c>
      <c r="H156" s="19">
        <f>Remaining_balance($B$1,$D$1,A156,$B$3)*'PSA&amp;CPR（function) '!O157</f>
        <v>0</v>
      </c>
    </row>
    <row r="157" spans="1:8">
      <c r="A157">
        <f>'PSA&amp;CPR'!A157</f>
        <v>155</v>
      </c>
      <c r="B157" s="19">
        <f t="shared" si="4"/>
        <v>0</v>
      </c>
      <c r="C157" s="19">
        <f t="shared" si="5"/>
        <v>0</v>
      </c>
      <c r="D157" s="19">
        <f>Monthly_payment($B$1,$D$1,$B$3)*'PSA&amp;CPR（function) '!O157</f>
        <v>0</v>
      </c>
      <c r="E157" s="19">
        <f>Principle_portion_of_payment($B$1,$D$1,A157,$B$3)*'PSA&amp;CPR（function) '!O157</f>
        <v>0</v>
      </c>
      <c r="F157" s="19">
        <f>Interest_portion_of_payment($B$1,$D$1,A157,$B$3)*'PSA&amp;CPR（function) '!O157</f>
        <v>0</v>
      </c>
      <c r="G157" s="19">
        <f>(B157-E157)*'PSA&amp;CPR（function) '!G158</f>
        <v>0</v>
      </c>
      <c r="H157" s="19">
        <f>Remaining_balance($B$1,$D$1,A157,$B$3)*'PSA&amp;CPR（function) '!O158</f>
        <v>0</v>
      </c>
    </row>
    <row r="158" spans="1:8">
      <c r="A158">
        <f>'PSA&amp;CPR'!A158</f>
        <v>156</v>
      </c>
      <c r="B158" s="19">
        <f t="shared" si="4"/>
        <v>0</v>
      </c>
      <c r="C158" s="19">
        <f t="shared" si="5"/>
        <v>0</v>
      </c>
      <c r="D158" s="19">
        <f>Monthly_payment($B$1,$D$1,$B$3)*'PSA&amp;CPR（function) '!O158</f>
        <v>0</v>
      </c>
      <c r="E158" s="19">
        <f>Principle_portion_of_payment($B$1,$D$1,A158,$B$3)*'PSA&amp;CPR（function) '!O158</f>
        <v>0</v>
      </c>
      <c r="F158" s="19">
        <f>Interest_portion_of_payment($B$1,$D$1,A158,$B$3)*'PSA&amp;CPR（function) '!O158</f>
        <v>0</v>
      </c>
      <c r="G158" s="19">
        <f>(B158-E158)*'PSA&amp;CPR（function) '!G159</f>
        <v>0</v>
      </c>
      <c r="H158" s="19">
        <f>Remaining_balance($B$1,$D$1,A158,$B$3)*'PSA&amp;CPR（function) '!O159</f>
        <v>0</v>
      </c>
    </row>
    <row r="159" spans="1:8">
      <c r="A159">
        <f>'PSA&amp;CPR'!A159</f>
        <v>157</v>
      </c>
      <c r="B159" s="19">
        <f t="shared" si="4"/>
        <v>0</v>
      </c>
      <c r="C159" s="19">
        <f t="shared" si="5"/>
        <v>0</v>
      </c>
      <c r="D159" s="19">
        <f>Monthly_payment($B$1,$D$1,$B$3)*'PSA&amp;CPR（function) '!O159</f>
        <v>0</v>
      </c>
      <c r="E159" s="19">
        <f>Principle_portion_of_payment($B$1,$D$1,A159,$B$3)*'PSA&amp;CPR（function) '!O159</f>
        <v>0</v>
      </c>
      <c r="F159" s="19">
        <f>Interest_portion_of_payment($B$1,$D$1,A159,$B$3)*'PSA&amp;CPR（function) '!O159</f>
        <v>0</v>
      </c>
      <c r="G159" s="19">
        <f>(B159-E159)*'PSA&amp;CPR（function) '!G160</f>
        <v>0</v>
      </c>
      <c r="H159" s="19">
        <f>Remaining_balance($B$1,$D$1,A159,$B$3)*'PSA&amp;CPR（function) '!O160</f>
        <v>0</v>
      </c>
    </row>
    <row r="160" spans="1:8">
      <c r="A160">
        <f>'PSA&amp;CPR'!A160</f>
        <v>158</v>
      </c>
      <c r="B160" s="19">
        <f t="shared" si="4"/>
        <v>0</v>
      </c>
      <c r="C160" s="19">
        <f t="shared" si="5"/>
        <v>0</v>
      </c>
      <c r="D160" s="19">
        <f>Monthly_payment($B$1,$D$1,$B$3)*'PSA&amp;CPR（function) '!O160</f>
        <v>0</v>
      </c>
      <c r="E160" s="19">
        <f>Principle_portion_of_payment($B$1,$D$1,A160,$B$3)*'PSA&amp;CPR（function) '!O160</f>
        <v>0</v>
      </c>
      <c r="F160" s="19">
        <f>Interest_portion_of_payment($B$1,$D$1,A160,$B$3)*'PSA&amp;CPR（function) '!O160</f>
        <v>0</v>
      </c>
      <c r="G160" s="19">
        <f>(B160-E160)*'PSA&amp;CPR（function) '!G161</f>
        <v>0</v>
      </c>
      <c r="H160" s="19">
        <f>Remaining_balance($B$1,$D$1,A160,$B$3)*'PSA&amp;CPR（function) '!O161</f>
        <v>0</v>
      </c>
    </row>
    <row r="161" spans="1:8">
      <c r="A161">
        <f>'PSA&amp;CPR'!A161</f>
        <v>159</v>
      </c>
      <c r="B161" s="19">
        <f t="shared" si="4"/>
        <v>0</v>
      </c>
      <c r="C161" s="19">
        <f t="shared" si="5"/>
        <v>0</v>
      </c>
      <c r="D161" s="19">
        <f>Monthly_payment($B$1,$D$1,$B$3)*'PSA&amp;CPR（function) '!O161</f>
        <v>0</v>
      </c>
      <c r="E161" s="19">
        <f>Principle_portion_of_payment($B$1,$D$1,A161,$B$3)*'PSA&amp;CPR（function) '!O161</f>
        <v>0</v>
      </c>
      <c r="F161" s="19">
        <f>Interest_portion_of_payment($B$1,$D$1,A161,$B$3)*'PSA&amp;CPR（function) '!O161</f>
        <v>0</v>
      </c>
      <c r="G161" s="19">
        <f>(B161-E161)*'PSA&amp;CPR（function) '!G162</f>
        <v>0</v>
      </c>
      <c r="H161" s="19">
        <f>Remaining_balance($B$1,$D$1,A161,$B$3)*'PSA&amp;CPR（function) '!O162</f>
        <v>0</v>
      </c>
    </row>
    <row r="162" spans="1:8">
      <c r="A162">
        <f>'PSA&amp;CPR'!A162</f>
        <v>160</v>
      </c>
      <c r="B162" s="19">
        <f t="shared" si="4"/>
        <v>0</v>
      </c>
      <c r="C162" s="19">
        <f t="shared" si="5"/>
        <v>0</v>
      </c>
      <c r="D162" s="19">
        <f>Monthly_payment($B$1,$D$1,$B$3)*'PSA&amp;CPR（function) '!O162</f>
        <v>0</v>
      </c>
      <c r="E162" s="19">
        <f>Principle_portion_of_payment($B$1,$D$1,A162,$B$3)*'PSA&amp;CPR（function) '!O162</f>
        <v>0</v>
      </c>
      <c r="F162" s="19">
        <f>Interest_portion_of_payment($B$1,$D$1,A162,$B$3)*'PSA&amp;CPR（function) '!O162</f>
        <v>0</v>
      </c>
      <c r="G162" s="19">
        <f>(B162-E162)*'PSA&amp;CPR（function) '!G163</f>
        <v>0</v>
      </c>
      <c r="H162" s="19">
        <f>Remaining_balance($B$1,$D$1,A162,$B$3)*'PSA&amp;CPR（function) '!O163</f>
        <v>0</v>
      </c>
    </row>
    <row r="163" spans="1:8">
      <c r="A163">
        <f>'PSA&amp;CPR'!A163</f>
        <v>161</v>
      </c>
      <c r="B163" s="19">
        <f t="shared" si="4"/>
        <v>0</v>
      </c>
      <c r="C163" s="19">
        <f t="shared" si="5"/>
        <v>0</v>
      </c>
      <c r="D163" s="19">
        <f>Monthly_payment($B$1,$D$1,$B$3)*'PSA&amp;CPR（function) '!O163</f>
        <v>0</v>
      </c>
      <c r="E163" s="19">
        <f>Principle_portion_of_payment($B$1,$D$1,A163,$B$3)*'PSA&amp;CPR（function) '!O163</f>
        <v>0</v>
      </c>
      <c r="F163" s="19">
        <f>Interest_portion_of_payment($B$1,$D$1,A163,$B$3)*'PSA&amp;CPR（function) '!O163</f>
        <v>0</v>
      </c>
      <c r="G163" s="19">
        <f>(B163-E163)*'PSA&amp;CPR（function) '!G164</f>
        <v>0</v>
      </c>
      <c r="H163" s="19">
        <f>Remaining_balance($B$1,$D$1,A163,$B$3)*'PSA&amp;CPR（function) '!O164</f>
        <v>0</v>
      </c>
    </row>
    <row r="164" spans="1:8">
      <c r="A164">
        <f>'PSA&amp;CPR'!A164</f>
        <v>162</v>
      </c>
      <c r="B164" s="19">
        <f t="shared" si="4"/>
        <v>0</v>
      </c>
      <c r="C164" s="19">
        <f t="shared" si="5"/>
        <v>0</v>
      </c>
      <c r="D164" s="19">
        <f>Monthly_payment($B$1,$D$1,$B$3)*'PSA&amp;CPR（function) '!O164</f>
        <v>0</v>
      </c>
      <c r="E164" s="19">
        <f>Principle_portion_of_payment($B$1,$D$1,A164,$B$3)*'PSA&amp;CPR（function) '!O164</f>
        <v>0</v>
      </c>
      <c r="F164" s="19">
        <f>Interest_portion_of_payment($B$1,$D$1,A164,$B$3)*'PSA&amp;CPR（function) '!O164</f>
        <v>0</v>
      </c>
      <c r="G164" s="19">
        <f>(B164-E164)*'PSA&amp;CPR（function) '!G165</f>
        <v>0</v>
      </c>
      <c r="H164" s="19">
        <f>Remaining_balance($B$1,$D$1,A164,$B$3)*'PSA&amp;CPR（function) '!O165</f>
        <v>0</v>
      </c>
    </row>
    <row r="165" spans="1:8">
      <c r="A165">
        <f>'PSA&amp;CPR'!A165</f>
        <v>163</v>
      </c>
      <c r="B165" s="19">
        <f t="shared" si="4"/>
        <v>0</v>
      </c>
      <c r="C165" s="19">
        <f t="shared" si="5"/>
        <v>0</v>
      </c>
      <c r="D165" s="19">
        <f>Monthly_payment($B$1,$D$1,$B$3)*'PSA&amp;CPR（function) '!O165</f>
        <v>0</v>
      </c>
      <c r="E165" s="19">
        <f>Principle_portion_of_payment($B$1,$D$1,A165,$B$3)*'PSA&amp;CPR（function) '!O165</f>
        <v>0</v>
      </c>
      <c r="F165" s="19">
        <f>Interest_portion_of_payment($B$1,$D$1,A165,$B$3)*'PSA&amp;CPR（function) '!O165</f>
        <v>0</v>
      </c>
      <c r="G165" s="19">
        <f>(B165-E165)*'PSA&amp;CPR（function) '!G166</f>
        <v>0</v>
      </c>
      <c r="H165" s="19">
        <f>Remaining_balance($B$1,$D$1,A165,$B$3)*'PSA&amp;CPR（function) '!O166</f>
        <v>0</v>
      </c>
    </row>
    <row r="166" spans="1:8">
      <c r="A166">
        <f>'PSA&amp;CPR'!A166</f>
        <v>164</v>
      </c>
      <c r="B166" s="19">
        <f t="shared" si="4"/>
        <v>0</v>
      </c>
      <c r="C166" s="19">
        <f t="shared" si="5"/>
        <v>0</v>
      </c>
      <c r="D166" s="19">
        <f>Monthly_payment($B$1,$D$1,$B$3)*'PSA&amp;CPR（function) '!O166</f>
        <v>0</v>
      </c>
      <c r="E166" s="19">
        <f>Principle_portion_of_payment($B$1,$D$1,A166,$B$3)*'PSA&amp;CPR（function) '!O166</f>
        <v>0</v>
      </c>
      <c r="F166" s="19">
        <f>Interest_portion_of_payment($B$1,$D$1,A166,$B$3)*'PSA&amp;CPR（function) '!O166</f>
        <v>0</v>
      </c>
      <c r="G166" s="19">
        <f>(B166-E166)*'PSA&amp;CPR（function) '!G167</f>
        <v>0</v>
      </c>
      <c r="H166" s="19">
        <f>Remaining_balance($B$1,$D$1,A166,$B$3)*'PSA&amp;CPR（function) '!O167</f>
        <v>0</v>
      </c>
    </row>
    <row r="167" spans="1:8">
      <c r="A167">
        <f>'PSA&amp;CPR'!A167</f>
        <v>165</v>
      </c>
      <c r="B167" s="19">
        <f t="shared" si="4"/>
        <v>0</v>
      </c>
      <c r="C167" s="19">
        <f t="shared" si="5"/>
        <v>0</v>
      </c>
      <c r="D167" s="19">
        <f>Monthly_payment($B$1,$D$1,$B$3)*'PSA&amp;CPR（function) '!O167</f>
        <v>0</v>
      </c>
      <c r="E167" s="19">
        <f>Principle_portion_of_payment($B$1,$D$1,A167,$B$3)*'PSA&amp;CPR（function) '!O167</f>
        <v>0</v>
      </c>
      <c r="F167" s="19">
        <f>Interest_portion_of_payment($B$1,$D$1,A167,$B$3)*'PSA&amp;CPR（function) '!O167</f>
        <v>0</v>
      </c>
      <c r="G167" s="19">
        <f>(B167-E167)*'PSA&amp;CPR（function) '!G168</f>
        <v>0</v>
      </c>
      <c r="H167" s="19">
        <f>Remaining_balance($B$1,$D$1,A167,$B$3)*'PSA&amp;CPR（function) '!O168</f>
        <v>0</v>
      </c>
    </row>
    <row r="168" spans="1:8">
      <c r="A168">
        <f>'PSA&amp;CPR'!A168</f>
        <v>166</v>
      </c>
      <c r="B168" s="19">
        <f t="shared" si="4"/>
        <v>0</v>
      </c>
      <c r="C168" s="19">
        <f t="shared" si="5"/>
        <v>0</v>
      </c>
      <c r="D168" s="19">
        <f>Monthly_payment($B$1,$D$1,$B$3)*'PSA&amp;CPR（function) '!O168</f>
        <v>0</v>
      </c>
      <c r="E168" s="19">
        <f>Principle_portion_of_payment($B$1,$D$1,A168,$B$3)*'PSA&amp;CPR（function) '!O168</f>
        <v>0</v>
      </c>
      <c r="F168" s="19">
        <f>Interest_portion_of_payment($B$1,$D$1,A168,$B$3)*'PSA&amp;CPR（function) '!O168</f>
        <v>0</v>
      </c>
      <c r="G168" s="19">
        <f>(B168-E168)*'PSA&amp;CPR（function) '!G169</f>
        <v>0</v>
      </c>
      <c r="H168" s="19">
        <f>Remaining_balance($B$1,$D$1,A168,$B$3)*'PSA&amp;CPR（function) '!O169</f>
        <v>0</v>
      </c>
    </row>
    <row r="169" spans="1:8">
      <c r="A169">
        <f>'PSA&amp;CPR'!A169</f>
        <v>167</v>
      </c>
      <c r="B169" s="19">
        <f t="shared" si="4"/>
        <v>0</v>
      </c>
      <c r="C169" s="19">
        <f t="shared" si="5"/>
        <v>0</v>
      </c>
      <c r="D169" s="19">
        <f>Monthly_payment($B$1,$D$1,$B$3)*'PSA&amp;CPR（function) '!O169</f>
        <v>0</v>
      </c>
      <c r="E169" s="19">
        <f>Principle_portion_of_payment($B$1,$D$1,A169,$B$3)*'PSA&amp;CPR（function) '!O169</f>
        <v>0</v>
      </c>
      <c r="F169" s="19">
        <f>Interest_portion_of_payment($B$1,$D$1,A169,$B$3)*'PSA&amp;CPR（function) '!O169</f>
        <v>0</v>
      </c>
      <c r="G169" s="19">
        <f>(B169-E169)*'PSA&amp;CPR（function) '!G170</f>
        <v>0</v>
      </c>
      <c r="H169" s="19">
        <f>Remaining_balance($B$1,$D$1,A169,$B$3)*'PSA&amp;CPR（function) '!O170</f>
        <v>0</v>
      </c>
    </row>
    <row r="170" spans="1:8">
      <c r="A170">
        <f>'PSA&amp;CPR'!A170</f>
        <v>168</v>
      </c>
      <c r="B170" s="19">
        <f t="shared" si="4"/>
        <v>0</v>
      </c>
      <c r="C170" s="19">
        <f t="shared" si="5"/>
        <v>0</v>
      </c>
      <c r="D170" s="19">
        <f>Monthly_payment($B$1,$D$1,$B$3)*'PSA&amp;CPR（function) '!O170</f>
        <v>0</v>
      </c>
      <c r="E170" s="19">
        <f>Principle_portion_of_payment($B$1,$D$1,A170,$B$3)*'PSA&amp;CPR（function) '!O170</f>
        <v>0</v>
      </c>
      <c r="F170" s="19">
        <f>Interest_portion_of_payment($B$1,$D$1,A170,$B$3)*'PSA&amp;CPR（function) '!O170</f>
        <v>0</v>
      </c>
      <c r="G170" s="19">
        <f>(B170-E170)*'PSA&amp;CPR（function) '!G171</f>
        <v>0</v>
      </c>
      <c r="H170" s="19">
        <f>Remaining_balance($B$1,$D$1,A170,$B$3)*'PSA&amp;CPR（function) '!O171</f>
        <v>0</v>
      </c>
    </row>
    <row r="171" spans="1:8">
      <c r="A171">
        <f>'PSA&amp;CPR'!A171</f>
        <v>169</v>
      </c>
      <c r="B171" s="19">
        <f t="shared" si="4"/>
        <v>0</v>
      </c>
      <c r="C171" s="19">
        <f t="shared" si="5"/>
        <v>0</v>
      </c>
      <c r="D171" s="19">
        <f>Monthly_payment($B$1,$D$1,$B$3)*'PSA&amp;CPR（function) '!O171</f>
        <v>0</v>
      </c>
      <c r="E171" s="19">
        <f>Principle_portion_of_payment($B$1,$D$1,A171,$B$3)*'PSA&amp;CPR（function) '!O171</f>
        <v>0</v>
      </c>
      <c r="F171" s="19">
        <f>Interest_portion_of_payment($B$1,$D$1,A171,$B$3)*'PSA&amp;CPR（function) '!O171</f>
        <v>0</v>
      </c>
      <c r="G171" s="19">
        <f>(B171-E171)*'PSA&amp;CPR（function) '!G172</f>
        <v>0</v>
      </c>
      <c r="H171" s="19">
        <f>Remaining_balance($B$1,$D$1,A171,$B$3)*'PSA&amp;CPR（function) '!O172</f>
        <v>0</v>
      </c>
    </row>
    <row r="172" spans="1:8">
      <c r="A172">
        <f>'PSA&amp;CPR'!A172</f>
        <v>170</v>
      </c>
      <c r="B172" s="19">
        <f t="shared" si="4"/>
        <v>0</v>
      </c>
      <c r="C172" s="19">
        <f t="shared" si="5"/>
        <v>0</v>
      </c>
      <c r="D172" s="19">
        <f>Monthly_payment($B$1,$D$1,$B$3)*'PSA&amp;CPR（function) '!O172</f>
        <v>0</v>
      </c>
      <c r="E172" s="19">
        <f>Principle_portion_of_payment($B$1,$D$1,A172,$B$3)*'PSA&amp;CPR（function) '!O172</f>
        <v>0</v>
      </c>
      <c r="F172" s="19">
        <f>Interest_portion_of_payment($B$1,$D$1,A172,$B$3)*'PSA&amp;CPR（function) '!O172</f>
        <v>0</v>
      </c>
      <c r="G172" s="19">
        <f>(B172-E172)*'PSA&amp;CPR（function) '!G173</f>
        <v>0</v>
      </c>
      <c r="H172" s="19">
        <f>Remaining_balance($B$1,$D$1,A172,$B$3)*'PSA&amp;CPR（function) '!O173</f>
        <v>0</v>
      </c>
    </row>
    <row r="173" spans="1:8">
      <c r="A173">
        <f>'PSA&amp;CPR'!A173</f>
        <v>171</v>
      </c>
      <c r="B173" s="19">
        <f t="shared" si="4"/>
        <v>0</v>
      </c>
      <c r="C173" s="19">
        <f t="shared" si="5"/>
        <v>0</v>
      </c>
      <c r="D173" s="19">
        <f>Monthly_payment($B$1,$D$1,$B$3)*'PSA&amp;CPR（function) '!O173</f>
        <v>0</v>
      </c>
      <c r="E173" s="19">
        <f>Principle_portion_of_payment($B$1,$D$1,A173,$B$3)*'PSA&amp;CPR（function) '!O173</f>
        <v>0</v>
      </c>
      <c r="F173" s="19">
        <f>Interest_portion_of_payment($B$1,$D$1,A173,$B$3)*'PSA&amp;CPR（function) '!O173</f>
        <v>0</v>
      </c>
      <c r="G173" s="19">
        <f>(B173-E173)*'PSA&amp;CPR（function) '!G174</f>
        <v>0</v>
      </c>
      <c r="H173" s="19">
        <f>Remaining_balance($B$1,$D$1,A173,$B$3)*'PSA&amp;CPR（function) '!O174</f>
        <v>0</v>
      </c>
    </row>
    <row r="174" spans="1:8">
      <c r="A174">
        <f>'PSA&amp;CPR'!A174</f>
        <v>172</v>
      </c>
      <c r="B174" s="19">
        <f t="shared" si="4"/>
        <v>0</v>
      </c>
      <c r="C174" s="19">
        <f t="shared" si="5"/>
        <v>0</v>
      </c>
      <c r="D174" s="19">
        <f>Monthly_payment($B$1,$D$1,$B$3)*'PSA&amp;CPR（function) '!O174</f>
        <v>0</v>
      </c>
      <c r="E174" s="19">
        <f>Principle_portion_of_payment($B$1,$D$1,A174,$B$3)*'PSA&amp;CPR（function) '!O174</f>
        <v>0</v>
      </c>
      <c r="F174" s="19">
        <f>Interest_portion_of_payment($B$1,$D$1,A174,$B$3)*'PSA&amp;CPR（function) '!O174</f>
        <v>0</v>
      </c>
      <c r="G174" s="19">
        <f>(B174-E174)*'PSA&amp;CPR（function) '!G175</f>
        <v>0</v>
      </c>
      <c r="H174" s="19">
        <f>Remaining_balance($B$1,$D$1,A174,$B$3)*'PSA&amp;CPR（function) '!O175</f>
        <v>0</v>
      </c>
    </row>
    <row r="175" spans="1:8">
      <c r="A175">
        <f>'PSA&amp;CPR'!A175</f>
        <v>173</v>
      </c>
      <c r="B175" s="19">
        <f t="shared" si="4"/>
        <v>0</v>
      </c>
      <c r="C175" s="19">
        <f t="shared" si="5"/>
        <v>0</v>
      </c>
      <c r="D175" s="19">
        <f>Monthly_payment($B$1,$D$1,$B$3)*'PSA&amp;CPR（function) '!O175</f>
        <v>0</v>
      </c>
      <c r="E175" s="19">
        <f>Principle_portion_of_payment($B$1,$D$1,A175,$B$3)*'PSA&amp;CPR（function) '!O175</f>
        <v>0</v>
      </c>
      <c r="F175" s="19">
        <f>Interest_portion_of_payment($B$1,$D$1,A175,$B$3)*'PSA&amp;CPR（function) '!O175</f>
        <v>0</v>
      </c>
      <c r="G175" s="19">
        <f>(B175-E175)*'PSA&amp;CPR（function) '!G176</f>
        <v>0</v>
      </c>
      <c r="H175" s="19">
        <f>Remaining_balance($B$1,$D$1,A175,$B$3)*'PSA&amp;CPR（function) '!O176</f>
        <v>0</v>
      </c>
    </row>
    <row r="176" spans="1:8">
      <c r="A176">
        <f>'PSA&amp;CPR'!A176</f>
        <v>174</v>
      </c>
      <c r="B176" s="19">
        <f t="shared" si="4"/>
        <v>0</v>
      </c>
      <c r="C176" s="19">
        <f t="shared" si="5"/>
        <v>0</v>
      </c>
      <c r="D176" s="19">
        <f>Monthly_payment($B$1,$D$1,$B$3)*'PSA&amp;CPR（function) '!O176</f>
        <v>0</v>
      </c>
      <c r="E176" s="19">
        <f>Principle_portion_of_payment($B$1,$D$1,A176,$B$3)*'PSA&amp;CPR（function) '!O176</f>
        <v>0</v>
      </c>
      <c r="F176" s="19">
        <f>Interest_portion_of_payment($B$1,$D$1,A176,$B$3)*'PSA&amp;CPR（function) '!O176</f>
        <v>0</v>
      </c>
      <c r="G176" s="19">
        <f>(B176-E176)*'PSA&amp;CPR（function) '!G177</f>
        <v>0</v>
      </c>
      <c r="H176" s="19">
        <f>Remaining_balance($B$1,$D$1,A176,$B$3)*'PSA&amp;CPR（function) '!O177</f>
        <v>0</v>
      </c>
    </row>
    <row r="177" spans="1:8">
      <c r="A177">
        <f>'PSA&amp;CPR'!A177</f>
        <v>175</v>
      </c>
      <c r="B177" s="19">
        <f t="shared" si="4"/>
        <v>0</v>
      </c>
      <c r="C177" s="19">
        <f t="shared" si="5"/>
        <v>0</v>
      </c>
      <c r="D177" s="19">
        <f>Monthly_payment($B$1,$D$1,$B$3)*'PSA&amp;CPR（function) '!O177</f>
        <v>0</v>
      </c>
      <c r="E177" s="19">
        <f>Principle_portion_of_payment($B$1,$D$1,A177,$B$3)*'PSA&amp;CPR（function) '!O177</f>
        <v>0</v>
      </c>
      <c r="F177" s="19">
        <f>Interest_portion_of_payment($B$1,$D$1,A177,$B$3)*'PSA&amp;CPR（function) '!O177</f>
        <v>0</v>
      </c>
      <c r="G177" s="19">
        <f>(B177-E177)*'PSA&amp;CPR（function) '!G178</f>
        <v>0</v>
      </c>
      <c r="H177" s="19">
        <f>Remaining_balance($B$1,$D$1,A177,$B$3)*'PSA&amp;CPR（function) '!O178</f>
        <v>0</v>
      </c>
    </row>
    <row r="178" spans="1:8">
      <c r="A178">
        <f>'PSA&amp;CPR'!A178</f>
        <v>176</v>
      </c>
      <c r="B178" s="19">
        <f t="shared" si="4"/>
        <v>0</v>
      </c>
      <c r="C178" s="19">
        <f t="shared" si="5"/>
        <v>0</v>
      </c>
      <c r="D178" s="19">
        <f>Monthly_payment($B$1,$D$1,$B$3)*'PSA&amp;CPR（function) '!O178</f>
        <v>0</v>
      </c>
      <c r="E178" s="19">
        <f>Principle_portion_of_payment($B$1,$D$1,A178,$B$3)*'PSA&amp;CPR（function) '!O178</f>
        <v>0</v>
      </c>
      <c r="F178" s="19">
        <f>Interest_portion_of_payment($B$1,$D$1,A178,$B$3)*'PSA&amp;CPR（function) '!O178</f>
        <v>0</v>
      </c>
      <c r="G178" s="19">
        <f>(B178-E178)*'PSA&amp;CPR（function) '!G179</f>
        <v>0</v>
      </c>
      <c r="H178" s="19">
        <f>Remaining_balance($B$1,$D$1,A178,$B$3)*'PSA&amp;CPR（function) '!O179</f>
        <v>0</v>
      </c>
    </row>
    <row r="179" spans="1:8">
      <c r="A179">
        <f>'PSA&amp;CPR'!A179</f>
        <v>177</v>
      </c>
      <c r="B179" s="19">
        <f t="shared" si="4"/>
        <v>0</v>
      </c>
      <c r="C179" s="19">
        <f t="shared" si="5"/>
        <v>0</v>
      </c>
      <c r="D179" s="19">
        <f>Monthly_payment($B$1,$D$1,$B$3)*'PSA&amp;CPR（function) '!O179</f>
        <v>0</v>
      </c>
      <c r="E179" s="19">
        <f>Principle_portion_of_payment($B$1,$D$1,A179,$B$3)*'PSA&amp;CPR（function) '!O179</f>
        <v>0</v>
      </c>
      <c r="F179" s="19">
        <f>Interest_portion_of_payment($B$1,$D$1,A179,$B$3)*'PSA&amp;CPR（function) '!O179</f>
        <v>0</v>
      </c>
      <c r="G179" s="19">
        <f>(B179-E179)*'PSA&amp;CPR（function) '!G180</f>
        <v>0</v>
      </c>
      <c r="H179" s="19">
        <f>Remaining_balance($B$1,$D$1,A179,$B$3)*'PSA&amp;CPR（function) '!O180</f>
        <v>0</v>
      </c>
    </row>
    <row r="180" spans="1:8">
      <c r="A180">
        <f>'PSA&amp;CPR'!A180</f>
        <v>178</v>
      </c>
      <c r="B180" s="19">
        <f t="shared" si="4"/>
        <v>0</v>
      </c>
      <c r="C180" s="19">
        <f t="shared" si="5"/>
        <v>0</v>
      </c>
      <c r="D180" s="19">
        <f>Monthly_payment($B$1,$D$1,$B$3)*'PSA&amp;CPR（function) '!O180</f>
        <v>0</v>
      </c>
      <c r="E180" s="19">
        <f>Principle_portion_of_payment($B$1,$D$1,A180,$B$3)*'PSA&amp;CPR（function) '!O180</f>
        <v>0</v>
      </c>
      <c r="F180" s="19">
        <f>Interest_portion_of_payment($B$1,$D$1,A180,$B$3)*'PSA&amp;CPR（function) '!O180</f>
        <v>0</v>
      </c>
      <c r="G180" s="19">
        <f>(B180-E180)*'PSA&amp;CPR（function) '!G181</f>
        <v>0</v>
      </c>
      <c r="H180" s="19">
        <f>Remaining_balance($B$1,$D$1,A180,$B$3)*'PSA&amp;CPR（function) '!O181</f>
        <v>0</v>
      </c>
    </row>
    <row r="181" spans="1:8">
      <c r="A181">
        <f>'PSA&amp;CPR'!A181</f>
        <v>179</v>
      </c>
      <c r="B181" s="19">
        <f t="shared" si="4"/>
        <v>0</v>
      </c>
      <c r="C181" s="19">
        <f t="shared" si="5"/>
        <v>0</v>
      </c>
      <c r="D181" s="19">
        <f>Monthly_payment($B$1,$D$1,$B$3)*'PSA&amp;CPR（function) '!O181</f>
        <v>0</v>
      </c>
      <c r="E181" s="19">
        <f>Principle_portion_of_payment($B$1,$D$1,A181,$B$3)*'PSA&amp;CPR（function) '!O181</f>
        <v>0</v>
      </c>
      <c r="F181" s="19">
        <f>Interest_portion_of_payment($B$1,$D$1,A181,$B$3)*'PSA&amp;CPR（function) '!O181</f>
        <v>0</v>
      </c>
      <c r="G181" s="19">
        <f>(B181-E181)*'PSA&amp;CPR（function) '!G182</f>
        <v>0</v>
      </c>
      <c r="H181" s="19">
        <f>Remaining_balance($B$1,$D$1,A181,$B$3)*'PSA&amp;CPR（function) '!O182</f>
        <v>0</v>
      </c>
    </row>
    <row r="182" spans="1:8">
      <c r="A182">
        <f>'PSA&amp;CPR'!A182</f>
        <v>180</v>
      </c>
      <c r="B182" s="19">
        <f t="shared" si="4"/>
        <v>0</v>
      </c>
      <c r="C182" s="19">
        <f t="shared" si="5"/>
        <v>0</v>
      </c>
      <c r="D182" s="19">
        <f>Monthly_payment($B$1,$D$1,$B$3)*'PSA&amp;CPR（function) '!O182</f>
        <v>0</v>
      </c>
      <c r="E182" s="19">
        <f>Principle_portion_of_payment($B$1,$D$1,A182,$B$3)*'PSA&amp;CPR（function) '!O182</f>
        <v>0</v>
      </c>
      <c r="F182" s="19">
        <f>Interest_portion_of_payment($B$1,$D$1,A182,$B$3)*'PSA&amp;CPR（function) '!O182</f>
        <v>0</v>
      </c>
      <c r="G182" s="19">
        <f>(B182-E182)*'PSA&amp;CPR（function) '!G183</f>
        <v>0</v>
      </c>
      <c r="H182" s="19">
        <f>Remaining_balance($B$1,$D$1,A182,$B$3)*'PSA&amp;CPR（function) '!O183</f>
        <v>0</v>
      </c>
    </row>
    <row r="183" spans="1:8">
      <c r="A183">
        <f>'PSA&amp;CPR'!A183</f>
        <v>181</v>
      </c>
      <c r="B183" s="19">
        <f t="shared" si="4"/>
        <v>0</v>
      </c>
      <c r="C183" s="19">
        <f t="shared" si="5"/>
        <v>0</v>
      </c>
      <c r="D183" s="19">
        <f>Monthly_payment($B$1,$D$1,$B$3)*'PSA&amp;CPR（function) '!O183</f>
        <v>0</v>
      </c>
      <c r="E183" s="19">
        <f>Principle_portion_of_payment($B$1,$D$1,A183,$B$3)*'PSA&amp;CPR（function) '!O183</f>
        <v>0</v>
      </c>
      <c r="F183" s="19">
        <f>Interest_portion_of_payment($B$1,$D$1,A183,$B$3)*'PSA&amp;CPR（function) '!O183</f>
        <v>0</v>
      </c>
      <c r="G183" s="19">
        <f>(B183-E183)*'PSA&amp;CPR（function) '!G184</f>
        <v>0</v>
      </c>
      <c r="H183" s="19">
        <f>Remaining_balance($B$1,$D$1,A183,$B$3)*'PSA&amp;CPR（function) '!O184</f>
        <v>0</v>
      </c>
    </row>
    <row r="184" spans="1:8">
      <c r="A184">
        <f>'PSA&amp;CPR'!A184</f>
        <v>182</v>
      </c>
      <c r="B184" s="19">
        <f t="shared" si="4"/>
        <v>0</v>
      </c>
      <c r="C184" s="19">
        <f t="shared" si="5"/>
        <v>0</v>
      </c>
      <c r="D184" s="19">
        <f>Monthly_payment($B$1,$D$1,$B$3)*'PSA&amp;CPR（function) '!O184</f>
        <v>0</v>
      </c>
      <c r="E184" s="19">
        <f>Principle_portion_of_payment($B$1,$D$1,A184,$B$3)*'PSA&amp;CPR（function) '!O184</f>
        <v>0</v>
      </c>
      <c r="F184" s="19">
        <f>Interest_portion_of_payment($B$1,$D$1,A184,$B$3)*'PSA&amp;CPR（function) '!O184</f>
        <v>0</v>
      </c>
      <c r="G184" s="19">
        <f>(B184-E184)*'PSA&amp;CPR（function) '!G185</f>
        <v>0</v>
      </c>
      <c r="H184" s="19">
        <f>Remaining_balance($B$1,$D$1,A184,$B$3)*'PSA&amp;CPR（function) '!O185</f>
        <v>0</v>
      </c>
    </row>
    <row r="185" spans="1:8">
      <c r="A185">
        <f>'PSA&amp;CPR'!A185</f>
        <v>183</v>
      </c>
      <c r="B185" s="19">
        <f t="shared" si="4"/>
        <v>0</v>
      </c>
      <c r="C185" s="19">
        <f t="shared" si="5"/>
        <v>0</v>
      </c>
      <c r="D185" s="19">
        <f>Monthly_payment($B$1,$D$1,$B$3)*'PSA&amp;CPR（function) '!O185</f>
        <v>0</v>
      </c>
      <c r="E185" s="19">
        <f>Principle_portion_of_payment($B$1,$D$1,A185,$B$3)*'PSA&amp;CPR（function) '!O185</f>
        <v>0</v>
      </c>
      <c r="F185" s="19">
        <f>Interest_portion_of_payment($B$1,$D$1,A185,$B$3)*'PSA&amp;CPR（function) '!O185</f>
        <v>0</v>
      </c>
      <c r="G185" s="19">
        <f>(B185-E185)*'PSA&amp;CPR（function) '!G186</f>
        <v>0</v>
      </c>
      <c r="H185" s="19">
        <f>Remaining_balance($B$1,$D$1,A185,$B$3)*'PSA&amp;CPR（function) '!O186</f>
        <v>0</v>
      </c>
    </row>
    <row r="186" spans="1:8">
      <c r="A186">
        <f>'PSA&amp;CPR'!A186</f>
        <v>184</v>
      </c>
      <c r="B186" s="19">
        <f t="shared" si="4"/>
        <v>0</v>
      </c>
      <c r="C186" s="19">
        <f t="shared" si="5"/>
        <v>0</v>
      </c>
      <c r="D186" s="19">
        <f>Monthly_payment($B$1,$D$1,$B$3)*'PSA&amp;CPR（function) '!O186</f>
        <v>0</v>
      </c>
      <c r="E186" s="19">
        <f>Principle_portion_of_payment($B$1,$D$1,A186,$B$3)*'PSA&amp;CPR（function) '!O186</f>
        <v>0</v>
      </c>
      <c r="F186" s="19">
        <f>Interest_portion_of_payment($B$1,$D$1,A186,$B$3)*'PSA&amp;CPR（function) '!O186</f>
        <v>0</v>
      </c>
      <c r="G186" s="19">
        <f>(B186-E186)*'PSA&amp;CPR（function) '!G187</f>
        <v>0</v>
      </c>
      <c r="H186" s="19">
        <f>Remaining_balance($B$1,$D$1,A186,$B$3)*'PSA&amp;CPR（function) '!O187</f>
        <v>0</v>
      </c>
    </row>
    <row r="187" spans="1:8">
      <c r="A187">
        <f>'PSA&amp;CPR'!A187</f>
        <v>185</v>
      </c>
      <c r="B187" s="19">
        <f t="shared" si="4"/>
        <v>0</v>
      </c>
      <c r="C187" s="19">
        <f t="shared" si="5"/>
        <v>0</v>
      </c>
      <c r="D187" s="19">
        <f>Monthly_payment($B$1,$D$1,$B$3)*'PSA&amp;CPR（function) '!O187</f>
        <v>0</v>
      </c>
      <c r="E187" s="19">
        <f>Principle_portion_of_payment($B$1,$D$1,A187,$B$3)*'PSA&amp;CPR（function) '!O187</f>
        <v>0</v>
      </c>
      <c r="F187" s="19">
        <f>Interest_portion_of_payment($B$1,$D$1,A187,$B$3)*'PSA&amp;CPR（function) '!O187</f>
        <v>0</v>
      </c>
      <c r="G187" s="19">
        <f>(B187-E187)*'PSA&amp;CPR（function) '!G188</f>
        <v>0</v>
      </c>
      <c r="H187" s="19">
        <f>Remaining_balance($B$1,$D$1,A187,$B$3)*'PSA&amp;CPR（function) '!O188</f>
        <v>0</v>
      </c>
    </row>
    <row r="188" spans="1:8">
      <c r="A188">
        <f>'PSA&amp;CPR'!A188</f>
        <v>186</v>
      </c>
      <c r="B188" s="19">
        <f t="shared" si="4"/>
        <v>0</v>
      </c>
      <c r="C188" s="19">
        <f t="shared" si="5"/>
        <v>0</v>
      </c>
      <c r="D188" s="19">
        <f>Monthly_payment($B$1,$D$1,$B$3)*'PSA&amp;CPR（function) '!O188</f>
        <v>0</v>
      </c>
      <c r="E188" s="19">
        <f>Principle_portion_of_payment($B$1,$D$1,A188,$B$3)*'PSA&amp;CPR（function) '!O188</f>
        <v>0</v>
      </c>
      <c r="F188" s="19">
        <f>Interest_portion_of_payment($B$1,$D$1,A188,$B$3)*'PSA&amp;CPR（function) '!O188</f>
        <v>0</v>
      </c>
      <c r="G188" s="19">
        <f>(B188-E188)*'PSA&amp;CPR（function) '!G189</f>
        <v>0</v>
      </c>
      <c r="H188" s="19">
        <f>Remaining_balance($B$1,$D$1,A188,$B$3)*'PSA&amp;CPR（function) '!O189</f>
        <v>0</v>
      </c>
    </row>
    <row r="189" spans="1:8">
      <c r="A189">
        <f>'PSA&amp;CPR'!A189</f>
        <v>187</v>
      </c>
      <c r="B189" s="19">
        <f t="shared" si="4"/>
        <v>0</v>
      </c>
      <c r="C189" s="19">
        <f t="shared" si="5"/>
        <v>0</v>
      </c>
      <c r="D189" s="19">
        <f>Monthly_payment($B$1,$D$1,$B$3)*'PSA&amp;CPR（function) '!O189</f>
        <v>0</v>
      </c>
      <c r="E189" s="19">
        <f>Principle_portion_of_payment($B$1,$D$1,A189,$B$3)*'PSA&amp;CPR（function) '!O189</f>
        <v>0</v>
      </c>
      <c r="F189" s="19">
        <f>Interest_portion_of_payment($B$1,$D$1,A189,$B$3)*'PSA&amp;CPR（function) '!O189</f>
        <v>0</v>
      </c>
      <c r="G189" s="19">
        <f>(B189-E189)*'PSA&amp;CPR（function) '!G190</f>
        <v>0</v>
      </c>
      <c r="H189" s="19">
        <f>Remaining_balance($B$1,$D$1,A189,$B$3)*'PSA&amp;CPR（function) '!O190</f>
        <v>0</v>
      </c>
    </row>
    <row r="190" spans="1:8">
      <c r="A190">
        <f>'PSA&amp;CPR'!A190</f>
        <v>188</v>
      </c>
      <c r="B190" s="19">
        <f t="shared" si="4"/>
        <v>0</v>
      </c>
      <c r="C190" s="19">
        <f t="shared" si="5"/>
        <v>0</v>
      </c>
      <c r="D190" s="19">
        <f>Monthly_payment($B$1,$D$1,$B$3)*'PSA&amp;CPR（function) '!O190</f>
        <v>0</v>
      </c>
      <c r="E190" s="19">
        <f>Principle_portion_of_payment($B$1,$D$1,A190,$B$3)*'PSA&amp;CPR（function) '!O190</f>
        <v>0</v>
      </c>
      <c r="F190" s="19">
        <f>Interest_portion_of_payment($B$1,$D$1,A190,$B$3)*'PSA&amp;CPR（function) '!O190</f>
        <v>0</v>
      </c>
      <c r="G190" s="19">
        <f>(B190-E190)*'PSA&amp;CPR（function) '!G191</f>
        <v>0</v>
      </c>
      <c r="H190" s="19">
        <f>Remaining_balance($B$1,$D$1,A190,$B$3)*'PSA&amp;CPR（function) '!O191</f>
        <v>0</v>
      </c>
    </row>
    <row r="191" spans="1:8">
      <c r="A191">
        <f>'PSA&amp;CPR'!A191</f>
        <v>189</v>
      </c>
      <c r="B191" s="19">
        <f t="shared" si="4"/>
        <v>0</v>
      </c>
      <c r="C191" s="19">
        <f t="shared" si="5"/>
        <v>0</v>
      </c>
      <c r="D191" s="19">
        <f>Monthly_payment($B$1,$D$1,$B$3)*'PSA&amp;CPR（function) '!O191</f>
        <v>0</v>
      </c>
      <c r="E191" s="19">
        <f>Principle_portion_of_payment($B$1,$D$1,A191,$B$3)*'PSA&amp;CPR（function) '!O191</f>
        <v>0</v>
      </c>
      <c r="F191" s="19">
        <f>Interest_portion_of_payment($B$1,$D$1,A191,$B$3)*'PSA&amp;CPR（function) '!O191</f>
        <v>0</v>
      </c>
      <c r="G191" s="19">
        <f>(B191-E191)*'PSA&amp;CPR（function) '!G192</f>
        <v>0</v>
      </c>
      <c r="H191" s="19">
        <f>Remaining_balance($B$1,$D$1,A191,$B$3)*'PSA&amp;CPR（function) '!O192</f>
        <v>0</v>
      </c>
    </row>
    <row r="192" spans="1:8">
      <c r="A192">
        <f>'PSA&amp;CPR'!A192</f>
        <v>190</v>
      </c>
      <c r="B192" s="19">
        <f t="shared" si="4"/>
        <v>0</v>
      </c>
      <c r="C192" s="19">
        <f t="shared" si="5"/>
        <v>0</v>
      </c>
      <c r="D192" s="19">
        <f>Monthly_payment($B$1,$D$1,$B$3)*'PSA&amp;CPR（function) '!O192</f>
        <v>0</v>
      </c>
      <c r="E192" s="19">
        <f>Principle_portion_of_payment($B$1,$D$1,A192,$B$3)*'PSA&amp;CPR（function) '!O192</f>
        <v>0</v>
      </c>
      <c r="F192" s="19">
        <f>Interest_portion_of_payment($B$1,$D$1,A192,$B$3)*'PSA&amp;CPR（function) '!O192</f>
        <v>0</v>
      </c>
      <c r="G192" s="19">
        <f>(B192-E192)*'PSA&amp;CPR（function) '!G193</f>
        <v>0</v>
      </c>
      <c r="H192" s="19">
        <f>Remaining_balance($B$1,$D$1,A192,$B$3)*'PSA&amp;CPR（function) '!O193</f>
        <v>0</v>
      </c>
    </row>
    <row r="193" spans="1:8">
      <c r="A193">
        <f>'PSA&amp;CPR'!A193</f>
        <v>191</v>
      </c>
      <c r="B193" s="19">
        <f t="shared" si="4"/>
        <v>0</v>
      </c>
      <c r="C193" s="19">
        <f t="shared" si="5"/>
        <v>0</v>
      </c>
      <c r="D193" s="19">
        <f>Monthly_payment($B$1,$D$1,$B$3)*'PSA&amp;CPR（function) '!O193</f>
        <v>0</v>
      </c>
      <c r="E193" s="19">
        <f>Principle_portion_of_payment($B$1,$D$1,A193,$B$3)*'PSA&amp;CPR（function) '!O193</f>
        <v>0</v>
      </c>
      <c r="F193" s="19">
        <f>Interest_portion_of_payment($B$1,$D$1,A193,$B$3)*'PSA&amp;CPR（function) '!O193</f>
        <v>0</v>
      </c>
      <c r="G193" s="19">
        <f>(B193-E193)*'PSA&amp;CPR（function) '!G194</f>
        <v>0</v>
      </c>
      <c r="H193" s="19">
        <f>Remaining_balance($B$1,$D$1,A193,$B$3)*'PSA&amp;CPR（function) '!O194</f>
        <v>0</v>
      </c>
    </row>
    <row r="194" spans="1:8">
      <c r="A194">
        <f>'PSA&amp;CPR'!A194</f>
        <v>192</v>
      </c>
      <c r="B194" s="19">
        <f t="shared" si="4"/>
        <v>0</v>
      </c>
      <c r="C194" s="19">
        <f t="shared" si="5"/>
        <v>0</v>
      </c>
      <c r="D194" s="19">
        <f>Monthly_payment($B$1,$D$1,$B$3)*'PSA&amp;CPR（function) '!O194</f>
        <v>0</v>
      </c>
      <c r="E194" s="19">
        <f>Principle_portion_of_payment($B$1,$D$1,A194,$B$3)*'PSA&amp;CPR（function) '!O194</f>
        <v>0</v>
      </c>
      <c r="F194" s="19">
        <f>Interest_portion_of_payment($B$1,$D$1,A194,$B$3)*'PSA&amp;CPR（function) '!O194</f>
        <v>0</v>
      </c>
      <c r="G194" s="19">
        <f>(B194-E194)*'PSA&amp;CPR（function) '!G195</f>
        <v>0</v>
      </c>
      <c r="H194" s="19">
        <f>Remaining_balance($B$1,$D$1,A194,$B$3)*'PSA&amp;CPR（function) '!O195</f>
        <v>0</v>
      </c>
    </row>
    <row r="195" spans="1:8">
      <c r="A195">
        <f>'PSA&amp;CPR'!A195</f>
        <v>193</v>
      </c>
      <c r="B195" s="19">
        <f t="shared" si="4"/>
        <v>0</v>
      </c>
      <c r="C195" s="19">
        <f t="shared" si="5"/>
        <v>0</v>
      </c>
      <c r="D195" s="19">
        <f>Monthly_payment($B$1,$D$1,$B$3)*'PSA&amp;CPR（function) '!O195</f>
        <v>0</v>
      </c>
      <c r="E195" s="19">
        <f>Principle_portion_of_payment($B$1,$D$1,A195,$B$3)*'PSA&amp;CPR（function) '!O195</f>
        <v>0</v>
      </c>
      <c r="F195" s="19">
        <f>Interest_portion_of_payment($B$1,$D$1,A195,$B$3)*'PSA&amp;CPR（function) '!O195</f>
        <v>0</v>
      </c>
      <c r="G195" s="19">
        <f>(B195-E195)*'PSA&amp;CPR（function) '!G196</f>
        <v>0</v>
      </c>
      <c r="H195" s="19">
        <f>Remaining_balance($B$1,$D$1,A195,$B$3)*'PSA&amp;CPR（function) '!O196</f>
        <v>0</v>
      </c>
    </row>
    <row r="196" spans="1:8">
      <c r="A196">
        <f>'PSA&amp;CPR'!A196</f>
        <v>194</v>
      </c>
      <c r="B196" s="19">
        <f t="shared" si="4"/>
        <v>0</v>
      </c>
      <c r="C196" s="19">
        <f t="shared" si="5"/>
        <v>0</v>
      </c>
      <c r="D196" s="19">
        <f>Monthly_payment($B$1,$D$1,$B$3)*'PSA&amp;CPR（function) '!O196</f>
        <v>0</v>
      </c>
      <c r="E196" s="19">
        <f>Principle_portion_of_payment($B$1,$D$1,A196,$B$3)*'PSA&amp;CPR（function) '!O196</f>
        <v>0</v>
      </c>
      <c r="F196" s="19">
        <f>Interest_portion_of_payment($B$1,$D$1,A196,$B$3)*'PSA&amp;CPR（function) '!O196</f>
        <v>0</v>
      </c>
      <c r="G196" s="19">
        <f>(B196-E196)*'PSA&amp;CPR（function) '!G197</f>
        <v>0</v>
      </c>
      <c r="H196" s="19">
        <f>Remaining_balance($B$1,$D$1,A196,$B$3)*'PSA&amp;CPR（function) '!O197</f>
        <v>0</v>
      </c>
    </row>
    <row r="197" spans="1:8">
      <c r="A197">
        <f>'PSA&amp;CPR'!A197</f>
        <v>195</v>
      </c>
      <c r="B197" s="19">
        <f t="shared" ref="B197:B260" si="6">H196</f>
        <v>0</v>
      </c>
      <c r="C197" s="19">
        <f t="shared" ref="C197:C260" si="7">B197*($B$1/1200)</f>
        <v>0</v>
      </c>
      <c r="D197" s="19">
        <f>Monthly_payment($B$1,$D$1,$B$3)*'PSA&amp;CPR（function) '!O197</f>
        <v>0</v>
      </c>
      <c r="E197" s="19">
        <f>Principle_portion_of_payment($B$1,$D$1,A197,$B$3)*'PSA&amp;CPR（function) '!O197</f>
        <v>0</v>
      </c>
      <c r="F197" s="19">
        <f>Interest_portion_of_payment($B$1,$D$1,A197,$B$3)*'PSA&amp;CPR（function) '!O197</f>
        <v>0</v>
      </c>
      <c r="G197" s="19">
        <f>(B197-E197)*'PSA&amp;CPR（function) '!G198</f>
        <v>0</v>
      </c>
      <c r="H197" s="19">
        <f>Remaining_balance($B$1,$D$1,A197,$B$3)*'PSA&amp;CPR（function) '!O198</f>
        <v>0</v>
      </c>
    </row>
    <row r="198" spans="1:8">
      <c r="A198">
        <f>'PSA&amp;CPR'!A198</f>
        <v>196</v>
      </c>
      <c r="B198" s="19">
        <f t="shared" si="6"/>
        <v>0</v>
      </c>
      <c r="C198" s="19">
        <f t="shared" si="7"/>
        <v>0</v>
      </c>
      <c r="D198" s="19">
        <f>Monthly_payment($B$1,$D$1,$B$3)*'PSA&amp;CPR（function) '!O198</f>
        <v>0</v>
      </c>
      <c r="E198" s="19">
        <f>Principle_portion_of_payment($B$1,$D$1,A198,$B$3)*'PSA&amp;CPR（function) '!O198</f>
        <v>0</v>
      </c>
      <c r="F198" s="19">
        <f>Interest_portion_of_payment($B$1,$D$1,A198,$B$3)*'PSA&amp;CPR（function) '!O198</f>
        <v>0</v>
      </c>
      <c r="G198" s="19">
        <f>(B198-E198)*'PSA&amp;CPR（function) '!G199</f>
        <v>0</v>
      </c>
      <c r="H198" s="19">
        <f>Remaining_balance($B$1,$D$1,A198,$B$3)*'PSA&amp;CPR（function) '!O199</f>
        <v>0</v>
      </c>
    </row>
    <row r="199" spans="1:8">
      <c r="A199">
        <f>'PSA&amp;CPR'!A199</f>
        <v>197</v>
      </c>
      <c r="B199" s="19">
        <f t="shared" si="6"/>
        <v>0</v>
      </c>
      <c r="C199" s="19">
        <f t="shared" si="7"/>
        <v>0</v>
      </c>
      <c r="D199" s="19">
        <f>Monthly_payment($B$1,$D$1,$B$3)*'PSA&amp;CPR（function) '!O199</f>
        <v>0</v>
      </c>
      <c r="E199" s="19">
        <f>Principle_portion_of_payment($B$1,$D$1,A199,$B$3)*'PSA&amp;CPR（function) '!O199</f>
        <v>0</v>
      </c>
      <c r="F199" s="19">
        <f>Interest_portion_of_payment($B$1,$D$1,A199,$B$3)*'PSA&amp;CPR（function) '!O199</f>
        <v>0</v>
      </c>
      <c r="G199" s="19">
        <f>(B199-E199)*'PSA&amp;CPR（function) '!G200</f>
        <v>0</v>
      </c>
      <c r="H199" s="19">
        <f>Remaining_balance($B$1,$D$1,A199,$B$3)*'PSA&amp;CPR（function) '!O200</f>
        <v>0</v>
      </c>
    </row>
    <row r="200" spans="1:8">
      <c r="A200">
        <f>'PSA&amp;CPR'!A200</f>
        <v>198</v>
      </c>
      <c r="B200" s="19">
        <f t="shared" si="6"/>
        <v>0</v>
      </c>
      <c r="C200" s="19">
        <f t="shared" si="7"/>
        <v>0</v>
      </c>
      <c r="D200" s="19">
        <f>Monthly_payment($B$1,$D$1,$B$3)*'PSA&amp;CPR（function) '!O200</f>
        <v>0</v>
      </c>
      <c r="E200" s="19">
        <f>Principle_portion_of_payment($B$1,$D$1,A200,$B$3)*'PSA&amp;CPR（function) '!O200</f>
        <v>0</v>
      </c>
      <c r="F200" s="19">
        <f>Interest_portion_of_payment($B$1,$D$1,A200,$B$3)*'PSA&amp;CPR（function) '!O200</f>
        <v>0</v>
      </c>
      <c r="G200" s="19">
        <f>(B200-E200)*'PSA&amp;CPR（function) '!G201</f>
        <v>0</v>
      </c>
      <c r="H200" s="19">
        <f>Remaining_balance($B$1,$D$1,A200,$B$3)*'PSA&amp;CPR（function) '!O201</f>
        <v>0</v>
      </c>
    </row>
    <row r="201" spans="1:8">
      <c r="A201">
        <f>'PSA&amp;CPR'!A201</f>
        <v>199</v>
      </c>
      <c r="B201" s="19">
        <f t="shared" si="6"/>
        <v>0</v>
      </c>
      <c r="C201" s="19">
        <f t="shared" si="7"/>
        <v>0</v>
      </c>
      <c r="D201" s="19">
        <f>Monthly_payment($B$1,$D$1,$B$3)*'PSA&amp;CPR（function) '!O201</f>
        <v>0</v>
      </c>
      <c r="E201" s="19">
        <f>Principle_portion_of_payment($B$1,$D$1,A201,$B$3)*'PSA&amp;CPR（function) '!O201</f>
        <v>0</v>
      </c>
      <c r="F201" s="19">
        <f>Interest_portion_of_payment($B$1,$D$1,A201,$B$3)*'PSA&amp;CPR（function) '!O201</f>
        <v>0</v>
      </c>
      <c r="G201" s="19">
        <f>(B201-E201)*'PSA&amp;CPR（function) '!G202</f>
        <v>0</v>
      </c>
      <c r="H201" s="19">
        <f>Remaining_balance($B$1,$D$1,A201,$B$3)*'PSA&amp;CPR（function) '!O202</f>
        <v>0</v>
      </c>
    </row>
    <row r="202" spans="1:8">
      <c r="A202">
        <f>'PSA&amp;CPR'!A202</f>
        <v>200</v>
      </c>
      <c r="B202" s="19">
        <f t="shared" si="6"/>
        <v>0</v>
      </c>
      <c r="C202" s="19">
        <f t="shared" si="7"/>
        <v>0</v>
      </c>
      <c r="D202" s="19">
        <f>Monthly_payment($B$1,$D$1,$B$3)*'PSA&amp;CPR（function) '!O202</f>
        <v>0</v>
      </c>
      <c r="E202" s="19">
        <f>Principle_portion_of_payment($B$1,$D$1,A202,$B$3)*'PSA&amp;CPR（function) '!O202</f>
        <v>0</v>
      </c>
      <c r="F202" s="19">
        <f>Interest_portion_of_payment($B$1,$D$1,A202,$B$3)*'PSA&amp;CPR（function) '!O202</f>
        <v>0</v>
      </c>
      <c r="G202" s="19">
        <f>(B202-E202)*'PSA&amp;CPR（function) '!G203</f>
        <v>0</v>
      </c>
      <c r="H202" s="19">
        <f>Remaining_balance($B$1,$D$1,A202,$B$3)*'PSA&amp;CPR（function) '!O203</f>
        <v>0</v>
      </c>
    </row>
    <row r="203" spans="1:8">
      <c r="A203">
        <f>'PSA&amp;CPR'!A203</f>
        <v>201</v>
      </c>
      <c r="B203" s="19">
        <f t="shared" si="6"/>
        <v>0</v>
      </c>
      <c r="C203" s="19">
        <f t="shared" si="7"/>
        <v>0</v>
      </c>
      <c r="D203" s="19">
        <f>Monthly_payment($B$1,$D$1,$B$3)*'PSA&amp;CPR（function) '!O203</f>
        <v>0</v>
      </c>
      <c r="E203" s="19">
        <f>Principle_portion_of_payment($B$1,$D$1,A203,$B$3)*'PSA&amp;CPR（function) '!O203</f>
        <v>0</v>
      </c>
      <c r="F203" s="19">
        <f>Interest_portion_of_payment($B$1,$D$1,A203,$B$3)*'PSA&amp;CPR（function) '!O203</f>
        <v>0</v>
      </c>
      <c r="G203" s="19">
        <f>(B203-E203)*'PSA&amp;CPR（function) '!G204</f>
        <v>0</v>
      </c>
      <c r="H203" s="19">
        <f>Remaining_balance($B$1,$D$1,A203,$B$3)*'PSA&amp;CPR（function) '!O204</f>
        <v>0</v>
      </c>
    </row>
    <row r="204" spans="1:8">
      <c r="A204">
        <f>'PSA&amp;CPR'!A204</f>
        <v>202</v>
      </c>
      <c r="B204" s="19">
        <f t="shared" si="6"/>
        <v>0</v>
      </c>
      <c r="C204" s="19">
        <f t="shared" si="7"/>
        <v>0</v>
      </c>
      <c r="D204" s="19">
        <f>Monthly_payment($B$1,$D$1,$B$3)*'PSA&amp;CPR（function) '!O204</f>
        <v>0</v>
      </c>
      <c r="E204" s="19">
        <f>Principle_portion_of_payment($B$1,$D$1,A204,$B$3)*'PSA&amp;CPR（function) '!O204</f>
        <v>0</v>
      </c>
      <c r="F204" s="19">
        <f>Interest_portion_of_payment($B$1,$D$1,A204,$B$3)*'PSA&amp;CPR（function) '!O204</f>
        <v>0</v>
      </c>
      <c r="G204" s="19">
        <f>(B204-E204)*'PSA&amp;CPR（function) '!G205</f>
        <v>0</v>
      </c>
      <c r="H204" s="19">
        <f>Remaining_balance($B$1,$D$1,A204,$B$3)*'PSA&amp;CPR（function) '!O205</f>
        <v>0</v>
      </c>
    </row>
    <row r="205" spans="1:8">
      <c r="A205">
        <f>'PSA&amp;CPR'!A205</f>
        <v>203</v>
      </c>
      <c r="B205" s="19">
        <f t="shared" si="6"/>
        <v>0</v>
      </c>
      <c r="C205" s="19">
        <f t="shared" si="7"/>
        <v>0</v>
      </c>
      <c r="D205" s="19">
        <f>Monthly_payment($B$1,$D$1,$B$3)*'PSA&amp;CPR（function) '!O205</f>
        <v>0</v>
      </c>
      <c r="E205" s="19">
        <f>Principle_portion_of_payment($B$1,$D$1,A205,$B$3)*'PSA&amp;CPR（function) '!O205</f>
        <v>0</v>
      </c>
      <c r="F205" s="19">
        <f>Interest_portion_of_payment($B$1,$D$1,A205,$B$3)*'PSA&amp;CPR（function) '!O205</f>
        <v>0</v>
      </c>
      <c r="G205" s="19">
        <f>(B205-E205)*'PSA&amp;CPR（function) '!G206</f>
        <v>0</v>
      </c>
      <c r="H205" s="19">
        <f>Remaining_balance($B$1,$D$1,A205,$B$3)*'PSA&amp;CPR（function) '!O206</f>
        <v>0</v>
      </c>
    </row>
    <row r="206" spans="1:8">
      <c r="A206">
        <f>'PSA&amp;CPR'!A206</f>
        <v>204</v>
      </c>
      <c r="B206" s="19">
        <f t="shared" si="6"/>
        <v>0</v>
      </c>
      <c r="C206" s="19">
        <f t="shared" si="7"/>
        <v>0</v>
      </c>
      <c r="D206" s="19">
        <f>Monthly_payment($B$1,$D$1,$B$3)*'PSA&amp;CPR（function) '!O206</f>
        <v>0</v>
      </c>
      <c r="E206" s="19">
        <f>Principle_portion_of_payment($B$1,$D$1,A206,$B$3)*'PSA&amp;CPR（function) '!O206</f>
        <v>0</v>
      </c>
      <c r="F206" s="19">
        <f>Interest_portion_of_payment($B$1,$D$1,A206,$B$3)*'PSA&amp;CPR（function) '!O206</f>
        <v>0</v>
      </c>
      <c r="G206" s="19">
        <f>(B206-E206)*'PSA&amp;CPR（function) '!G207</f>
        <v>0</v>
      </c>
      <c r="H206" s="19">
        <f>Remaining_balance($B$1,$D$1,A206,$B$3)*'PSA&amp;CPR（function) '!O207</f>
        <v>0</v>
      </c>
    </row>
    <row r="207" spans="1:8">
      <c r="A207">
        <f>'PSA&amp;CPR'!A207</f>
        <v>205</v>
      </c>
      <c r="B207" s="19">
        <f t="shared" si="6"/>
        <v>0</v>
      </c>
      <c r="C207" s="19">
        <f t="shared" si="7"/>
        <v>0</v>
      </c>
      <c r="D207" s="19">
        <f>Monthly_payment($B$1,$D$1,$B$3)*'PSA&amp;CPR（function) '!O207</f>
        <v>0</v>
      </c>
      <c r="E207" s="19">
        <f>Principle_portion_of_payment($B$1,$D$1,A207,$B$3)*'PSA&amp;CPR（function) '!O207</f>
        <v>0</v>
      </c>
      <c r="F207" s="19">
        <f>Interest_portion_of_payment($B$1,$D$1,A207,$B$3)*'PSA&amp;CPR（function) '!O207</f>
        <v>0</v>
      </c>
      <c r="G207" s="19">
        <f>(B207-E207)*'PSA&amp;CPR（function) '!G208</f>
        <v>0</v>
      </c>
      <c r="H207" s="19">
        <f>Remaining_balance($B$1,$D$1,A207,$B$3)*'PSA&amp;CPR（function) '!O208</f>
        <v>0</v>
      </c>
    </row>
    <row r="208" spans="1:8">
      <c r="A208">
        <f>'PSA&amp;CPR'!A208</f>
        <v>206</v>
      </c>
      <c r="B208" s="19">
        <f t="shared" si="6"/>
        <v>0</v>
      </c>
      <c r="C208" s="19">
        <f t="shared" si="7"/>
        <v>0</v>
      </c>
      <c r="D208" s="19">
        <f>Monthly_payment($B$1,$D$1,$B$3)*'PSA&amp;CPR（function) '!O208</f>
        <v>0</v>
      </c>
      <c r="E208" s="19">
        <f>Principle_portion_of_payment($B$1,$D$1,A208,$B$3)*'PSA&amp;CPR（function) '!O208</f>
        <v>0</v>
      </c>
      <c r="F208" s="19">
        <f>Interest_portion_of_payment($B$1,$D$1,A208,$B$3)*'PSA&amp;CPR（function) '!O208</f>
        <v>0</v>
      </c>
      <c r="G208" s="19">
        <f>(B208-E208)*'PSA&amp;CPR（function) '!G209</f>
        <v>0</v>
      </c>
      <c r="H208" s="19">
        <f>Remaining_balance($B$1,$D$1,A208,$B$3)*'PSA&amp;CPR（function) '!O209</f>
        <v>0</v>
      </c>
    </row>
    <row r="209" spans="1:8">
      <c r="A209">
        <f>'PSA&amp;CPR'!A209</f>
        <v>207</v>
      </c>
      <c r="B209" s="19">
        <f t="shared" si="6"/>
        <v>0</v>
      </c>
      <c r="C209" s="19">
        <f t="shared" si="7"/>
        <v>0</v>
      </c>
      <c r="D209" s="19">
        <f>Monthly_payment($B$1,$D$1,$B$3)*'PSA&amp;CPR（function) '!O209</f>
        <v>0</v>
      </c>
      <c r="E209" s="19">
        <f>Principle_portion_of_payment($B$1,$D$1,A209,$B$3)*'PSA&amp;CPR（function) '!O209</f>
        <v>0</v>
      </c>
      <c r="F209" s="19">
        <f>Interest_portion_of_payment($B$1,$D$1,A209,$B$3)*'PSA&amp;CPR（function) '!O209</f>
        <v>0</v>
      </c>
      <c r="G209" s="19">
        <f>(B209-E209)*'PSA&amp;CPR（function) '!G210</f>
        <v>0</v>
      </c>
      <c r="H209" s="19">
        <f>Remaining_balance($B$1,$D$1,A209,$B$3)*'PSA&amp;CPR（function) '!O210</f>
        <v>0</v>
      </c>
    </row>
    <row r="210" spans="1:8">
      <c r="A210">
        <f>'PSA&amp;CPR'!A210</f>
        <v>208</v>
      </c>
      <c r="B210" s="19">
        <f t="shared" si="6"/>
        <v>0</v>
      </c>
      <c r="C210" s="19">
        <f t="shared" si="7"/>
        <v>0</v>
      </c>
      <c r="D210" s="19">
        <f>Monthly_payment($B$1,$D$1,$B$3)*'PSA&amp;CPR（function) '!O210</f>
        <v>0</v>
      </c>
      <c r="E210" s="19">
        <f>Principle_portion_of_payment($B$1,$D$1,A210,$B$3)*'PSA&amp;CPR（function) '!O210</f>
        <v>0</v>
      </c>
      <c r="F210" s="19">
        <f>Interest_portion_of_payment($B$1,$D$1,A210,$B$3)*'PSA&amp;CPR（function) '!O210</f>
        <v>0</v>
      </c>
      <c r="G210" s="19">
        <f>(B210-E210)*'PSA&amp;CPR（function) '!G211</f>
        <v>0</v>
      </c>
      <c r="H210" s="19">
        <f>Remaining_balance($B$1,$D$1,A210,$B$3)*'PSA&amp;CPR（function) '!O211</f>
        <v>0</v>
      </c>
    </row>
    <row r="211" spans="1:8">
      <c r="A211">
        <f>'PSA&amp;CPR'!A211</f>
        <v>209</v>
      </c>
      <c r="B211" s="19">
        <f t="shared" si="6"/>
        <v>0</v>
      </c>
      <c r="C211" s="19">
        <f t="shared" si="7"/>
        <v>0</v>
      </c>
      <c r="D211" s="19">
        <f>Monthly_payment($B$1,$D$1,$B$3)*'PSA&amp;CPR（function) '!O211</f>
        <v>0</v>
      </c>
      <c r="E211" s="19">
        <f>Principle_portion_of_payment($B$1,$D$1,A211,$B$3)*'PSA&amp;CPR（function) '!O211</f>
        <v>0</v>
      </c>
      <c r="F211" s="19">
        <f>Interest_portion_of_payment($B$1,$D$1,A211,$B$3)*'PSA&amp;CPR（function) '!O211</f>
        <v>0</v>
      </c>
      <c r="G211" s="19">
        <f>(B211-E211)*'PSA&amp;CPR（function) '!G212</f>
        <v>0</v>
      </c>
      <c r="H211" s="19">
        <f>Remaining_balance($B$1,$D$1,A211,$B$3)*'PSA&amp;CPR（function) '!O212</f>
        <v>0</v>
      </c>
    </row>
    <row r="212" spans="1:8">
      <c r="A212">
        <f>'PSA&amp;CPR'!A212</f>
        <v>210</v>
      </c>
      <c r="B212" s="19">
        <f t="shared" si="6"/>
        <v>0</v>
      </c>
      <c r="C212" s="19">
        <f t="shared" si="7"/>
        <v>0</v>
      </c>
      <c r="D212" s="19">
        <f>Monthly_payment($B$1,$D$1,$B$3)*'PSA&amp;CPR（function) '!O212</f>
        <v>0</v>
      </c>
      <c r="E212" s="19">
        <f>Principle_portion_of_payment($B$1,$D$1,A212,$B$3)*'PSA&amp;CPR（function) '!O212</f>
        <v>0</v>
      </c>
      <c r="F212" s="19">
        <f>Interest_portion_of_payment($B$1,$D$1,A212,$B$3)*'PSA&amp;CPR（function) '!O212</f>
        <v>0</v>
      </c>
      <c r="G212" s="19">
        <f>(B212-E212)*'PSA&amp;CPR（function) '!G213</f>
        <v>0</v>
      </c>
      <c r="H212" s="19">
        <f>Remaining_balance($B$1,$D$1,A212,$B$3)*'PSA&amp;CPR（function) '!O213</f>
        <v>0</v>
      </c>
    </row>
    <row r="213" spans="1:8">
      <c r="A213">
        <f>'PSA&amp;CPR'!A213</f>
        <v>211</v>
      </c>
      <c r="B213" s="19">
        <f t="shared" si="6"/>
        <v>0</v>
      </c>
      <c r="C213" s="19">
        <f t="shared" si="7"/>
        <v>0</v>
      </c>
      <c r="D213" s="19">
        <f>Monthly_payment($B$1,$D$1,$B$3)*'PSA&amp;CPR（function) '!O213</f>
        <v>0</v>
      </c>
      <c r="E213" s="19">
        <f>Principle_portion_of_payment($B$1,$D$1,A213,$B$3)*'PSA&amp;CPR（function) '!O213</f>
        <v>0</v>
      </c>
      <c r="F213" s="19">
        <f>Interest_portion_of_payment($B$1,$D$1,A213,$B$3)*'PSA&amp;CPR（function) '!O213</f>
        <v>0</v>
      </c>
      <c r="G213" s="19">
        <f>(B213-E213)*'PSA&amp;CPR（function) '!G214</f>
        <v>0</v>
      </c>
      <c r="H213" s="19">
        <f>Remaining_balance($B$1,$D$1,A213,$B$3)*'PSA&amp;CPR（function) '!O214</f>
        <v>0</v>
      </c>
    </row>
    <row r="214" spans="1:8">
      <c r="A214">
        <f>'PSA&amp;CPR'!A214</f>
        <v>212</v>
      </c>
      <c r="B214" s="19">
        <f t="shared" si="6"/>
        <v>0</v>
      </c>
      <c r="C214" s="19">
        <f t="shared" si="7"/>
        <v>0</v>
      </c>
      <c r="D214" s="19">
        <f>Monthly_payment($B$1,$D$1,$B$3)*'PSA&amp;CPR（function) '!O214</f>
        <v>0</v>
      </c>
      <c r="E214" s="19">
        <f>Principle_portion_of_payment($B$1,$D$1,A214,$B$3)*'PSA&amp;CPR（function) '!O214</f>
        <v>0</v>
      </c>
      <c r="F214" s="19">
        <f>Interest_portion_of_payment($B$1,$D$1,A214,$B$3)*'PSA&amp;CPR（function) '!O214</f>
        <v>0</v>
      </c>
      <c r="G214" s="19">
        <f>(B214-E214)*'PSA&amp;CPR（function) '!G215</f>
        <v>0</v>
      </c>
      <c r="H214" s="19">
        <f>Remaining_balance($B$1,$D$1,A214,$B$3)*'PSA&amp;CPR（function) '!O215</f>
        <v>0</v>
      </c>
    </row>
    <row r="215" spans="1:8">
      <c r="A215">
        <f>'PSA&amp;CPR'!A215</f>
        <v>213</v>
      </c>
      <c r="B215" s="19">
        <f t="shared" si="6"/>
        <v>0</v>
      </c>
      <c r="C215" s="19">
        <f t="shared" si="7"/>
        <v>0</v>
      </c>
      <c r="D215" s="19">
        <f>Monthly_payment($B$1,$D$1,$B$3)*'PSA&amp;CPR（function) '!O215</f>
        <v>0</v>
      </c>
      <c r="E215" s="19">
        <f>Principle_portion_of_payment($B$1,$D$1,A215,$B$3)*'PSA&amp;CPR（function) '!O215</f>
        <v>0</v>
      </c>
      <c r="F215" s="19">
        <f>Interest_portion_of_payment($B$1,$D$1,A215,$B$3)*'PSA&amp;CPR（function) '!O215</f>
        <v>0</v>
      </c>
      <c r="G215" s="19">
        <f>(B215-E215)*'PSA&amp;CPR（function) '!G216</f>
        <v>0</v>
      </c>
      <c r="H215" s="19">
        <f>Remaining_balance($B$1,$D$1,A215,$B$3)*'PSA&amp;CPR（function) '!O216</f>
        <v>0</v>
      </c>
    </row>
    <row r="216" spans="1:8">
      <c r="A216">
        <f>'PSA&amp;CPR'!A216</f>
        <v>214</v>
      </c>
      <c r="B216" s="19">
        <f t="shared" si="6"/>
        <v>0</v>
      </c>
      <c r="C216" s="19">
        <f t="shared" si="7"/>
        <v>0</v>
      </c>
      <c r="D216" s="19">
        <f>Monthly_payment($B$1,$D$1,$B$3)*'PSA&amp;CPR（function) '!O216</f>
        <v>0</v>
      </c>
      <c r="E216" s="19">
        <f>Principle_portion_of_payment($B$1,$D$1,A216,$B$3)*'PSA&amp;CPR（function) '!O216</f>
        <v>0</v>
      </c>
      <c r="F216" s="19">
        <f>Interest_portion_of_payment($B$1,$D$1,A216,$B$3)*'PSA&amp;CPR（function) '!O216</f>
        <v>0</v>
      </c>
      <c r="G216" s="19">
        <f>(B216-E216)*'PSA&amp;CPR（function) '!G217</f>
        <v>0</v>
      </c>
      <c r="H216" s="19">
        <f>Remaining_balance($B$1,$D$1,A216,$B$3)*'PSA&amp;CPR（function) '!O217</f>
        <v>0</v>
      </c>
    </row>
    <row r="217" spans="1:8">
      <c r="A217">
        <f>'PSA&amp;CPR'!A217</f>
        <v>215</v>
      </c>
      <c r="B217" s="19">
        <f t="shared" si="6"/>
        <v>0</v>
      </c>
      <c r="C217" s="19">
        <f t="shared" si="7"/>
        <v>0</v>
      </c>
      <c r="D217" s="19">
        <f>Monthly_payment($B$1,$D$1,$B$3)*'PSA&amp;CPR（function) '!O217</f>
        <v>0</v>
      </c>
      <c r="E217" s="19">
        <f>Principle_portion_of_payment($B$1,$D$1,A217,$B$3)*'PSA&amp;CPR（function) '!O217</f>
        <v>0</v>
      </c>
      <c r="F217" s="19">
        <f>Interest_portion_of_payment($B$1,$D$1,A217,$B$3)*'PSA&amp;CPR（function) '!O217</f>
        <v>0</v>
      </c>
      <c r="G217" s="19">
        <f>(B217-E217)*'PSA&amp;CPR（function) '!G218</f>
        <v>0</v>
      </c>
      <c r="H217" s="19">
        <f>Remaining_balance($B$1,$D$1,A217,$B$3)*'PSA&amp;CPR（function) '!O218</f>
        <v>0</v>
      </c>
    </row>
    <row r="218" spans="1:8">
      <c r="A218">
        <f>'PSA&amp;CPR'!A218</f>
        <v>216</v>
      </c>
      <c r="B218" s="19">
        <f t="shared" si="6"/>
        <v>0</v>
      </c>
      <c r="C218" s="19">
        <f t="shared" si="7"/>
        <v>0</v>
      </c>
      <c r="D218" s="19">
        <f>Monthly_payment($B$1,$D$1,$B$3)*'PSA&amp;CPR（function) '!O218</f>
        <v>0</v>
      </c>
      <c r="E218" s="19">
        <f>Principle_portion_of_payment($B$1,$D$1,A218,$B$3)*'PSA&amp;CPR（function) '!O218</f>
        <v>0</v>
      </c>
      <c r="F218" s="19">
        <f>Interest_portion_of_payment($B$1,$D$1,A218,$B$3)*'PSA&amp;CPR（function) '!O218</f>
        <v>0</v>
      </c>
      <c r="G218" s="19">
        <f>(B218-E218)*'PSA&amp;CPR（function) '!G219</f>
        <v>0</v>
      </c>
      <c r="H218" s="19">
        <f>Remaining_balance($B$1,$D$1,A218,$B$3)*'PSA&amp;CPR（function) '!O219</f>
        <v>0</v>
      </c>
    </row>
    <row r="219" spans="1:8">
      <c r="A219">
        <f>'PSA&amp;CPR'!A219</f>
        <v>217</v>
      </c>
      <c r="B219" s="19">
        <f t="shared" si="6"/>
        <v>0</v>
      </c>
      <c r="C219" s="19">
        <f t="shared" si="7"/>
        <v>0</v>
      </c>
      <c r="D219" s="19">
        <f>Monthly_payment($B$1,$D$1,$B$3)*'PSA&amp;CPR（function) '!O219</f>
        <v>0</v>
      </c>
      <c r="E219" s="19">
        <f>Principle_portion_of_payment($B$1,$D$1,A219,$B$3)*'PSA&amp;CPR（function) '!O219</f>
        <v>0</v>
      </c>
      <c r="F219" s="19">
        <f>Interest_portion_of_payment($B$1,$D$1,A219,$B$3)*'PSA&amp;CPR（function) '!O219</f>
        <v>0</v>
      </c>
      <c r="G219" s="19">
        <f>(B219-E219)*'PSA&amp;CPR（function) '!G220</f>
        <v>0</v>
      </c>
      <c r="H219" s="19">
        <f>Remaining_balance($B$1,$D$1,A219,$B$3)*'PSA&amp;CPR（function) '!O220</f>
        <v>0</v>
      </c>
    </row>
    <row r="220" spans="1:8">
      <c r="A220">
        <f>'PSA&amp;CPR'!A220</f>
        <v>218</v>
      </c>
      <c r="B220" s="19">
        <f t="shared" si="6"/>
        <v>0</v>
      </c>
      <c r="C220" s="19">
        <f t="shared" si="7"/>
        <v>0</v>
      </c>
      <c r="D220" s="19">
        <f>Monthly_payment($B$1,$D$1,$B$3)*'PSA&amp;CPR（function) '!O220</f>
        <v>0</v>
      </c>
      <c r="E220" s="19">
        <f>Principle_portion_of_payment($B$1,$D$1,A220,$B$3)*'PSA&amp;CPR（function) '!O220</f>
        <v>0</v>
      </c>
      <c r="F220" s="19">
        <f>Interest_portion_of_payment($B$1,$D$1,A220,$B$3)*'PSA&amp;CPR（function) '!O220</f>
        <v>0</v>
      </c>
      <c r="G220" s="19">
        <f>(B220-E220)*'PSA&amp;CPR（function) '!G221</f>
        <v>0</v>
      </c>
      <c r="H220" s="19">
        <f>Remaining_balance($B$1,$D$1,A220,$B$3)*'PSA&amp;CPR（function) '!O221</f>
        <v>0</v>
      </c>
    </row>
    <row r="221" spans="1:8">
      <c r="A221">
        <f>'PSA&amp;CPR'!A221</f>
        <v>219</v>
      </c>
      <c r="B221" s="19">
        <f t="shared" si="6"/>
        <v>0</v>
      </c>
      <c r="C221" s="19">
        <f t="shared" si="7"/>
        <v>0</v>
      </c>
      <c r="D221" s="19">
        <f>Monthly_payment($B$1,$D$1,$B$3)*'PSA&amp;CPR（function) '!O221</f>
        <v>0</v>
      </c>
      <c r="E221" s="19">
        <f>Principle_portion_of_payment($B$1,$D$1,A221,$B$3)*'PSA&amp;CPR（function) '!O221</f>
        <v>0</v>
      </c>
      <c r="F221" s="19">
        <f>Interest_portion_of_payment($B$1,$D$1,A221,$B$3)*'PSA&amp;CPR（function) '!O221</f>
        <v>0</v>
      </c>
      <c r="G221" s="19">
        <f>(B221-E221)*'PSA&amp;CPR（function) '!G222</f>
        <v>0</v>
      </c>
      <c r="H221" s="19">
        <f>Remaining_balance($B$1,$D$1,A221,$B$3)*'PSA&amp;CPR（function) '!O222</f>
        <v>0</v>
      </c>
    </row>
    <row r="222" spans="1:8">
      <c r="A222">
        <f>'PSA&amp;CPR'!A222</f>
        <v>220</v>
      </c>
      <c r="B222" s="19">
        <f t="shared" si="6"/>
        <v>0</v>
      </c>
      <c r="C222" s="19">
        <f t="shared" si="7"/>
        <v>0</v>
      </c>
      <c r="D222" s="19">
        <f>Monthly_payment($B$1,$D$1,$B$3)*'PSA&amp;CPR（function) '!O222</f>
        <v>0</v>
      </c>
      <c r="E222" s="19">
        <f>Principle_portion_of_payment($B$1,$D$1,A222,$B$3)*'PSA&amp;CPR（function) '!O222</f>
        <v>0</v>
      </c>
      <c r="F222" s="19">
        <f>Interest_portion_of_payment($B$1,$D$1,A222,$B$3)*'PSA&amp;CPR（function) '!O222</f>
        <v>0</v>
      </c>
      <c r="G222" s="19">
        <f>(B222-E222)*'PSA&amp;CPR（function) '!G223</f>
        <v>0</v>
      </c>
      <c r="H222" s="19">
        <f>Remaining_balance($B$1,$D$1,A222,$B$3)*'PSA&amp;CPR（function) '!O223</f>
        <v>0</v>
      </c>
    </row>
    <row r="223" spans="1:8">
      <c r="A223">
        <f>'PSA&amp;CPR'!A223</f>
        <v>221</v>
      </c>
      <c r="B223" s="19">
        <f t="shared" si="6"/>
        <v>0</v>
      </c>
      <c r="C223" s="19">
        <f t="shared" si="7"/>
        <v>0</v>
      </c>
      <c r="D223" s="19">
        <f>Monthly_payment($B$1,$D$1,$B$3)*'PSA&amp;CPR（function) '!O223</f>
        <v>0</v>
      </c>
      <c r="E223" s="19">
        <f>Principle_portion_of_payment($B$1,$D$1,A223,$B$3)*'PSA&amp;CPR（function) '!O223</f>
        <v>0</v>
      </c>
      <c r="F223" s="19">
        <f>Interest_portion_of_payment($B$1,$D$1,A223,$B$3)*'PSA&amp;CPR（function) '!O223</f>
        <v>0</v>
      </c>
      <c r="G223" s="19">
        <f>(B223-E223)*'PSA&amp;CPR（function) '!G224</f>
        <v>0</v>
      </c>
      <c r="H223" s="19">
        <f>Remaining_balance($B$1,$D$1,A223,$B$3)*'PSA&amp;CPR（function) '!O224</f>
        <v>0</v>
      </c>
    </row>
    <row r="224" spans="1:8">
      <c r="A224">
        <f>'PSA&amp;CPR'!A224</f>
        <v>222</v>
      </c>
      <c r="B224" s="19">
        <f t="shared" si="6"/>
        <v>0</v>
      </c>
      <c r="C224" s="19">
        <f t="shared" si="7"/>
        <v>0</v>
      </c>
      <c r="D224" s="19">
        <f>Monthly_payment($B$1,$D$1,$B$3)*'PSA&amp;CPR（function) '!O224</f>
        <v>0</v>
      </c>
      <c r="E224" s="19">
        <f>Principle_portion_of_payment($B$1,$D$1,A224,$B$3)*'PSA&amp;CPR（function) '!O224</f>
        <v>0</v>
      </c>
      <c r="F224" s="19">
        <f>Interest_portion_of_payment($B$1,$D$1,A224,$B$3)*'PSA&amp;CPR（function) '!O224</f>
        <v>0</v>
      </c>
      <c r="G224" s="19">
        <f>(B224-E224)*'PSA&amp;CPR（function) '!G225</f>
        <v>0</v>
      </c>
      <c r="H224" s="19">
        <f>Remaining_balance($B$1,$D$1,A224,$B$3)*'PSA&amp;CPR（function) '!O225</f>
        <v>0</v>
      </c>
    </row>
    <row r="225" spans="1:8">
      <c r="A225">
        <f>'PSA&amp;CPR'!A225</f>
        <v>223</v>
      </c>
      <c r="B225" s="19">
        <f t="shared" si="6"/>
        <v>0</v>
      </c>
      <c r="C225" s="19">
        <f t="shared" si="7"/>
        <v>0</v>
      </c>
      <c r="D225" s="19">
        <f>Monthly_payment($B$1,$D$1,$B$3)*'PSA&amp;CPR（function) '!O225</f>
        <v>0</v>
      </c>
      <c r="E225" s="19">
        <f>Principle_portion_of_payment($B$1,$D$1,A225,$B$3)*'PSA&amp;CPR（function) '!O225</f>
        <v>0</v>
      </c>
      <c r="F225" s="19">
        <f>Interest_portion_of_payment($B$1,$D$1,A225,$B$3)*'PSA&amp;CPR（function) '!O225</f>
        <v>0</v>
      </c>
      <c r="G225" s="19">
        <f>(B225-E225)*'PSA&amp;CPR（function) '!G226</f>
        <v>0</v>
      </c>
      <c r="H225" s="19">
        <f>Remaining_balance($B$1,$D$1,A225,$B$3)*'PSA&amp;CPR（function) '!O226</f>
        <v>0</v>
      </c>
    </row>
    <row r="226" spans="1:8">
      <c r="A226">
        <f>'PSA&amp;CPR'!A226</f>
        <v>224</v>
      </c>
      <c r="B226" s="19">
        <f t="shared" si="6"/>
        <v>0</v>
      </c>
      <c r="C226" s="19">
        <f t="shared" si="7"/>
        <v>0</v>
      </c>
      <c r="D226" s="19">
        <f>Monthly_payment($B$1,$D$1,$B$3)*'PSA&amp;CPR（function) '!O226</f>
        <v>0</v>
      </c>
      <c r="E226" s="19">
        <f>Principle_portion_of_payment($B$1,$D$1,A226,$B$3)*'PSA&amp;CPR（function) '!O226</f>
        <v>0</v>
      </c>
      <c r="F226" s="19">
        <f>Interest_portion_of_payment($B$1,$D$1,A226,$B$3)*'PSA&amp;CPR（function) '!O226</f>
        <v>0</v>
      </c>
      <c r="G226" s="19">
        <f>(B226-E226)*'PSA&amp;CPR（function) '!G227</f>
        <v>0</v>
      </c>
      <c r="H226" s="19">
        <f>Remaining_balance($B$1,$D$1,A226,$B$3)*'PSA&amp;CPR（function) '!O227</f>
        <v>0</v>
      </c>
    </row>
    <row r="227" spans="1:8">
      <c r="A227">
        <f>'PSA&amp;CPR'!A227</f>
        <v>225</v>
      </c>
      <c r="B227" s="19">
        <f t="shared" si="6"/>
        <v>0</v>
      </c>
      <c r="C227" s="19">
        <f t="shared" si="7"/>
        <v>0</v>
      </c>
      <c r="D227" s="19">
        <f>Monthly_payment($B$1,$D$1,$B$3)*'PSA&amp;CPR（function) '!O227</f>
        <v>0</v>
      </c>
      <c r="E227" s="19">
        <f>Principle_portion_of_payment($B$1,$D$1,A227,$B$3)*'PSA&amp;CPR（function) '!O227</f>
        <v>0</v>
      </c>
      <c r="F227" s="19">
        <f>Interest_portion_of_payment($B$1,$D$1,A227,$B$3)*'PSA&amp;CPR（function) '!O227</f>
        <v>0</v>
      </c>
      <c r="G227" s="19">
        <f>(B227-E227)*'PSA&amp;CPR（function) '!G228</f>
        <v>0</v>
      </c>
      <c r="H227" s="19">
        <f>Remaining_balance($B$1,$D$1,A227,$B$3)*'PSA&amp;CPR（function) '!O228</f>
        <v>0</v>
      </c>
    </row>
    <row r="228" spans="1:8">
      <c r="A228">
        <f>'PSA&amp;CPR'!A228</f>
        <v>226</v>
      </c>
      <c r="B228" s="19">
        <f t="shared" si="6"/>
        <v>0</v>
      </c>
      <c r="C228" s="19">
        <f t="shared" si="7"/>
        <v>0</v>
      </c>
      <c r="D228" s="19">
        <f>Monthly_payment($B$1,$D$1,$B$3)*'PSA&amp;CPR（function) '!O228</f>
        <v>0</v>
      </c>
      <c r="E228" s="19">
        <f>Principle_portion_of_payment($B$1,$D$1,A228,$B$3)*'PSA&amp;CPR（function) '!O228</f>
        <v>0</v>
      </c>
      <c r="F228" s="19">
        <f>Interest_portion_of_payment($B$1,$D$1,A228,$B$3)*'PSA&amp;CPR（function) '!O228</f>
        <v>0</v>
      </c>
      <c r="G228" s="19">
        <f>(B228-E228)*'PSA&amp;CPR（function) '!G229</f>
        <v>0</v>
      </c>
      <c r="H228" s="19">
        <f>Remaining_balance($B$1,$D$1,A228,$B$3)*'PSA&amp;CPR（function) '!O229</f>
        <v>0</v>
      </c>
    </row>
    <row r="229" spans="1:8">
      <c r="A229">
        <f>'PSA&amp;CPR'!A229</f>
        <v>227</v>
      </c>
      <c r="B229" s="19">
        <f t="shared" si="6"/>
        <v>0</v>
      </c>
      <c r="C229" s="19">
        <f t="shared" si="7"/>
        <v>0</v>
      </c>
      <c r="D229" s="19">
        <f>Monthly_payment($B$1,$D$1,$B$3)*'PSA&amp;CPR（function) '!O229</f>
        <v>0</v>
      </c>
      <c r="E229" s="19">
        <f>Principle_portion_of_payment($B$1,$D$1,A229,$B$3)*'PSA&amp;CPR（function) '!O229</f>
        <v>0</v>
      </c>
      <c r="F229" s="19">
        <f>Interest_portion_of_payment($B$1,$D$1,A229,$B$3)*'PSA&amp;CPR（function) '!O229</f>
        <v>0</v>
      </c>
      <c r="G229" s="19">
        <f>(B229-E229)*'PSA&amp;CPR（function) '!G230</f>
        <v>0</v>
      </c>
      <c r="H229" s="19">
        <f>Remaining_balance($B$1,$D$1,A229,$B$3)*'PSA&amp;CPR（function) '!O230</f>
        <v>0</v>
      </c>
    </row>
    <row r="230" spans="1:8">
      <c r="A230">
        <f>'PSA&amp;CPR'!A230</f>
        <v>228</v>
      </c>
      <c r="B230" s="19">
        <f t="shared" si="6"/>
        <v>0</v>
      </c>
      <c r="C230" s="19">
        <f t="shared" si="7"/>
        <v>0</v>
      </c>
      <c r="D230" s="19">
        <f>Monthly_payment($B$1,$D$1,$B$3)*'PSA&amp;CPR（function) '!O230</f>
        <v>0</v>
      </c>
      <c r="E230" s="19">
        <f>Principle_portion_of_payment($B$1,$D$1,A230,$B$3)*'PSA&amp;CPR（function) '!O230</f>
        <v>0</v>
      </c>
      <c r="F230" s="19">
        <f>Interest_portion_of_payment($B$1,$D$1,A230,$B$3)*'PSA&amp;CPR（function) '!O230</f>
        <v>0</v>
      </c>
      <c r="G230" s="19">
        <f>(B230-E230)*'PSA&amp;CPR（function) '!G231</f>
        <v>0</v>
      </c>
      <c r="H230" s="19">
        <f>Remaining_balance($B$1,$D$1,A230,$B$3)*'PSA&amp;CPR（function) '!O231</f>
        <v>0</v>
      </c>
    </row>
    <row r="231" spans="1:8">
      <c r="A231">
        <f>'PSA&amp;CPR'!A231</f>
        <v>229</v>
      </c>
      <c r="B231" s="19">
        <f t="shared" si="6"/>
        <v>0</v>
      </c>
      <c r="C231" s="19">
        <f t="shared" si="7"/>
        <v>0</v>
      </c>
      <c r="D231" s="19">
        <f>Monthly_payment($B$1,$D$1,$B$3)*'PSA&amp;CPR（function) '!O231</f>
        <v>0</v>
      </c>
      <c r="E231" s="19">
        <f>Principle_portion_of_payment($B$1,$D$1,A231,$B$3)*'PSA&amp;CPR（function) '!O231</f>
        <v>0</v>
      </c>
      <c r="F231" s="19">
        <f>Interest_portion_of_payment($B$1,$D$1,A231,$B$3)*'PSA&amp;CPR（function) '!O231</f>
        <v>0</v>
      </c>
      <c r="G231" s="19">
        <f>(B231-E231)*'PSA&amp;CPR（function) '!G232</f>
        <v>0</v>
      </c>
      <c r="H231" s="19">
        <f>Remaining_balance($B$1,$D$1,A231,$B$3)*'PSA&amp;CPR（function) '!O232</f>
        <v>0</v>
      </c>
    </row>
    <row r="232" spans="1:8">
      <c r="A232">
        <f>'PSA&amp;CPR'!A232</f>
        <v>230</v>
      </c>
      <c r="B232" s="19">
        <f t="shared" si="6"/>
        <v>0</v>
      </c>
      <c r="C232" s="19">
        <f t="shared" si="7"/>
        <v>0</v>
      </c>
      <c r="D232" s="19">
        <f>Monthly_payment($B$1,$D$1,$B$3)*'PSA&amp;CPR（function) '!O232</f>
        <v>0</v>
      </c>
      <c r="E232" s="19">
        <f>Principle_portion_of_payment($B$1,$D$1,A232,$B$3)*'PSA&amp;CPR（function) '!O232</f>
        <v>0</v>
      </c>
      <c r="F232" s="19">
        <f>Interest_portion_of_payment($B$1,$D$1,A232,$B$3)*'PSA&amp;CPR（function) '!O232</f>
        <v>0</v>
      </c>
      <c r="G232" s="19">
        <f>(B232-E232)*'PSA&amp;CPR（function) '!G233</f>
        <v>0</v>
      </c>
      <c r="H232" s="19">
        <f>Remaining_balance($B$1,$D$1,A232,$B$3)*'PSA&amp;CPR（function) '!O233</f>
        <v>0</v>
      </c>
    </row>
    <row r="233" spans="1:8">
      <c r="A233">
        <f>'PSA&amp;CPR'!A233</f>
        <v>231</v>
      </c>
      <c r="B233" s="19">
        <f t="shared" si="6"/>
        <v>0</v>
      </c>
      <c r="C233" s="19">
        <f t="shared" si="7"/>
        <v>0</v>
      </c>
      <c r="D233" s="19">
        <f>Monthly_payment($B$1,$D$1,$B$3)*'PSA&amp;CPR（function) '!O233</f>
        <v>0</v>
      </c>
      <c r="E233" s="19">
        <f>Principle_portion_of_payment($B$1,$D$1,A233,$B$3)*'PSA&amp;CPR（function) '!O233</f>
        <v>0</v>
      </c>
      <c r="F233" s="19">
        <f>Interest_portion_of_payment($B$1,$D$1,A233,$B$3)*'PSA&amp;CPR（function) '!O233</f>
        <v>0</v>
      </c>
      <c r="G233" s="19">
        <f>(B233-E233)*'PSA&amp;CPR（function) '!G234</f>
        <v>0</v>
      </c>
      <c r="H233" s="19">
        <f>Remaining_balance($B$1,$D$1,A233,$B$3)*'PSA&amp;CPR（function) '!O234</f>
        <v>0</v>
      </c>
    </row>
    <row r="234" spans="1:8">
      <c r="A234">
        <f>'PSA&amp;CPR'!A234</f>
        <v>232</v>
      </c>
      <c r="B234" s="19">
        <f t="shared" si="6"/>
        <v>0</v>
      </c>
      <c r="C234" s="19">
        <f t="shared" si="7"/>
        <v>0</v>
      </c>
      <c r="D234" s="19">
        <f>Monthly_payment($B$1,$D$1,$B$3)*'PSA&amp;CPR（function) '!O234</f>
        <v>0</v>
      </c>
      <c r="E234" s="19">
        <f>Principle_portion_of_payment($B$1,$D$1,A234,$B$3)*'PSA&amp;CPR（function) '!O234</f>
        <v>0</v>
      </c>
      <c r="F234" s="19">
        <f>Interest_portion_of_payment($B$1,$D$1,A234,$B$3)*'PSA&amp;CPR（function) '!O234</f>
        <v>0</v>
      </c>
      <c r="G234" s="19">
        <f>(B234-E234)*'PSA&amp;CPR（function) '!G235</f>
        <v>0</v>
      </c>
      <c r="H234" s="19">
        <f>Remaining_balance($B$1,$D$1,A234,$B$3)*'PSA&amp;CPR（function) '!O235</f>
        <v>0</v>
      </c>
    </row>
    <row r="235" spans="1:8">
      <c r="A235">
        <f>'PSA&amp;CPR'!A235</f>
        <v>233</v>
      </c>
      <c r="B235" s="19">
        <f t="shared" si="6"/>
        <v>0</v>
      </c>
      <c r="C235" s="19">
        <f t="shared" si="7"/>
        <v>0</v>
      </c>
      <c r="D235" s="19">
        <f>Monthly_payment($B$1,$D$1,$B$3)*'PSA&amp;CPR（function) '!O235</f>
        <v>0</v>
      </c>
      <c r="E235" s="19">
        <f>Principle_portion_of_payment($B$1,$D$1,A235,$B$3)*'PSA&amp;CPR（function) '!O235</f>
        <v>0</v>
      </c>
      <c r="F235" s="19">
        <f>Interest_portion_of_payment($B$1,$D$1,A235,$B$3)*'PSA&amp;CPR（function) '!O235</f>
        <v>0</v>
      </c>
      <c r="G235" s="19">
        <f>(B235-E235)*'PSA&amp;CPR（function) '!G236</f>
        <v>0</v>
      </c>
      <c r="H235" s="19">
        <f>Remaining_balance($B$1,$D$1,A235,$B$3)*'PSA&amp;CPR（function) '!O236</f>
        <v>0</v>
      </c>
    </row>
    <row r="236" spans="1:8">
      <c r="A236">
        <f>'PSA&amp;CPR'!A236</f>
        <v>234</v>
      </c>
      <c r="B236" s="19">
        <f t="shared" si="6"/>
        <v>0</v>
      </c>
      <c r="C236" s="19">
        <f t="shared" si="7"/>
        <v>0</v>
      </c>
      <c r="D236" s="19">
        <f>Monthly_payment($B$1,$D$1,$B$3)*'PSA&amp;CPR（function) '!O236</f>
        <v>0</v>
      </c>
      <c r="E236" s="19">
        <f>Principle_portion_of_payment($B$1,$D$1,A236,$B$3)*'PSA&amp;CPR（function) '!O236</f>
        <v>0</v>
      </c>
      <c r="F236" s="19">
        <f>Interest_portion_of_payment($B$1,$D$1,A236,$B$3)*'PSA&amp;CPR（function) '!O236</f>
        <v>0</v>
      </c>
      <c r="G236" s="19">
        <f>(B236-E236)*'PSA&amp;CPR（function) '!G237</f>
        <v>0</v>
      </c>
      <c r="H236" s="19">
        <f>Remaining_balance($B$1,$D$1,A236,$B$3)*'PSA&amp;CPR（function) '!O237</f>
        <v>0</v>
      </c>
    </row>
    <row r="237" spans="1:8">
      <c r="A237">
        <f>'PSA&amp;CPR'!A237</f>
        <v>235</v>
      </c>
      <c r="B237" s="19">
        <f t="shared" si="6"/>
        <v>0</v>
      </c>
      <c r="C237" s="19">
        <f t="shared" si="7"/>
        <v>0</v>
      </c>
      <c r="D237" s="19">
        <f>Monthly_payment($B$1,$D$1,$B$3)*'PSA&amp;CPR（function) '!O237</f>
        <v>0</v>
      </c>
      <c r="E237" s="19">
        <f>Principle_portion_of_payment($B$1,$D$1,A237,$B$3)*'PSA&amp;CPR（function) '!O237</f>
        <v>0</v>
      </c>
      <c r="F237" s="19">
        <f>Interest_portion_of_payment($B$1,$D$1,A237,$B$3)*'PSA&amp;CPR（function) '!O237</f>
        <v>0</v>
      </c>
      <c r="G237" s="19">
        <f>(B237-E237)*'PSA&amp;CPR（function) '!G238</f>
        <v>0</v>
      </c>
      <c r="H237" s="19">
        <f>Remaining_balance($B$1,$D$1,A237,$B$3)*'PSA&amp;CPR（function) '!O238</f>
        <v>0</v>
      </c>
    </row>
    <row r="238" spans="1:8">
      <c r="A238">
        <f>'PSA&amp;CPR'!A238</f>
        <v>236</v>
      </c>
      <c r="B238" s="19">
        <f t="shared" si="6"/>
        <v>0</v>
      </c>
      <c r="C238" s="19">
        <f t="shared" si="7"/>
        <v>0</v>
      </c>
      <c r="D238" s="19">
        <f>Monthly_payment($B$1,$D$1,$B$3)*'PSA&amp;CPR（function) '!O238</f>
        <v>0</v>
      </c>
      <c r="E238" s="19">
        <f>Principle_portion_of_payment($B$1,$D$1,A238,$B$3)*'PSA&amp;CPR（function) '!O238</f>
        <v>0</v>
      </c>
      <c r="F238" s="19">
        <f>Interest_portion_of_payment($B$1,$D$1,A238,$B$3)*'PSA&amp;CPR（function) '!O238</f>
        <v>0</v>
      </c>
      <c r="G238" s="19">
        <f>(B238-E238)*'PSA&amp;CPR（function) '!G239</f>
        <v>0</v>
      </c>
      <c r="H238" s="19">
        <f>Remaining_balance($B$1,$D$1,A238,$B$3)*'PSA&amp;CPR（function) '!O239</f>
        <v>0</v>
      </c>
    </row>
    <row r="239" spans="1:8">
      <c r="A239">
        <f>'PSA&amp;CPR'!A239</f>
        <v>237</v>
      </c>
      <c r="B239" s="19">
        <f t="shared" si="6"/>
        <v>0</v>
      </c>
      <c r="C239" s="19">
        <f t="shared" si="7"/>
        <v>0</v>
      </c>
      <c r="D239" s="19">
        <f>Monthly_payment($B$1,$D$1,$B$3)*'PSA&amp;CPR（function) '!O239</f>
        <v>0</v>
      </c>
      <c r="E239" s="19">
        <f>Principle_portion_of_payment($B$1,$D$1,A239,$B$3)*'PSA&amp;CPR（function) '!O239</f>
        <v>0</v>
      </c>
      <c r="F239" s="19">
        <f>Interest_portion_of_payment($B$1,$D$1,A239,$B$3)*'PSA&amp;CPR（function) '!O239</f>
        <v>0</v>
      </c>
      <c r="G239" s="19">
        <f>(B239-E239)*'PSA&amp;CPR（function) '!G240</f>
        <v>0</v>
      </c>
      <c r="H239" s="19">
        <f>Remaining_balance($B$1,$D$1,A239,$B$3)*'PSA&amp;CPR（function) '!O240</f>
        <v>0</v>
      </c>
    </row>
    <row r="240" spans="1:8">
      <c r="A240">
        <f>'PSA&amp;CPR'!A240</f>
        <v>238</v>
      </c>
      <c r="B240" s="19">
        <f t="shared" si="6"/>
        <v>0</v>
      </c>
      <c r="C240" s="19">
        <f t="shared" si="7"/>
        <v>0</v>
      </c>
      <c r="D240" s="19">
        <f>Monthly_payment($B$1,$D$1,$B$3)*'PSA&amp;CPR（function) '!O240</f>
        <v>0</v>
      </c>
      <c r="E240" s="19">
        <f>Principle_portion_of_payment($B$1,$D$1,A240,$B$3)*'PSA&amp;CPR（function) '!O240</f>
        <v>0</v>
      </c>
      <c r="F240" s="19">
        <f>Interest_portion_of_payment($B$1,$D$1,A240,$B$3)*'PSA&amp;CPR（function) '!O240</f>
        <v>0</v>
      </c>
      <c r="G240" s="19">
        <f>(B240-E240)*'PSA&amp;CPR（function) '!G241</f>
        <v>0</v>
      </c>
      <c r="H240" s="19">
        <f>Remaining_balance($B$1,$D$1,A240,$B$3)*'PSA&amp;CPR（function) '!O241</f>
        <v>0</v>
      </c>
    </row>
    <row r="241" spans="1:8">
      <c r="A241">
        <f>'PSA&amp;CPR'!A241</f>
        <v>239</v>
      </c>
      <c r="B241" s="19">
        <f t="shared" si="6"/>
        <v>0</v>
      </c>
      <c r="C241" s="19">
        <f t="shared" si="7"/>
        <v>0</v>
      </c>
      <c r="D241" s="19">
        <f>Monthly_payment($B$1,$D$1,$B$3)*'PSA&amp;CPR（function) '!O241</f>
        <v>0</v>
      </c>
      <c r="E241" s="19">
        <f>Principle_portion_of_payment($B$1,$D$1,A241,$B$3)*'PSA&amp;CPR（function) '!O241</f>
        <v>0</v>
      </c>
      <c r="F241" s="19">
        <f>Interest_portion_of_payment($B$1,$D$1,A241,$B$3)*'PSA&amp;CPR（function) '!O241</f>
        <v>0</v>
      </c>
      <c r="G241" s="19">
        <f>(B241-E241)*'PSA&amp;CPR（function) '!G242</f>
        <v>0</v>
      </c>
      <c r="H241" s="19">
        <f>Remaining_balance($B$1,$D$1,A241,$B$3)*'PSA&amp;CPR（function) '!O242</f>
        <v>0</v>
      </c>
    </row>
    <row r="242" spans="1:8">
      <c r="A242">
        <f>'PSA&amp;CPR'!A242</f>
        <v>240</v>
      </c>
      <c r="B242" s="19">
        <f t="shared" si="6"/>
        <v>0</v>
      </c>
      <c r="C242" s="19">
        <f t="shared" si="7"/>
        <v>0</v>
      </c>
      <c r="D242" s="19">
        <f>Monthly_payment($B$1,$D$1,$B$3)*'PSA&amp;CPR（function) '!O242</f>
        <v>0</v>
      </c>
      <c r="E242" s="19">
        <f>Principle_portion_of_payment($B$1,$D$1,A242,$B$3)*'PSA&amp;CPR（function) '!O242</f>
        <v>0</v>
      </c>
      <c r="F242" s="19">
        <f>Interest_portion_of_payment($B$1,$D$1,A242,$B$3)*'PSA&amp;CPR（function) '!O242</f>
        <v>0</v>
      </c>
      <c r="G242" s="19">
        <f>(B242-E242)*'PSA&amp;CPR（function) '!G243</f>
        <v>0</v>
      </c>
      <c r="H242" s="19">
        <f>Remaining_balance($B$1,$D$1,A242,$B$3)*'PSA&amp;CPR（function) '!O243</f>
        <v>0</v>
      </c>
    </row>
    <row r="243" spans="1:8">
      <c r="A243">
        <f>'PSA&amp;CPR'!A243</f>
        <v>241</v>
      </c>
      <c r="B243" s="19">
        <f t="shared" si="6"/>
        <v>0</v>
      </c>
      <c r="C243" s="19">
        <f t="shared" si="7"/>
        <v>0</v>
      </c>
      <c r="D243" s="19">
        <f>Monthly_payment($B$1,$D$1,$B$3)*'PSA&amp;CPR（function) '!O243</f>
        <v>0</v>
      </c>
      <c r="E243" s="19">
        <f>Principle_portion_of_payment($B$1,$D$1,A243,$B$3)*'PSA&amp;CPR（function) '!O243</f>
        <v>0</v>
      </c>
      <c r="F243" s="19">
        <f>Interest_portion_of_payment($B$1,$D$1,A243,$B$3)*'PSA&amp;CPR（function) '!O243</f>
        <v>0</v>
      </c>
      <c r="G243" s="19">
        <f>(B243-E243)*'PSA&amp;CPR（function) '!G244</f>
        <v>0</v>
      </c>
      <c r="H243" s="19">
        <f>Remaining_balance($B$1,$D$1,A243,$B$3)*'PSA&amp;CPR（function) '!O244</f>
        <v>0</v>
      </c>
    </row>
    <row r="244" spans="1:8">
      <c r="A244">
        <f>'PSA&amp;CPR'!A244</f>
        <v>242</v>
      </c>
      <c r="B244" s="19">
        <f t="shared" si="6"/>
        <v>0</v>
      </c>
      <c r="C244" s="19">
        <f t="shared" si="7"/>
        <v>0</v>
      </c>
      <c r="D244" s="19">
        <f>Monthly_payment($B$1,$D$1,$B$3)*'PSA&amp;CPR（function) '!O244</f>
        <v>0</v>
      </c>
      <c r="E244" s="19">
        <f>Principle_portion_of_payment($B$1,$D$1,A244,$B$3)*'PSA&amp;CPR（function) '!O244</f>
        <v>0</v>
      </c>
      <c r="F244" s="19">
        <f>Interest_portion_of_payment($B$1,$D$1,A244,$B$3)*'PSA&amp;CPR（function) '!O244</f>
        <v>0</v>
      </c>
      <c r="G244" s="19">
        <f>(B244-E244)*'PSA&amp;CPR（function) '!G245</f>
        <v>0</v>
      </c>
      <c r="H244" s="19">
        <f>Remaining_balance($B$1,$D$1,A244,$B$3)*'PSA&amp;CPR（function) '!O245</f>
        <v>0</v>
      </c>
    </row>
    <row r="245" spans="1:8">
      <c r="A245">
        <f>'PSA&amp;CPR'!A245</f>
        <v>243</v>
      </c>
      <c r="B245" s="19">
        <f t="shared" si="6"/>
        <v>0</v>
      </c>
      <c r="C245" s="19">
        <f t="shared" si="7"/>
        <v>0</v>
      </c>
      <c r="D245" s="19">
        <f>Monthly_payment($B$1,$D$1,$B$3)*'PSA&amp;CPR（function) '!O245</f>
        <v>0</v>
      </c>
      <c r="E245" s="19">
        <f>Principle_portion_of_payment($B$1,$D$1,A245,$B$3)*'PSA&amp;CPR（function) '!O245</f>
        <v>0</v>
      </c>
      <c r="F245" s="19">
        <f>Interest_portion_of_payment($B$1,$D$1,A245,$B$3)*'PSA&amp;CPR（function) '!O245</f>
        <v>0</v>
      </c>
      <c r="G245" s="19">
        <f>(B245-E245)*'PSA&amp;CPR（function) '!G246</f>
        <v>0</v>
      </c>
      <c r="H245" s="19">
        <f>Remaining_balance($B$1,$D$1,A245,$B$3)*'PSA&amp;CPR（function) '!O246</f>
        <v>0</v>
      </c>
    </row>
    <row r="246" spans="1:8">
      <c r="A246">
        <f>'PSA&amp;CPR'!A246</f>
        <v>244</v>
      </c>
      <c r="B246" s="19">
        <f t="shared" si="6"/>
        <v>0</v>
      </c>
      <c r="C246" s="19">
        <f t="shared" si="7"/>
        <v>0</v>
      </c>
      <c r="D246" s="19">
        <f>Monthly_payment($B$1,$D$1,$B$3)*'PSA&amp;CPR（function) '!O246</f>
        <v>0</v>
      </c>
      <c r="E246" s="19">
        <f>Principle_portion_of_payment($B$1,$D$1,A246,$B$3)*'PSA&amp;CPR（function) '!O246</f>
        <v>0</v>
      </c>
      <c r="F246" s="19">
        <f>Interest_portion_of_payment($B$1,$D$1,A246,$B$3)*'PSA&amp;CPR（function) '!O246</f>
        <v>0</v>
      </c>
      <c r="G246" s="19">
        <f>(B246-E246)*'PSA&amp;CPR（function) '!G247</f>
        <v>0</v>
      </c>
      <c r="H246" s="19">
        <f>Remaining_balance($B$1,$D$1,A246,$B$3)*'PSA&amp;CPR（function) '!O247</f>
        <v>0</v>
      </c>
    </row>
    <row r="247" spans="1:8">
      <c r="A247">
        <f>'PSA&amp;CPR'!A247</f>
        <v>245</v>
      </c>
      <c r="B247" s="19">
        <f t="shared" si="6"/>
        <v>0</v>
      </c>
      <c r="C247" s="19">
        <f t="shared" si="7"/>
        <v>0</v>
      </c>
      <c r="D247" s="19">
        <f>Monthly_payment($B$1,$D$1,$B$3)*'PSA&amp;CPR（function) '!O247</f>
        <v>0</v>
      </c>
      <c r="E247" s="19">
        <f>Principle_portion_of_payment($B$1,$D$1,A247,$B$3)*'PSA&amp;CPR（function) '!O247</f>
        <v>0</v>
      </c>
      <c r="F247" s="19">
        <f>Interest_portion_of_payment($B$1,$D$1,A247,$B$3)*'PSA&amp;CPR（function) '!O247</f>
        <v>0</v>
      </c>
      <c r="G247" s="19">
        <f>(B247-E247)*'PSA&amp;CPR（function) '!G248</f>
        <v>0</v>
      </c>
      <c r="H247" s="19">
        <f>Remaining_balance($B$1,$D$1,A247,$B$3)*'PSA&amp;CPR（function) '!O248</f>
        <v>0</v>
      </c>
    </row>
    <row r="248" spans="1:8">
      <c r="A248">
        <f>'PSA&amp;CPR'!A248</f>
        <v>246</v>
      </c>
      <c r="B248" s="19">
        <f t="shared" si="6"/>
        <v>0</v>
      </c>
      <c r="C248" s="19">
        <f t="shared" si="7"/>
        <v>0</v>
      </c>
      <c r="D248" s="19">
        <f>Monthly_payment($B$1,$D$1,$B$3)*'PSA&amp;CPR（function) '!O248</f>
        <v>0</v>
      </c>
      <c r="E248" s="19">
        <f>Principle_portion_of_payment($B$1,$D$1,A248,$B$3)*'PSA&amp;CPR（function) '!O248</f>
        <v>0</v>
      </c>
      <c r="F248" s="19">
        <f>Interest_portion_of_payment($B$1,$D$1,A248,$B$3)*'PSA&amp;CPR（function) '!O248</f>
        <v>0</v>
      </c>
      <c r="G248" s="19">
        <f>(B248-E248)*'PSA&amp;CPR（function) '!G249</f>
        <v>0</v>
      </c>
      <c r="H248" s="19">
        <f>Remaining_balance($B$1,$D$1,A248,$B$3)*'PSA&amp;CPR（function) '!O249</f>
        <v>0</v>
      </c>
    </row>
    <row r="249" spans="1:8">
      <c r="A249">
        <f>'PSA&amp;CPR'!A249</f>
        <v>247</v>
      </c>
      <c r="B249" s="19">
        <f t="shared" si="6"/>
        <v>0</v>
      </c>
      <c r="C249" s="19">
        <f t="shared" si="7"/>
        <v>0</v>
      </c>
      <c r="D249" s="19">
        <f>Monthly_payment($B$1,$D$1,$B$3)*'PSA&amp;CPR（function) '!O249</f>
        <v>0</v>
      </c>
      <c r="E249" s="19">
        <f>Principle_portion_of_payment($B$1,$D$1,A249,$B$3)*'PSA&amp;CPR（function) '!O249</f>
        <v>0</v>
      </c>
      <c r="F249" s="19">
        <f>Interest_portion_of_payment($B$1,$D$1,A249,$B$3)*'PSA&amp;CPR（function) '!O249</f>
        <v>0</v>
      </c>
      <c r="G249" s="19">
        <f>(B249-E249)*'PSA&amp;CPR（function) '!G250</f>
        <v>0</v>
      </c>
      <c r="H249" s="19">
        <f>Remaining_balance($B$1,$D$1,A249,$B$3)*'PSA&amp;CPR（function) '!O250</f>
        <v>0</v>
      </c>
    </row>
    <row r="250" spans="1:8">
      <c r="A250">
        <f>'PSA&amp;CPR'!A250</f>
        <v>248</v>
      </c>
      <c r="B250" s="19">
        <f t="shared" si="6"/>
        <v>0</v>
      </c>
      <c r="C250" s="19">
        <f t="shared" si="7"/>
        <v>0</v>
      </c>
      <c r="D250" s="19">
        <f>Monthly_payment($B$1,$D$1,$B$3)*'PSA&amp;CPR（function) '!O250</f>
        <v>0</v>
      </c>
      <c r="E250" s="19">
        <f>Principle_portion_of_payment($B$1,$D$1,A250,$B$3)*'PSA&amp;CPR（function) '!O250</f>
        <v>0</v>
      </c>
      <c r="F250" s="19">
        <f>Interest_portion_of_payment($B$1,$D$1,A250,$B$3)*'PSA&amp;CPR（function) '!O250</f>
        <v>0</v>
      </c>
      <c r="G250" s="19">
        <f>(B250-E250)*'PSA&amp;CPR（function) '!G251</f>
        <v>0</v>
      </c>
      <c r="H250" s="19">
        <f>Remaining_balance($B$1,$D$1,A250,$B$3)*'PSA&amp;CPR（function) '!O251</f>
        <v>0</v>
      </c>
    </row>
    <row r="251" spans="1:8">
      <c r="A251">
        <f>'PSA&amp;CPR'!A251</f>
        <v>249</v>
      </c>
      <c r="B251" s="19">
        <f t="shared" si="6"/>
        <v>0</v>
      </c>
      <c r="C251" s="19">
        <f t="shared" si="7"/>
        <v>0</v>
      </c>
      <c r="D251" s="19">
        <f>Monthly_payment($B$1,$D$1,$B$3)*'PSA&amp;CPR（function) '!O251</f>
        <v>0</v>
      </c>
      <c r="E251" s="19">
        <f>Principle_portion_of_payment($B$1,$D$1,A251,$B$3)*'PSA&amp;CPR（function) '!O251</f>
        <v>0</v>
      </c>
      <c r="F251" s="19">
        <f>Interest_portion_of_payment($B$1,$D$1,A251,$B$3)*'PSA&amp;CPR（function) '!O251</f>
        <v>0</v>
      </c>
      <c r="G251" s="19">
        <f>(B251-E251)*'PSA&amp;CPR（function) '!G252</f>
        <v>0</v>
      </c>
      <c r="H251" s="19">
        <f>Remaining_balance($B$1,$D$1,A251,$B$3)*'PSA&amp;CPR（function) '!O252</f>
        <v>0</v>
      </c>
    </row>
    <row r="252" spans="1:8">
      <c r="A252">
        <f>'PSA&amp;CPR'!A252</f>
        <v>250</v>
      </c>
      <c r="B252" s="19">
        <f t="shared" si="6"/>
        <v>0</v>
      </c>
      <c r="C252" s="19">
        <f t="shared" si="7"/>
        <v>0</v>
      </c>
      <c r="D252" s="19">
        <f>Monthly_payment($B$1,$D$1,$B$3)*'PSA&amp;CPR（function) '!O252</f>
        <v>0</v>
      </c>
      <c r="E252" s="19">
        <f>Principle_portion_of_payment($B$1,$D$1,A252,$B$3)*'PSA&amp;CPR（function) '!O252</f>
        <v>0</v>
      </c>
      <c r="F252" s="19">
        <f>Interest_portion_of_payment($B$1,$D$1,A252,$B$3)*'PSA&amp;CPR（function) '!O252</f>
        <v>0</v>
      </c>
      <c r="G252" s="19">
        <f>(B252-E252)*'PSA&amp;CPR（function) '!G253</f>
        <v>0</v>
      </c>
      <c r="H252" s="19">
        <f>Remaining_balance($B$1,$D$1,A252,$B$3)*'PSA&amp;CPR（function) '!O253</f>
        <v>0</v>
      </c>
    </row>
    <row r="253" spans="1:8">
      <c r="A253">
        <f>'PSA&amp;CPR'!A253</f>
        <v>251</v>
      </c>
      <c r="B253" s="19">
        <f t="shared" si="6"/>
        <v>0</v>
      </c>
      <c r="C253" s="19">
        <f t="shared" si="7"/>
        <v>0</v>
      </c>
      <c r="D253" s="19">
        <f>Monthly_payment($B$1,$D$1,$B$3)*'PSA&amp;CPR（function) '!O253</f>
        <v>0</v>
      </c>
      <c r="E253" s="19">
        <f>Principle_portion_of_payment($B$1,$D$1,A253,$B$3)*'PSA&amp;CPR（function) '!O253</f>
        <v>0</v>
      </c>
      <c r="F253" s="19">
        <f>Interest_portion_of_payment($B$1,$D$1,A253,$B$3)*'PSA&amp;CPR（function) '!O253</f>
        <v>0</v>
      </c>
      <c r="G253" s="19">
        <f>(B253-E253)*'PSA&amp;CPR（function) '!G254</f>
        <v>0</v>
      </c>
      <c r="H253" s="19">
        <f>Remaining_balance($B$1,$D$1,A253,$B$3)*'PSA&amp;CPR（function) '!O254</f>
        <v>0</v>
      </c>
    </row>
    <row r="254" spans="1:8">
      <c r="A254">
        <f>'PSA&amp;CPR'!A254</f>
        <v>252</v>
      </c>
      <c r="B254" s="19">
        <f t="shared" si="6"/>
        <v>0</v>
      </c>
      <c r="C254" s="19">
        <f t="shared" si="7"/>
        <v>0</v>
      </c>
      <c r="D254" s="19">
        <f>Monthly_payment($B$1,$D$1,$B$3)*'PSA&amp;CPR（function) '!O254</f>
        <v>0</v>
      </c>
      <c r="E254" s="19">
        <f>Principle_portion_of_payment($B$1,$D$1,A254,$B$3)*'PSA&amp;CPR（function) '!O254</f>
        <v>0</v>
      </c>
      <c r="F254" s="19">
        <f>Interest_portion_of_payment($B$1,$D$1,A254,$B$3)*'PSA&amp;CPR（function) '!O254</f>
        <v>0</v>
      </c>
      <c r="G254" s="19">
        <f>(B254-E254)*'PSA&amp;CPR（function) '!G255</f>
        <v>0</v>
      </c>
      <c r="H254" s="19">
        <f>Remaining_balance($B$1,$D$1,A254,$B$3)*'PSA&amp;CPR（function) '!O255</f>
        <v>0</v>
      </c>
    </row>
    <row r="255" spans="1:8">
      <c r="A255">
        <f>'PSA&amp;CPR'!A255</f>
        <v>253</v>
      </c>
      <c r="B255" s="19">
        <f t="shared" si="6"/>
        <v>0</v>
      </c>
      <c r="C255" s="19">
        <f t="shared" si="7"/>
        <v>0</v>
      </c>
      <c r="D255" s="19">
        <f>Monthly_payment($B$1,$D$1,$B$3)*'PSA&amp;CPR（function) '!O255</f>
        <v>0</v>
      </c>
      <c r="E255" s="19">
        <f>Principle_portion_of_payment($B$1,$D$1,A255,$B$3)*'PSA&amp;CPR（function) '!O255</f>
        <v>0</v>
      </c>
      <c r="F255" s="19">
        <f>Interest_portion_of_payment($B$1,$D$1,A255,$B$3)*'PSA&amp;CPR（function) '!O255</f>
        <v>0</v>
      </c>
      <c r="G255" s="19">
        <f>(B255-E255)*'PSA&amp;CPR（function) '!G256</f>
        <v>0</v>
      </c>
      <c r="H255" s="19">
        <f>Remaining_balance($B$1,$D$1,A255,$B$3)*'PSA&amp;CPR（function) '!O256</f>
        <v>0</v>
      </c>
    </row>
    <row r="256" spans="1:8">
      <c r="A256">
        <f>'PSA&amp;CPR'!A256</f>
        <v>254</v>
      </c>
      <c r="B256" s="19">
        <f t="shared" si="6"/>
        <v>0</v>
      </c>
      <c r="C256" s="19">
        <f t="shared" si="7"/>
        <v>0</v>
      </c>
      <c r="D256" s="19">
        <f>Monthly_payment($B$1,$D$1,$B$3)*'PSA&amp;CPR（function) '!O256</f>
        <v>0</v>
      </c>
      <c r="E256" s="19">
        <f>Principle_portion_of_payment($B$1,$D$1,A256,$B$3)*'PSA&amp;CPR（function) '!O256</f>
        <v>0</v>
      </c>
      <c r="F256" s="19">
        <f>Interest_portion_of_payment($B$1,$D$1,A256,$B$3)*'PSA&amp;CPR（function) '!O256</f>
        <v>0</v>
      </c>
      <c r="G256" s="19">
        <f>(B256-E256)*'PSA&amp;CPR（function) '!G257</f>
        <v>0</v>
      </c>
      <c r="H256" s="19">
        <f>Remaining_balance($B$1,$D$1,A256,$B$3)*'PSA&amp;CPR（function) '!O257</f>
        <v>0</v>
      </c>
    </row>
    <row r="257" spans="1:8">
      <c r="A257">
        <f>'PSA&amp;CPR'!A257</f>
        <v>255</v>
      </c>
      <c r="B257" s="19">
        <f t="shared" si="6"/>
        <v>0</v>
      </c>
      <c r="C257" s="19">
        <f t="shared" si="7"/>
        <v>0</v>
      </c>
      <c r="D257" s="19">
        <f>Monthly_payment($B$1,$D$1,$B$3)*'PSA&amp;CPR（function) '!O257</f>
        <v>0</v>
      </c>
      <c r="E257" s="19">
        <f>Principle_portion_of_payment($B$1,$D$1,A257,$B$3)*'PSA&amp;CPR（function) '!O257</f>
        <v>0</v>
      </c>
      <c r="F257" s="19">
        <f>Interest_portion_of_payment($B$1,$D$1,A257,$B$3)*'PSA&amp;CPR（function) '!O257</f>
        <v>0</v>
      </c>
      <c r="G257" s="19">
        <f>(B257-E257)*'PSA&amp;CPR（function) '!G258</f>
        <v>0</v>
      </c>
      <c r="H257" s="19">
        <f>Remaining_balance($B$1,$D$1,A257,$B$3)*'PSA&amp;CPR（function) '!O258</f>
        <v>0</v>
      </c>
    </row>
    <row r="258" spans="1:8">
      <c r="A258">
        <f>'PSA&amp;CPR'!A258</f>
        <v>256</v>
      </c>
      <c r="B258" s="19">
        <f t="shared" si="6"/>
        <v>0</v>
      </c>
      <c r="C258" s="19">
        <f t="shared" si="7"/>
        <v>0</v>
      </c>
      <c r="D258" s="19">
        <f>Monthly_payment($B$1,$D$1,$B$3)*'PSA&amp;CPR（function) '!O258</f>
        <v>0</v>
      </c>
      <c r="E258" s="19">
        <f>Principle_portion_of_payment($B$1,$D$1,A258,$B$3)*'PSA&amp;CPR（function) '!O258</f>
        <v>0</v>
      </c>
      <c r="F258" s="19">
        <f>Interest_portion_of_payment($B$1,$D$1,A258,$B$3)*'PSA&amp;CPR（function) '!O258</f>
        <v>0</v>
      </c>
      <c r="G258" s="19">
        <f>(B258-E258)*'PSA&amp;CPR（function) '!G259</f>
        <v>0</v>
      </c>
      <c r="H258" s="19">
        <f>Remaining_balance($B$1,$D$1,A258,$B$3)*'PSA&amp;CPR（function) '!O259</f>
        <v>0</v>
      </c>
    </row>
    <row r="259" spans="1:8">
      <c r="A259">
        <f>'PSA&amp;CPR'!A259</f>
        <v>257</v>
      </c>
      <c r="B259" s="19">
        <f t="shared" si="6"/>
        <v>0</v>
      </c>
      <c r="C259" s="19">
        <f t="shared" si="7"/>
        <v>0</v>
      </c>
      <c r="D259" s="19">
        <f>Monthly_payment($B$1,$D$1,$B$3)*'PSA&amp;CPR（function) '!O259</f>
        <v>0</v>
      </c>
      <c r="E259" s="19">
        <f>Principle_portion_of_payment($B$1,$D$1,A259,$B$3)*'PSA&amp;CPR（function) '!O259</f>
        <v>0</v>
      </c>
      <c r="F259" s="19">
        <f>Interest_portion_of_payment($B$1,$D$1,A259,$B$3)*'PSA&amp;CPR（function) '!O259</f>
        <v>0</v>
      </c>
      <c r="G259" s="19">
        <f>(B259-E259)*'PSA&amp;CPR（function) '!G260</f>
        <v>0</v>
      </c>
      <c r="H259" s="19">
        <f>Remaining_balance($B$1,$D$1,A259,$B$3)*'PSA&amp;CPR（function) '!O260</f>
        <v>0</v>
      </c>
    </row>
    <row r="260" spans="1:8">
      <c r="A260">
        <f>'PSA&amp;CPR'!A260</f>
        <v>258</v>
      </c>
      <c r="B260" s="19">
        <f t="shared" si="6"/>
        <v>0</v>
      </c>
      <c r="C260" s="19">
        <f t="shared" si="7"/>
        <v>0</v>
      </c>
      <c r="D260" s="19">
        <f>Monthly_payment($B$1,$D$1,$B$3)*'PSA&amp;CPR（function) '!O260</f>
        <v>0</v>
      </c>
      <c r="E260" s="19">
        <f>Principle_portion_of_payment($B$1,$D$1,A260,$B$3)*'PSA&amp;CPR（function) '!O260</f>
        <v>0</v>
      </c>
      <c r="F260" s="19">
        <f>Interest_portion_of_payment($B$1,$D$1,A260,$B$3)*'PSA&amp;CPR（function) '!O260</f>
        <v>0</v>
      </c>
      <c r="G260" s="19">
        <f>(B260-E260)*'PSA&amp;CPR（function) '!G261</f>
        <v>0</v>
      </c>
      <c r="H260" s="19">
        <f>Remaining_balance($B$1,$D$1,A260,$B$3)*'PSA&amp;CPR（function) '!O261</f>
        <v>0</v>
      </c>
    </row>
    <row r="261" spans="1:8">
      <c r="A261">
        <f>'PSA&amp;CPR'!A261</f>
        <v>259</v>
      </c>
      <c r="B261" s="19">
        <f t="shared" ref="B261:B324" si="8">H260</f>
        <v>0</v>
      </c>
      <c r="C261" s="19">
        <f t="shared" ref="C261:C324" si="9">B261*($B$1/1200)</f>
        <v>0</v>
      </c>
      <c r="D261" s="19">
        <f>Monthly_payment($B$1,$D$1,$B$3)*'PSA&amp;CPR（function) '!O261</f>
        <v>0</v>
      </c>
      <c r="E261" s="19">
        <f>Principle_portion_of_payment($B$1,$D$1,A261,$B$3)*'PSA&amp;CPR（function) '!O261</f>
        <v>0</v>
      </c>
      <c r="F261" s="19">
        <f>Interest_portion_of_payment($B$1,$D$1,A261,$B$3)*'PSA&amp;CPR（function) '!O261</f>
        <v>0</v>
      </c>
      <c r="G261" s="19">
        <f>(B261-E261)*'PSA&amp;CPR（function) '!G262</f>
        <v>0</v>
      </c>
      <c r="H261" s="19">
        <f>Remaining_balance($B$1,$D$1,A261,$B$3)*'PSA&amp;CPR（function) '!O262</f>
        <v>0</v>
      </c>
    </row>
    <row r="262" spans="1:8">
      <c r="A262">
        <f>'PSA&amp;CPR'!A262</f>
        <v>260</v>
      </c>
      <c r="B262" s="19">
        <f t="shared" si="8"/>
        <v>0</v>
      </c>
      <c r="C262" s="19">
        <f t="shared" si="9"/>
        <v>0</v>
      </c>
      <c r="D262" s="19">
        <f>Monthly_payment($B$1,$D$1,$B$3)*'PSA&amp;CPR（function) '!O262</f>
        <v>0</v>
      </c>
      <c r="E262" s="19">
        <f>Principle_portion_of_payment($B$1,$D$1,A262,$B$3)*'PSA&amp;CPR（function) '!O262</f>
        <v>0</v>
      </c>
      <c r="F262" s="19">
        <f>Interest_portion_of_payment($B$1,$D$1,A262,$B$3)*'PSA&amp;CPR（function) '!O262</f>
        <v>0</v>
      </c>
      <c r="G262" s="19">
        <f>(B262-E262)*'PSA&amp;CPR（function) '!G263</f>
        <v>0</v>
      </c>
      <c r="H262" s="19">
        <f>Remaining_balance($B$1,$D$1,A262,$B$3)*'PSA&amp;CPR（function) '!O263</f>
        <v>0</v>
      </c>
    </row>
    <row r="263" spans="1:8">
      <c r="A263">
        <f>'PSA&amp;CPR'!A263</f>
        <v>261</v>
      </c>
      <c r="B263" s="19">
        <f t="shared" si="8"/>
        <v>0</v>
      </c>
      <c r="C263" s="19">
        <f t="shared" si="9"/>
        <v>0</v>
      </c>
      <c r="D263" s="19">
        <f>Monthly_payment($B$1,$D$1,$B$3)*'PSA&amp;CPR（function) '!O263</f>
        <v>0</v>
      </c>
      <c r="E263" s="19">
        <f>Principle_portion_of_payment($B$1,$D$1,A263,$B$3)*'PSA&amp;CPR（function) '!O263</f>
        <v>0</v>
      </c>
      <c r="F263" s="19">
        <f>Interest_portion_of_payment($B$1,$D$1,A263,$B$3)*'PSA&amp;CPR（function) '!O263</f>
        <v>0</v>
      </c>
      <c r="G263" s="19">
        <f>(B263-E263)*'PSA&amp;CPR（function) '!G264</f>
        <v>0</v>
      </c>
      <c r="H263" s="19">
        <f>Remaining_balance($B$1,$D$1,A263,$B$3)*'PSA&amp;CPR（function) '!O264</f>
        <v>0</v>
      </c>
    </row>
    <row r="264" spans="1:8">
      <c r="A264">
        <f>'PSA&amp;CPR'!A264</f>
        <v>262</v>
      </c>
      <c r="B264" s="19">
        <f t="shared" si="8"/>
        <v>0</v>
      </c>
      <c r="C264" s="19">
        <f t="shared" si="9"/>
        <v>0</v>
      </c>
      <c r="D264" s="19">
        <f>Monthly_payment($B$1,$D$1,$B$3)*'PSA&amp;CPR（function) '!O264</f>
        <v>0</v>
      </c>
      <c r="E264" s="19">
        <f>Principle_portion_of_payment($B$1,$D$1,A264,$B$3)*'PSA&amp;CPR（function) '!O264</f>
        <v>0</v>
      </c>
      <c r="F264" s="19">
        <f>Interest_portion_of_payment($B$1,$D$1,A264,$B$3)*'PSA&amp;CPR（function) '!O264</f>
        <v>0</v>
      </c>
      <c r="G264" s="19">
        <f>(B264-E264)*'PSA&amp;CPR（function) '!G265</f>
        <v>0</v>
      </c>
      <c r="H264" s="19">
        <f>Remaining_balance($B$1,$D$1,A264,$B$3)*'PSA&amp;CPR（function) '!O265</f>
        <v>0</v>
      </c>
    </row>
    <row r="265" spans="1:8">
      <c r="A265">
        <f>'PSA&amp;CPR'!A265</f>
        <v>263</v>
      </c>
      <c r="B265" s="19">
        <f t="shared" si="8"/>
        <v>0</v>
      </c>
      <c r="C265" s="19">
        <f t="shared" si="9"/>
        <v>0</v>
      </c>
      <c r="D265" s="19">
        <f>Monthly_payment($B$1,$D$1,$B$3)*'PSA&amp;CPR（function) '!O265</f>
        <v>0</v>
      </c>
      <c r="E265" s="19">
        <f>Principle_portion_of_payment($B$1,$D$1,A265,$B$3)*'PSA&amp;CPR（function) '!O265</f>
        <v>0</v>
      </c>
      <c r="F265" s="19">
        <f>Interest_portion_of_payment($B$1,$D$1,A265,$B$3)*'PSA&amp;CPR（function) '!O265</f>
        <v>0</v>
      </c>
      <c r="G265" s="19">
        <f>(B265-E265)*'PSA&amp;CPR（function) '!G266</f>
        <v>0</v>
      </c>
      <c r="H265" s="19">
        <f>Remaining_balance($B$1,$D$1,A265,$B$3)*'PSA&amp;CPR（function) '!O266</f>
        <v>0</v>
      </c>
    </row>
    <row r="266" spans="1:8">
      <c r="A266">
        <f>'PSA&amp;CPR'!A266</f>
        <v>264</v>
      </c>
      <c r="B266" s="19">
        <f t="shared" si="8"/>
        <v>0</v>
      </c>
      <c r="C266" s="19">
        <f t="shared" si="9"/>
        <v>0</v>
      </c>
      <c r="D266" s="19">
        <f>Monthly_payment($B$1,$D$1,$B$3)*'PSA&amp;CPR（function) '!O266</f>
        <v>0</v>
      </c>
      <c r="E266" s="19">
        <f>Principle_portion_of_payment($B$1,$D$1,A266,$B$3)*'PSA&amp;CPR（function) '!O266</f>
        <v>0</v>
      </c>
      <c r="F266" s="19">
        <f>Interest_portion_of_payment($B$1,$D$1,A266,$B$3)*'PSA&amp;CPR（function) '!O266</f>
        <v>0</v>
      </c>
      <c r="G266" s="19">
        <f>(B266-E266)*'PSA&amp;CPR（function) '!G267</f>
        <v>0</v>
      </c>
      <c r="H266" s="19">
        <f>Remaining_balance($B$1,$D$1,A266,$B$3)*'PSA&amp;CPR（function) '!O267</f>
        <v>0</v>
      </c>
    </row>
    <row r="267" spans="1:8">
      <c r="A267">
        <f>'PSA&amp;CPR'!A267</f>
        <v>265</v>
      </c>
      <c r="B267" s="19">
        <f t="shared" si="8"/>
        <v>0</v>
      </c>
      <c r="C267" s="19">
        <f t="shared" si="9"/>
        <v>0</v>
      </c>
      <c r="D267" s="19">
        <f>Monthly_payment($B$1,$D$1,$B$3)*'PSA&amp;CPR（function) '!O267</f>
        <v>0</v>
      </c>
      <c r="E267" s="19">
        <f>Principle_portion_of_payment($B$1,$D$1,A267,$B$3)*'PSA&amp;CPR（function) '!O267</f>
        <v>0</v>
      </c>
      <c r="F267" s="19">
        <f>Interest_portion_of_payment($B$1,$D$1,A267,$B$3)*'PSA&amp;CPR（function) '!O267</f>
        <v>0</v>
      </c>
      <c r="G267" s="19">
        <f>(B267-E267)*'PSA&amp;CPR（function) '!G268</f>
        <v>0</v>
      </c>
      <c r="H267" s="19">
        <f>Remaining_balance($B$1,$D$1,A267,$B$3)*'PSA&amp;CPR（function) '!O268</f>
        <v>0</v>
      </c>
    </row>
    <row r="268" spans="1:8">
      <c r="A268">
        <f>'PSA&amp;CPR'!A268</f>
        <v>266</v>
      </c>
      <c r="B268" s="19">
        <f t="shared" si="8"/>
        <v>0</v>
      </c>
      <c r="C268" s="19">
        <f t="shared" si="9"/>
        <v>0</v>
      </c>
      <c r="D268" s="19">
        <f>Monthly_payment($B$1,$D$1,$B$3)*'PSA&amp;CPR（function) '!O268</f>
        <v>0</v>
      </c>
      <c r="E268" s="19">
        <f>Principle_portion_of_payment($B$1,$D$1,A268,$B$3)*'PSA&amp;CPR（function) '!O268</f>
        <v>0</v>
      </c>
      <c r="F268" s="19">
        <f>Interest_portion_of_payment($B$1,$D$1,A268,$B$3)*'PSA&amp;CPR（function) '!O268</f>
        <v>0</v>
      </c>
      <c r="G268" s="19">
        <f>(B268-E268)*'PSA&amp;CPR（function) '!G269</f>
        <v>0</v>
      </c>
      <c r="H268" s="19">
        <f>Remaining_balance($B$1,$D$1,A268,$B$3)*'PSA&amp;CPR（function) '!O269</f>
        <v>0</v>
      </c>
    </row>
    <row r="269" spans="1:8">
      <c r="A269">
        <f>'PSA&amp;CPR'!A269</f>
        <v>267</v>
      </c>
      <c r="B269" s="19">
        <f t="shared" si="8"/>
        <v>0</v>
      </c>
      <c r="C269" s="19">
        <f t="shared" si="9"/>
        <v>0</v>
      </c>
      <c r="D269" s="19">
        <f>Monthly_payment($B$1,$D$1,$B$3)*'PSA&amp;CPR（function) '!O269</f>
        <v>0</v>
      </c>
      <c r="E269" s="19">
        <f>Principle_portion_of_payment($B$1,$D$1,A269,$B$3)*'PSA&amp;CPR（function) '!O269</f>
        <v>0</v>
      </c>
      <c r="F269" s="19">
        <f>Interest_portion_of_payment($B$1,$D$1,A269,$B$3)*'PSA&amp;CPR（function) '!O269</f>
        <v>0</v>
      </c>
      <c r="G269" s="19">
        <f>(B269-E269)*'PSA&amp;CPR（function) '!G270</f>
        <v>0</v>
      </c>
      <c r="H269" s="19">
        <f>Remaining_balance($B$1,$D$1,A269,$B$3)*'PSA&amp;CPR（function) '!O270</f>
        <v>0</v>
      </c>
    </row>
    <row r="270" spans="1:8">
      <c r="A270">
        <f>'PSA&amp;CPR'!A270</f>
        <v>268</v>
      </c>
      <c r="B270" s="19">
        <f t="shared" si="8"/>
        <v>0</v>
      </c>
      <c r="C270" s="19">
        <f t="shared" si="9"/>
        <v>0</v>
      </c>
      <c r="D270" s="19">
        <f>Monthly_payment($B$1,$D$1,$B$3)*'PSA&amp;CPR（function) '!O270</f>
        <v>0</v>
      </c>
      <c r="E270" s="19">
        <f>Principle_portion_of_payment($B$1,$D$1,A270,$B$3)*'PSA&amp;CPR（function) '!O270</f>
        <v>0</v>
      </c>
      <c r="F270" s="19">
        <f>Interest_portion_of_payment($B$1,$D$1,A270,$B$3)*'PSA&amp;CPR（function) '!O270</f>
        <v>0</v>
      </c>
      <c r="G270" s="19">
        <f>(B270-E270)*'PSA&amp;CPR（function) '!G271</f>
        <v>0</v>
      </c>
      <c r="H270" s="19">
        <f>Remaining_balance($B$1,$D$1,A270,$B$3)*'PSA&amp;CPR（function) '!O271</f>
        <v>0</v>
      </c>
    </row>
    <row r="271" spans="1:8">
      <c r="A271">
        <f>'PSA&amp;CPR'!A271</f>
        <v>269</v>
      </c>
      <c r="B271" s="19">
        <f t="shared" si="8"/>
        <v>0</v>
      </c>
      <c r="C271" s="19">
        <f t="shared" si="9"/>
        <v>0</v>
      </c>
      <c r="D271" s="19">
        <f>Monthly_payment($B$1,$D$1,$B$3)*'PSA&amp;CPR（function) '!O271</f>
        <v>0</v>
      </c>
      <c r="E271" s="19">
        <f>Principle_portion_of_payment($B$1,$D$1,A271,$B$3)*'PSA&amp;CPR（function) '!O271</f>
        <v>0</v>
      </c>
      <c r="F271" s="19">
        <f>Interest_portion_of_payment($B$1,$D$1,A271,$B$3)*'PSA&amp;CPR（function) '!O271</f>
        <v>0</v>
      </c>
      <c r="G271" s="19">
        <f>(B271-E271)*'PSA&amp;CPR（function) '!G272</f>
        <v>0</v>
      </c>
      <c r="H271" s="19">
        <f>Remaining_balance($B$1,$D$1,A271,$B$3)*'PSA&amp;CPR（function) '!O272</f>
        <v>0</v>
      </c>
    </row>
    <row r="272" spans="1:8">
      <c r="A272">
        <f>'PSA&amp;CPR'!A272</f>
        <v>270</v>
      </c>
      <c r="B272" s="19">
        <f t="shared" si="8"/>
        <v>0</v>
      </c>
      <c r="C272" s="19">
        <f t="shared" si="9"/>
        <v>0</v>
      </c>
      <c r="D272" s="19">
        <f>Monthly_payment($B$1,$D$1,$B$3)*'PSA&amp;CPR（function) '!O272</f>
        <v>0</v>
      </c>
      <c r="E272" s="19">
        <f>Principle_portion_of_payment($B$1,$D$1,A272,$B$3)*'PSA&amp;CPR（function) '!O272</f>
        <v>0</v>
      </c>
      <c r="F272" s="19">
        <f>Interest_portion_of_payment($B$1,$D$1,A272,$B$3)*'PSA&amp;CPR（function) '!O272</f>
        <v>0</v>
      </c>
      <c r="G272" s="19">
        <f>(B272-E272)*'PSA&amp;CPR（function) '!G273</f>
        <v>0</v>
      </c>
      <c r="H272" s="19">
        <f>Remaining_balance($B$1,$D$1,A272,$B$3)*'PSA&amp;CPR（function) '!O273</f>
        <v>0</v>
      </c>
    </row>
    <row r="273" spans="1:8">
      <c r="A273">
        <f>'PSA&amp;CPR'!A273</f>
        <v>271</v>
      </c>
      <c r="B273" s="19">
        <f t="shared" si="8"/>
        <v>0</v>
      </c>
      <c r="C273" s="19">
        <f t="shared" si="9"/>
        <v>0</v>
      </c>
      <c r="D273" s="19">
        <f>Monthly_payment($B$1,$D$1,$B$3)*'PSA&amp;CPR（function) '!O273</f>
        <v>0</v>
      </c>
      <c r="E273" s="19">
        <f>Principle_portion_of_payment($B$1,$D$1,A273,$B$3)*'PSA&amp;CPR（function) '!O273</f>
        <v>0</v>
      </c>
      <c r="F273" s="19">
        <f>Interest_portion_of_payment($B$1,$D$1,A273,$B$3)*'PSA&amp;CPR（function) '!O273</f>
        <v>0</v>
      </c>
      <c r="G273" s="19">
        <f>(B273-E273)*'PSA&amp;CPR（function) '!G274</f>
        <v>0</v>
      </c>
      <c r="H273" s="19">
        <f>Remaining_balance($B$1,$D$1,A273,$B$3)*'PSA&amp;CPR（function) '!O274</f>
        <v>0</v>
      </c>
    </row>
    <row r="274" spans="1:8">
      <c r="A274">
        <f>'PSA&amp;CPR'!A274</f>
        <v>272</v>
      </c>
      <c r="B274" s="19">
        <f t="shared" si="8"/>
        <v>0</v>
      </c>
      <c r="C274" s="19">
        <f t="shared" si="9"/>
        <v>0</v>
      </c>
      <c r="D274" s="19">
        <f>Monthly_payment($B$1,$D$1,$B$3)*'PSA&amp;CPR（function) '!O274</f>
        <v>0</v>
      </c>
      <c r="E274" s="19">
        <f>Principle_portion_of_payment($B$1,$D$1,A274,$B$3)*'PSA&amp;CPR（function) '!O274</f>
        <v>0</v>
      </c>
      <c r="F274" s="19">
        <f>Interest_portion_of_payment($B$1,$D$1,A274,$B$3)*'PSA&amp;CPR（function) '!O274</f>
        <v>0</v>
      </c>
      <c r="G274" s="19">
        <f>(B274-E274)*'PSA&amp;CPR（function) '!G275</f>
        <v>0</v>
      </c>
      <c r="H274" s="19">
        <f>Remaining_balance($B$1,$D$1,A274,$B$3)*'PSA&amp;CPR（function) '!O275</f>
        <v>0</v>
      </c>
    </row>
    <row r="275" spans="1:8">
      <c r="A275">
        <f>'PSA&amp;CPR'!A275</f>
        <v>273</v>
      </c>
      <c r="B275" s="19">
        <f t="shared" si="8"/>
        <v>0</v>
      </c>
      <c r="C275" s="19">
        <f t="shared" si="9"/>
        <v>0</v>
      </c>
      <c r="D275" s="19">
        <f>Monthly_payment($B$1,$D$1,$B$3)*'PSA&amp;CPR（function) '!O275</f>
        <v>0</v>
      </c>
      <c r="E275" s="19">
        <f>Principle_portion_of_payment($B$1,$D$1,A275,$B$3)*'PSA&amp;CPR（function) '!O275</f>
        <v>0</v>
      </c>
      <c r="F275" s="19">
        <f>Interest_portion_of_payment($B$1,$D$1,A275,$B$3)*'PSA&amp;CPR（function) '!O275</f>
        <v>0</v>
      </c>
      <c r="G275" s="19">
        <f>(B275-E275)*'PSA&amp;CPR（function) '!G276</f>
        <v>0</v>
      </c>
      <c r="H275" s="19">
        <f>Remaining_balance($B$1,$D$1,A275,$B$3)*'PSA&amp;CPR（function) '!O276</f>
        <v>0</v>
      </c>
    </row>
    <row r="276" spans="1:8">
      <c r="A276">
        <f>'PSA&amp;CPR'!A276</f>
        <v>274</v>
      </c>
      <c r="B276" s="19">
        <f t="shared" si="8"/>
        <v>0</v>
      </c>
      <c r="C276" s="19">
        <f t="shared" si="9"/>
        <v>0</v>
      </c>
      <c r="D276" s="19">
        <f>Monthly_payment($B$1,$D$1,$B$3)*'PSA&amp;CPR（function) '!O276</f>
        <v>0</v>
      </c>
      <c r="E276" s="19">
        <f>Principle_portion_of_payment($B$1,$D$1,A276,$B$3)*'PSA&amp;CPR（function) '!O276</f>
        <v>0</v>
      </c>
      <c r="F276" s="19">
        <f>Interest_portion_of_payment($B$1,$D$1,A276,$B$3)*'PSA&amp;CPR（function) '!O276</f>
        <v>0</v>
      </c>
      <c r="G276" s="19">
        <f>(B276-E276)*'PSA&amp;CPR（function) '!G277</f>
        <v>0</v>
      </c>
      <c r="H276" s="19">
        <f>Remaining_balance($B$1,$D$1,A276,$B$3)*'PSA&amp;CPR（function) '!O277</f>
        <v>0</v>
      </c>
    </row>
    <row r="277" spans="1:8">
      <c r="A277">
        <f>'PSA&amp;CPR'!A277</f>
        <v>275</v>
      </c>
      <c r="B277" s="19">
        <f t="shared" si="8"/>
        <v>0</v>
      </c>
      <c r="C277" s="19">
        <f t="shared" si="9"/>
        <v>0</v>
      </c>
      <c r="D277" s="19">
        <f>Monthly_payment($B$1,$D$1,$B$3)*'PSA&amp;CPR（function) '!O277</f>
        <v>0</v>
      </c>
      <c r="E277" s="19">
        <f>Principle_portion_of_payment($B$1,$D$1,A277,$B$3)*'PSA&amp;CPR（function) '!O277</f>
        <v>0</v>
      </c>
      <c r="F277" s="19">
        <f>Interest_portion_of_payment($B$1,$D$1,A277,$B$3)*'PSA&amp;CPR（function) '!O277</f>
        <v>0</v>
      </c>
      <c r="G277" s="19">
        <f>(B277-E277)*'PSA&amp;CPR（function) '!G278</f>
        <v>0</v>
      </c>
      <c r="H277" s="19">
        <f>Remaining_balance($B$1,$D$1,A277,$B$3)*'PSA&amp;CPR（function) '!O278</f>
        <v>0</v>
      </c>
    </row>
    <row r="278" spans="1:8">
      <c r="A278">
        <f>'PSA&amp;CPR'!A278</f>
        <v>276</v>
      </c>
      <c r="B278" s="19">
        <f t="shared" si="8"/>
        <v>0</v>
      </c>
      <c r="C278" s="19">
        <f t="shared" si="9"/>
        <v>0</v>
      </c>
      <c r="D278" s="19">
        <f>Monthly_payment($B$1,$D$1,$B$3)*'PSA&amp;CPR（function) '!O278</f>
        <v>0</v>
      </c>
      <c r="E278" s="19">
        <f>Principle_portion_of_payment($B$1,$D$1,A278,$B$3)*'PSA&amp;CPR（function) '!O278</f>
        <v>0</v>
      </c>
      <c r="F278" s="19">
        <f>Interest_portion_of_payment($B$1,$D$1,A278,$B$3)*'PSA&amp;CPR（function) '!O278</f>
        <v>0</v>
      </c>
      <c r="G278" s="19">
        <f>(B278-E278)*'PSA&amp;CPR（function) '!G279</f>
        <v>0</v>
      </c>
      <c r="H278" s="19">
        <f>Remaining_balance($B$1,$D$1,A278,$B$3)*'PSA&amp;CPR（function) '!O279</f>
        <v>0</v>
      </c>
    </row>
    <row r="279" spans="1:8">
      <c r="A279">
        <f>'PSA&amp;CPR'!A279</f>
        <v>277</v>
      </c>
      <c r="B279" s="19">
        <f t="shared" si="8"/>
        <v>0</v>
      </c>
      <c r="C279" s="19">
        <f t="shared" si="9"/>
        <v>0</v>
      </c>
      <c r="D279" s="19">
        <f>Monthly_payment($B$1,$D$1,$B$3)*'PSA&amp;CPR（function) '!O279</f>
        <v>0</v>
      </c>
      <c r="E279" s="19">
        <f>Principle_portion_of_payment($B$1,$D$1,A279,$B$3)*'PSA&amp;CPR（function) '!O279</f>
        <v>0</v>
      </c>
      <c r="F279" s="19">
        <f>Interest_portion_of_payment($B$1,$D$1,A279,$B$3)*'PSA&amp;CPR（function) '!O279</f>
        <v>0</v>
      </c>
      <c r="G279" s="19">
        <f>(B279-E279)*'PSA&amp;CPR（function) '!G280</f>
        <v>0</v>
      </c>
      <c r="H279" s="19">
        <f>Remaining_balance($B$1,$D$1,A279,$B$3)*'PSA&amp;CPR（function) '!O280</f>
        <v>0</v>
      </c>
    </row>
    <row r="280" spans="1:8">
      <c r="A280">
        <f>'PSA&amp;CPR'!A280</f>
        <v>278</v>
      </c>
      <c r="B280" s="19">
        <f t="shared" si="8"/>
        <v>0</v>
      </c>
      <c r="C280" s="19">
        <f t="shared" si="9"/>
        <v>0</v>
      </c>
      <c r="D280" s="19">
        <f>Monthly_payment($B$1,$D$1,$B$3)*'PSA&amp;CPR（function) '!O280</f>
        <v>0</v>
      </c>
      <c r="E280" s="19">
        <f>Principle_portion_of_payment($B$1,$D$1,A280,$B$3)*'PSA&amp;CPR（function) '!O280</f>
        <v>0</v>
      </c>
      <c r="F280" s="19">
        <f>Interest_portion_of_payment($B$1,$D$1,A280,$B$3)*'PSA&amp;CPR（function) '!O280</f>
        <v>0</v>
      </c>
      <c r="G280" s="19">
        <f>(B280-E280)*'PSA&amp;CPR（function) '!G281</f>
        <v>0</v>
      </c>
      <c r="H280" s="19">
        <f>Remaining_balance($B$1,$D$1,A280,$B$3)*'PSA&amp;CPR（function) '!O281</f>
        <v>0</v>
      </c>
    </row>
    <row r="281" spans="1:8">
      <c r="A281">
        <f>'PSA&amp;CPR'!A281</f>
        <v>279</v>
      </c>
      <c r="B281" s="19">
        <f t="shared" si="8"/>
        <v>0</v>
      </c>
      <c r="C281" s="19">
        <f t="shared" si="9"/>
        <v>0</v>
      </c>
      <c r="D281" s="19">
        <f>Monthly_payment($B$1,$D$1,$B$3)*'PSA&amp;CPR（function) '!O281</f>
        <v>0</v>
      </c>
      <c r="E281" s="19">
        <f>Principle_portion_of_payment($B$1,$D$1,A281,$B$3)*'PSA&amp;CPR（function) '!O281</f>
        <v>0</v>
      </c>
      <c r="F281" s="19">
        <f>Interest_portion_of_payment($B$1,$D$1,A281,$B$3)*'PSA&amp;CPR（function) '!O281</f>
        <v>0</v>
      </c>
      <c r="G281" s="19">
        <f>(B281-E281)*'PSA&amp;CPR（function) '!G282</f>
        <v>0</v>
      </c>
      <c r="H281" s="19">
        <f>Remaining_balance($B$1,$D$1,A281,$B$3)*'PSA&amp;CPR（function) '!O282</f>
        <v>0</v>
      </c>
    </row>
    <row r="282" spans="1:8">
      <c r="A282">
        <f>'PSA&amp;CPR'!A282</f>
        <v>280</v>
      </c>
      <c r="B282" s="19">
        <f t="shared" si="8"/>
        <v>0</v>
      </c>
      <c r="C282" s="19">
        <f t="shared" si="9"/>
        <v>0</v>
      </c>
      <c r="D282" s="19">
        <f>Monthly_payment($B$1,$D$1,$B$3)*'PSA&amp;CPR（function) '!O282</f>
        <v>0</v>
      </c>
      <c r="E282" s="19">
        <f>Principle_portion_of_payment($B$1,$D$1,A282,$B$3)*'PSA&amp;CPR（function) '!O282</f>
        <v>0</v>
      </c>
      <c r="F282" s="19">
        <f>Interest_portion_of_payment($B$1,$D$1,A282,$B$3)*'PSA&amp;CPR（function) '!O282</f>
        <v>0</v>
      </c>
      <c r="G282" s="19">
        <f>(B282-E282)*'PSA&amp;CPR（function) '!G283</f>
        <v>0</v>
      </c>
      <c r="H282" s="19">
        <f>Remaining_balance($B$1,$D$1,A282,$B$3)*'PSA&amp;CPR（function) '!O283</f>
        <v>0</v>
      </c>
    </row>
    <row r="283" spans="1:8">
      <c r="A283">
        <f>'PSA&amp;CPR'!A283</f>
        <v>281</v>
      </c>
      <c r="B283" s="19">
        <f t="shared" si="8"/>
        <v>0</v>
      </c>
      <c r="C283" s="19">
        <f t="shared" si="9"/>
        <v>0</v>
      </c>
      <c r="D283" s="19">
        <f>Monthly_payment($B$1,$D$1,$B$3)*'PSA&amp;CPR（function) '!O283</f>
        <v>0</v>
      </c>
      <c r="E283" s="19">
        <f>Principle_portion_of_payment($B$1,$D$1,A283,$B$3)*'PSA&amp;CPR（function) '!O283</f>
        <v>0</v>
      </c>
      <c r="F283" s="19">
        <f>Interest_portion_of_payment($B$1,$D$1,A283,$B$3)*'PSA&amp;CPR（function) '!O283</f>
        <v>0</v>
      </c>
      <c r="G283" s="19">
        <f>(B283-E283)*'PSA&amp;CPR（function) '!G284</f>
        <v>0</v>
      </c>
      <c r="H283" s="19">
        <f>Remaining_balance($B$1,$D$1,A283,$B$3)*'PSA&amp;CPR（function) '!O284</f>
        <v>0</v>
      </c>
    </row>
    <row r="284" spans="1:8">
      <c r="A284">
        <f>'PSA&amp;CPR'!A284</f>
        <v>282</v>
      </c>
      <c r="B284" s="19">
        <f t="shared" si="8"/>
        <v>0</v>
      </c>
      <c r="C284" s="19">
        <f t="shared" si="9"/>
        <v>0</v>
      </c>
      <c r="D284" s="19">
        <f>Monthly_payment($B$1,$D$1,$B$3)*'PSA&amp;CPR（function) '!O284</f>
        <v>0</v>
      </c>
      <c r="E284" s="19">
        <f>Principle_portion_of_payment($B$1,$D$1,A284,$B$3)*'PSA&amp;CPR（function) '!O284</f>
        <v>0</v>
      </c>
      <c r="F284" s="19">
        <f>Interest_portion_of_payment($B$1,$D$1,A284,$B$3)*'PSA&amp;CPR（function) '!O284</f>
        <v>0</v>
      </c>
      <c r="G284" s="19">
        <f>(B284-E284)*'PSA&amp;CPR（function) '!G285</f>
        <v>0</v>
      </c>
      <c r="H284" s="19">
        <f>Remaining_balance($B$1,$D$1,A284,$B$3)*'PSA&amp;CPR（function) '!O285</f>
        <v>0</v>
      </c>
    </row>
    <row r="285" spans="1:8">
      <c r="A285">
        <f>'PSA&amp;CPR'!A285</f>
        <v>283</v>
      </c>
      <c r="B285" s="19">
        <f t="shared" si="8"/>
        <v>0</v>
      </c>
      <c r="C285" s="19">
        <f t="shared" si="9"/>
        <v>0</v>
      </c>
      <c r="D285" s="19">
        <f>Monthly_payment($B$1,$D$1,$B$3)*'PSA&amp;CPR（function) '!O285</f>
        <v>0</v>
      </c>
      <c r="E285" s="19">
        <f>Principle_portion_of_payment($B$1,$D$1,A285,$B$3)*'PSA&amp;CPR（function) '!O285</f>
        <v>0</v>
      </c>
      <c r="F285" s="19">
        <f>Interest_portion_of_payment($B$1,$D$1,A285,$B$3)*'PSA&amp;CPR（function) '!O285</f>
        <v>0</v>
      </c>
      <c r="G285" s="19">
        <f>(B285-E285)*'PSA&amp;CPR（function) '!G286</f>
        <v>0</v>
      </c>
      <c r="H285" s="19">
        <f>Remaining_balance($B$1,$D$1,A285,$B$3)*'PSA&amp;CPR（function) '!O286</f>
        <v>0</v>
      </c>
    </row>
    <row r="286" spans="1:8">
      <c r="A286">
        <f>'PSA&amp;CPR'!A286</f>
        <v>284</v>
      </c>
      <c r="B286" s="19">
        <f t="shared" si="8"/>
        <v>0</v>
      </c>
      <c r="C286" s="19">
        <f t="shared" si="9"/>
        <v>0</v>
      </c>
      <c r="D286" s="19">
        <f>Monthly_payment($B$1,$D$1,$B$3)*'PSA&amp;CPR（function) '!O286</f>
        <v>0</v>
      </c>
      <c r="E286" s="19">
        <f>Principle_portion_of_payment($B$1,$D$1,A286,$B$3)*'PSA&amp;CPR（function) '!O286</f>
        <v>0</v>
      </c>
      <c r="F286" s="19">
        <f>Interest_portion_of_payment($B$1,$D$1,A286,$B$3)*'PSA&amp;CPR（function) '!O286</f>
        <v>0</v>
      </c>
      <c r="G286" s="19">
        <f>(B286-E286)*'PSA&amp;CPR（function) '!G287</f>
        <v>0</v>
      </c>
      <c r="H286" s="19">
        <f>Remaining_balance($B$1,$D$1,A286,$B$3)*'PSA&amp;CPR（function) '!O287</f>
        <v>0</v>
      </c>
    </row>
    <row r="287" spans="1:8">
      <c r="A287">
        <f>'PSA&amp;CPR'!A287</f>
        <v>285</v>
      </c>
      <c r="B287" s="19">
        <f t="shared" si="8"/>
        <v>0</v>
      </c>
      <c r="C287" s="19">
        <f t="shared" si="9"/>
        <v>0</v>
      </c>
      <c r="D287" s="19">
        <f>Monthly_payment($B$1,$D$1,$B$3)*'PSA&amp;CPR（function) '!O287</f>
        <v>0</v>
      </c>
      <c r="E287" s="19">
        <f>Principle_portion_of_payment($B$1,$D$1,A287,$B$3)*'PSA&amp;CPR（function) '!O287</f>
        <v>0</v>
      </c>
      <c r="F287" s="19">
        <f>Interest_portion_of_payment($B$1,$D$1,A287,$B$3)*'PSA&amp;CPR（function) '!O287</f>
        <v>0</v>
      </c>
      <c r="G287" s="19">
        <f>(B287-E287)*'PSA&amp;CPR（function) '!G288</f>
        <v>0</v>
      </c>
      <c r="H287" s="19">
        <f>Remaining_balance($B$1,$D$1,A287,$B$3)*'PSA&amp;CPR（function) '!O288</f>
        <v>0</v>
      </c>
    </row>
    <row r="288" spans="1:8">
      <c r="A288">
        <f>'PSA&amp;CPR'!A288</f>
        <v>286</v>
      </c>
      <c r="B288" s="19">
        <f t="shared" si="8"/>
        <v>0</v>
      </c>
      <c r="C288" s="19">
        <f t="shared" si="9"/>
        <v>0</v>
      </c>
      <c r="D288" s="19">
        <f>Monthly_payment($B$1,$D$1,$B$3)*'PSA&amp;CPR（function) '!O288</f>
        <v>0</v>
      </c>
      <c r="E288" s="19">
        <f>Principle_portion_of_payment($B$1,$D$1,A288,$B$3)*'PSA&amp;CPR（function) '!O288</f>
        <v>0</v>
      </c>
      <c r="F288" s="19">
        <f>Interest_portion_of_payment($B$1,$D$1,A288,$B$3)*'PSA&amp;CPR（function) '!O288</f>
        <v>0</v>
      </c>
      <c r="G288" s="19">
        <f>(B288-E288)*'PSA&amp;CPR（function) '!G289</f>
        <v>0</v>
      </c>
      <c r="H288" s="19">
        <f>Remaining_balance($B$1,$D$1,A288,$B$3)*'PSA&amp;CPR（function) '!O289</f>
        <v>0</v>
      </c>
    </row>
    <row r="289" spans="1:8">
      <c r="A289">
        <f>'PSA&amp;CPR'!A289</f>
        <v>287</v>
      </c>
      <c r="B289" s="19">
        <f t="shared" si="8"/>
        <v>0</v>
      </c>
      <c r="C289" s="19">
        <f t="shared" si="9"/>
        <v>0</v>
      </c>
      <c r="D289" s="19">
        <f>Monthly_payment($B$1,$D$1,$B$3)*'PSA&amp;CPR（function) '!O289</f>
        <v>0</v>
      </c>
      <c r="E289" s="19">
        <f>Principle_portion_of_payment($B$1,$D$1,A289,$B$3)*'PSA&amp;CPR（function) '!O289</f>
        <v>0</v>
      </c>
      <c r="F289" s="19">
        <f>Interest_portion_of_payment($B$1,$D$1,A289,$B$3)*'PSA&amp;CPR（function) '!O289</f>
        <v>0</v>
      </c>
      <c r="G289" s="19">
        <f>(B289-E289)*'PSA&amp;CPR（function) '!G290</f>
        <v>0</v>
      </c>
      <c r="H289" s="19">
        <f>Remaining_balance($B$1,$D$1,A289,$B$3)*'PSA&amp;CPR（function) '!O290</f>
        <v>0</v>
      </c>
    </row>
    <row r="290" spans="1:8">
      <c r="A290">
        <f>'PSA&amp;CPR'!A290</f>
        <v>288</v>
      </c>
      <c r="B290" s="19">
        <f t="shared" si="8"/>
        <v>0</v>
      </c>
      <c r="C290" s="19">
        <f t="shared" si="9"/>
        <v>0</v>
      </c>
      <c r="D290" s="19">
        <f>Monthly_payment($B$1,$D$1,$B$3)*'PSA&amp;CPR（function) '!O290</f>
        <v>0</v>
      </c>
      <c r="E290" s="19">
        <f>Principle_portion_of_payment($B$1,$D$1,A290,$B$3)*'PSA&amp;CPR（function) '!O290</f>
        <v>0</v>
      </c>
      <c r="F290" s="19">
        <f>Interest_portion_of_payment($B$1,$D$1,A290,$B$3)*'PSA&amp;CPR（function) '!O290</f>
        <v>0</v>
      </c>
      <c r="G290" s="19">
        <f>(B290-E290)*'PSA&amp;CPR（function) '!G291</f>
        <v>0</v>
      </c>
      <c r="H290" s="19">
        <f>Remaining_balance($B$1,$D$1,A290,$B$3)*'PSA&amp;CPR（function) '!O291</f>
        <v>0</v>
      </c>
    </row>
    <row r="291" spans="1:8">
      <c r="A291">
        <f>'PSA&amp;CPR'!A291</f>
        <v>289</v>
      </c>
      <c r="B291" s="19">
        <f t="shared" si="8"/>
        <v>0</v>
      </c>
      <c r="C291" s="19">
        <f t="shared" si="9"/>
        <v>0</v>
      </c>
      <c r="D291" s="19">
        <f>Monthly_payment($B$1,$D$1,$B$3)*'PSA&amp;CPR（function) '!O291</f>
        <v>0</v>
      </c>
      <c r="E291" s="19">
        <f>Principle_portion_of_payment($B$1,$D$1,A291,$B$3)*'PSA&amp;CPR（function) '!O291</f>
        <v>0</v>
      </c>
      <c r="F291" s="19">
        <f>Interest_portion_of_payment($B$1,$D$1,A291,$B$3)*'PSA&amp;CPR（function) '!O291</f>
        <v>0</v>
      </c>
      <c r="G291" s="19">
        <f>(B291-E291)*'PSA&amp;CPR（function) '!G292</f>
        <v>0</v>
      </c>
      <c r="H291" s="19">
        <f>Remaining_balance($B$1,$D$1,A291,$B$3)*'PSA&amp;CPR（function) '!O292</f>
        <v>0</v>
      </c>
    </row>
    <row r="292" spans="1:8">
      <c r="A292">
        <f>'PSA&amp;CPR'!A292</f>
        <v>290</v>
      </c>
      <c r="B292" s="19">
        <f t="shared" si="8"/>
        <v>0</v>
      </c>
      <c r="C292" s="19">
        <f t="shared" si="9"/>
        <v>0</v>
      </c>
      <c r="D292" s="19">
        <f>Monthly_payment($B$1,$D$1,$B$3)*'PSA&amp;CPR（function) '!O292</f>
        <v>0</v>
      </c>
      <c r="E292" s="19">
        <f>Principle_portion_of_payment($B$1,$D$1,A292,$B$3)*'PSA&amp;CPR（function) '!O292</f>
        <v>0</v>
      </c>
      <c r="F292" s="19">
        <f>Interest_portion_of_payment($B$1,$D$1,A292,$B$3)*'PSA&amp;CPR（function) '!O292</f>
        <v>0</v>
      </c>
      <c r="G292" s="19">
        <f>(B292-E292)*'PSA&amp;CPR（function) '!G293</f>
        <v>0</v>
      </c>
      <c r="H292" s="19">
        <f>Remaining_balance($B$1,$D$1,A292,$B$3)*'PSA&amp;CPR（function) '!O293</f>
        <v>0</v>
      </c>
    </row>
    <row r="293" spans="1:8">
      <c r="A293">
        <f>'PSA&amp;CPR'!A293</f>
        <v>291</v>
      </c>
      <c r="B293" s="19">
        <f t="shared" si="8"/>
        <v>0</v>
      </c>
      <c r="C293" s="19">
        <f t="shared" si="9"/>
        <v>0</v>
      </c>
      <c r="D293" s="19">
        <f>Monthly_payment($B$1,$D$1,$B$3)*'PSA&amp;CPR（function) '!O293</f>
        <v>0</v>
      </c>
      <c r="E293" s="19">
        <f>Principle_portion_of_payment($B$1,$D$1,A293,$B$3)*'PSA&amp;CPR（function) '!O293</f>
        <v>0</v>
      </c>
      <c r="F293" s="19">
        <f>Interest_portion_of_payment($B$1,$D$1,A293,$B$3)*'PSA&amp;CPR（function) '!O293</f>
        <v>0</v>
      </c>
      <c r="G293" s="19">
        <f>(B293-E293)*'PSA&amp;CPR（function) '!G294</f>
        <v>0</v>
      </c>
      <c r="H293" s="19">
        <f>Remaining_balance($B$1,$D$1,A293,$B$3)*'PSA&amp;CPR（function) '!O294</f>
        <v>0</v>
      </c>
    </row>
    <row r="294" spans="1:8">
      <c r="A294">
        <f>'PSA&amp;CPR'!A294</f>
        <v>292</v>
      </c>
      <c r="B294" s="19">
        <f t="shared" si="8"/>
        <v>0</v>
      </c>
      <c r="C294" s="19">
        <f t="shared" si="9"/>
        <v>0</v>
      </c>
      <c r="D294" s="19">
        <f>Monthly_payment($B$1,$D$1,$B$3)*'PSA&amp;CPR（function) '!O294</f>
        <v>0</v>
      </c>
      <c r="E294" s="19">
        <f>Principle_portion_of_payment($B$1,$D$1,A294,$B$3)*'PSA&amp;CPR（function) '!O294</f>
        <v>0</v>
      </c>
      <c r="F294" s="19">
        <f>Interest_portion_of_payment($B$1,$D$1,A294,$B$3)*'PSA&amp;CPR（function) '!O294</f>
        <v>0</v>
      </c>
      <c r="G294" s="19">
        <f>(B294-E294)*'PSA&amp;CPR（function) '!G295</f>
        <v>0</v>
      </c>
      <c r="H294" s="19">
        <f>Remaining_balance($B$1,$D$1,A294,$B$3)*'PSA&amp;CPR（function) '!O295</f>
        <v>0</v>
      </c>
    </row>
    <row r="295" spans="1:8">
      <c r="A295">
        <f>'PSA&amp;CPR'!A295</f>
        <v>293</v>
      </c>
      <c r="B295" s="19">
        <f t="shared" si="8"/>
        <v>0</v>
      </c>
      <c r="C295" s="19">
        <f t="shared" si="9"/>
        <v>0</v>
      </c>
      <c r="D295" s="19">
        <f>Monthly_payment($B$1,$D$1,$B$3)*'PSA&amp;CPR（function) '!O295</f>
        <v>0</v>
      </c>
      <c r="E295" s="19">
        <f>Principle_portion_of_payment($B$1,$D$1,A295,$B$3)*'PSA&amp;CPR（function) '!O295</f>
        <v>0</v>
      </c>
      <c r="F295" s="19">
        <f>Interest_portion_of_payment($B$1,$D$1,A295,$B$3)*'PSA&amp;CPR（function) '!O295</f>
        <v>0</v>
      </c>
      <c r="G295" s="19">
        <f>(B295-E295)*'PSA&amp;CPR（function) '!G296</f>
        <v>0</v>
      </c>
      <c r="H295" s="19">
        <f>Remaining_balance($B$1,$D$1,A295,$B$3)*'PSA&amp;CPR（function) '!O296</f>
        <v>0</v>
      </c>
    </row>
    <row r="296" spans="1:8">
      <c r="A296">
        <f>'PSA&amp;CPR'!A296</f>
        <v>294</v>
      </c>
      <c r="B296" s="19">
        <f t="shared" si="8"/>
        <v>0</v>
      </c>
      <c r="C296" s="19">
        <f t="shared" si="9"/>
        <v>0</v>
      </c>
      <c r="D296" s="19">
        <f>Monthly_payment($B$1,$D$1,$B$3)*'PSA&amp;CPR（function) '!O296</f>
        <v>0</v>
      </c>
      <c r="E296" s="19">
        <f>Principle_portion_of_payment($B$1,$D$1,A296,$B$3)*'PSA&amp;CPR（function) '!O296</f>
        <v>0</v>
      </c>
      <c r="F296" s="19">
        <f>Interest_portion_of_payment($B$1,$D$1,A296,$B$3)*'PSA&amp;CPR（function) '!O296</f>
        <v>0</v>
      </c>
      <c r="G296" s="19">
        <f>(B296-E296)*'PSA&amp;CPR（function) '!G297</f>
        <v>0</v>
      </c>
      <c r="H296" s="19">
        <f>Remaining_balance($B$1,$D$1,A296,$B$3)*'PSA&amp;CPR（function) '!O297</f>
        <v>0</v>
      </c>
    </row>
    <row r="297" spans="1:8">
      <c r="A297">
        <f>'PSA&amp;CPR'!A297</f>
        <v>295</v>
      </c>
      <c r="B297" s="19">
        <f t="shared" si="8"/>
        <v>0</v>
      </c>
      <c r="C297" s="19">
        <f t="shared" si="9"/>
        <v>0</v>
      </c>
      <c r="D297" s="19">
        <f>Monthly_payment($B$1,$D$1,$B$3)*'PSA&amp;CPR（function) '!O297</f>
        <v>0</v>
      </c>
      <c r="E297" s="19">
        <f>Principle_portion_of_payment($B$1,$D$1,A297,$B$3)*'PSA&amp;CPR（function) '!O297</f>
        <v>0</v>
      </c>
      <c r="F297" s="19">
        <f>Interest_portion_of_payment($B$1,$D$1,A297,$B$3)*'PSA&amp;CPR（function) '!O297</f>
        <v>0</v>
      </c>
      <c r="G297" s="19">
        <f>(B297-E297)*'PSA&amp;CPR（function) '!G298</f>
        <v>0</v>
      </c>
      <c r="H297" s="19">
        <f>Remaining_balance($B$1,$D$1,A297,$B$3)*'PSA&amp;CPR（function) '!O298</f>
        <v>0</v>
      </c>
    </row>
    <row r="298" spans="1:8">
      <c r="A298">
        <f>'PSA&amp;CPR'!A298</f>
        <v>296</v>
      </c>
      <c r="B298" s="19">
        <f t="shared" si="8"/>
        <v>0</v>
      </c>
      <c r="C298" s="19">
        <f t="shared" si="9"/>
        <v>0</v>
      </c>
      <c r="D298" s="19">
        <f>Monthly_payment($B$1,$D$1,$B$3)*'PSA&amp;CPR（function) '!O298</f>
        <v>0</v>
      </c>
      <c r="E298" s="19">
        <f>Principle_portion_of_payment($B$1,$D$1,A298,$B$3)*'PSA&amp;CPR（function) '!O298</f>
        <v>0</v>
      </c>
      <c r="F298" s="19">
        <f>Interest_portion_of_payment($B$1,$D$1,A298,$B$3)*'PSA&amp;CPR（function) '!O298</f>
        <v>0</v>
      </c>
      <c r="G298" s="19">
        <f>(B298-E298)*'PSA&amp;CPR（function) '!G299</f>
        <v>0</v>
      </c>
      <c r="H298" s="19">
        <f>Remaining_balance($B$1,$D$1,A298,$B$3)*'PSA&amp;CPR（function) '!O299</f>
        <v>0</v>
      </c>
    </row>
    <row r="299" spans="1:8">
      <c r="A299">
        <f>'PSA&amp;CPR'!A299</f>
        <v>297</v>
      </c>
      <c r="B299" s="19">
        <f t="shared" si="8"/>
        <v>0</v>
      </c>
      <c r="C299" s="19">
        <f t="shared" si="9"/>
        <v>0</v>
      </c>
      <c r="D299" s="19">
        <f>Monthly_payment($B$1,$D$1,$B$3)*'PSA&amp;CPR（function) '!O299</f>
        <v>0</v>
      </c>
      <c r="E299" s="19">
        <f>Principle_portion_of_payment($B$1,$D$1,A299,$B$3)*'PSA&amp;CPR（function) '!O299</f>
        <v>0</v>
      </c>
      <c r="F299" s="19">
        <f>Interest_portion_of_payment($B$1,$D$1,A299,$B$3)*'PSA&amp;CPR（function) '!O299</f>
        <v>0</v>
      </c>
      <c r="G299" s="19">
        <f>(B299-E299)*'PSA&amp;CPR（function) '!G300</f>
        <v>0</v>
      </c>
      <c r="H299" s="19">
        <f>Remaining_balance($B$1,$D$1,A299,$B$3)*'PSA&amp;CPR（function) '!O300</f>
        <v>0</v>
      </c>
    </row>
    <row r="300" spans="1:8">
      <c r="A300">
        <f>'PSA&amp;CPR'!A300</f>
        <v>298</v>
      </c>
      <c r="B300" s="19">
        <f t="shared" si="8"/>
        <v>0</v>
      </c>
      <c r="C300" s="19">
        <f t="shared" si="9"/>
        <v>0</v>
      </c>
      <c r="D300" s="19">
        <f>Monthly_payment($B$1,$D$1,$B$3)*'PSA&amp;CPR（function) '!O300</f>
        <v>0</v>
      </c>
      <c r="E300" s="19">
        <f>Principle_portion_of_payment($B$1,$D$1,A300,$B$3)*'PSA&amp;CPR（function) '!O300</f>
        <v>0</v>
      </c>
      <c r="F300" s="19">
        <f>Interest_portion_of_payment($B$1,$D$1,A300,$B$3)*'PSA&amp;CPR（function) '!O300</f>
        <v>0</v>
      </c>
      <c r="G300" s="19">
        <f>(B300-E300)*'PSA&amp;CPR（function) '!G301</f>
        <v>0</v>
      </c>
      <c r="H300" s="19">
        <f>Remaining_balance($B$1,$D$1,A300,$B$3)*'PSA&amp;CPR（function) '!O301</f>
        <v>0</v>
      </c>
    </row>
    <row r="301" spans="1:8">
      <c r="A301">
        <f>'PSA&amp;CPR'!A301</f>
        <v>299</v>
      </c>
      <c r="B301" s="19">
        <f t="shared" si="8"/>
        <v>0</v>
      </c>
      <c r="C301" s="19">
        <f t="shared" si="9"/>
        <v>0</v>
      </c>
      <c r="D301" s="19">
        <f>Monthly_payment($B$1,$D$1,$B$3)*'PSA&amp;CPR（function) '!O301</f>
        <v>0</v>
      </c>
      <c r="E301" s="19">
        <f>Principle_portion_of_payment($B$1,$D$1,A301,$B$3)*'PSA&amp;CPR（function) '!O301</f>
        <v>0</v>
      </c>
      <c r="F301" s="19">
        <f>Interest_portion_of_payment($B$1,$D$1,A301,$B$3)*'PSA&amp;CPR（function) '!O301</f>
        <v>0</v>
      </c>
      <c r="G301" s="19">
        <f>(B301-E301)*'PSA&amp;CPR（function) '!G302</f>
        <v>0</v>
      </c>
      <c r="H301" s="19">
        <f>Remaining_balance($B$1,$D$1,A301,$B$3)*'PSA&amp;CPR（function) '!O302</f>
        <v>0</v>
      </c>
    </row>
    <row r="302" spans="1:8">
      <c r="A302">
        <f>'PSA&amp;CPR'!A302</f>
        <v>300</v>
      </c>
      <c r="B302" s="19">
        <f t="shared" si="8"/>
        <v>0</v>
      </c>
      <c r="C302" s="19">
        <f t="shared" si="9"/>
        <v>0</v>
      </c>
      <c r="D302" s="19">
        <f>Monthly_payment($B$1,$D$1,$B$3)*'PSA&amp;CPR（function) '!O302</f>
        <v>0</v>
      </c>
      <c r="E302" s="19">
        <f>Principle_portion_of_payment($B$1,$D$1,A302,$B$3)*'PSA&amp;CPR（function) '!O302</f>
        <v>0</v>
      </c>
      <c r="F302" s="19">
        <f>Interest_portion_of_payment($B$1,$D$1,A302,$B$3)*'PSA&amp;CPR（function) '!O302</f>
        <v>0</v>
      </c>
      <c r="G302" s="19">
        <f>(B302-E302)*'PSA&amp;CPR（function) '!G303</f>
        <v>0</v>
      </c>
      <c r="H302" s="19">
        <f>Remaining_balance($B$1,$D$1,A302,$B$3)*'PSA&amp;CPR（function) '!O303</f>
        <v>0</v>
      </c>
    </row>
    <row r="303" spans="1:8">
      <c r="A303">
        <f>'PSA&amp;CPR'!A303</f>
        <v>301</v>
      </c>
      <c r="B303" s="19">
        <f t="shared" si="8"/>
        <v>0</v>
      </c>
      <c r="C303" s="19">
        <f t="shared" si="9"/>
        <v>0</v>
      </c>
      <c r="D303" s="19">
        <f>Monthly_payment($B$1,$D$1,$B$3)*'PSA&amp;CPR（function) '!O303</f>
        <v>0</v>
      </c>
      <c r="E303" s="19">
        <f>Principle_portion_of_payment($B$1,$D$1,A303,$B$3)*'PSA&amp;CPR（function) '!O303</f>
        <v>0</v>
      </c>
      <c r="F303" s="19">
        <f>Interest_portion_of_payment($B$1,$D$1,A303,$B$3)*'PSA&amp;CPR（function) '!O303</f>
        <v>0</v>
      </c>
      <c r="G303" s="19">
        <f>(B303-E303)*'PSA&amp;CPR（function) '!G304</f>
        <v>0</v>
      </c>
      <c r="H303" s="19">
        <f>Remaining_balance($B$1,$D$1,A303,$B$3)*'PSA&amp;CPR（function) '!O304</f>
        <v>0</v>
      </c>
    </row>
    <row r="304" spans="1:8">
      <c r="A304">
        <f>'PSA&amp;CPR'!A304</f>
        <v>302</v>
      </c>
      <c r="B304" s="19">
        <f t="shared" si="8"/>
        <v>0</v>
      </c>
      <c r="C304" s="19">
        <f t="shared" si="9"/>
        <v>0</v>
      </c>
      <c r="D304" s="19">
        <f>Monthly_payment($B$1,$D$1,$B$3)*'PSA&amp;CPR（function) '!O304</f>
        <v>0</v>
      </c>
      <c r="E304" s="19">
        <f>Principle_portion_of_payment($B$1,$D$1,A304,$B$3)*'PSA&amp;CPR（function) '!O304</f>
        <v>0</v>
      </c>
      <c r="F304" s="19">
        <f>Interest_portion_of_payment($B$1,$D$1,A304,$B$3)*'PSA&amp;CPR（function) '!O304</f>
        <v>0</v>
      </c>
      <c r="G304" s="19">
        <f>(B304-E304)*'PSA&amp;CPR（function) '!G305</f>
        <v>0</v>
      </c>
      <c r="H304" s="19">
        <f>Remaining_balance($B$1,$D$1,A304,$B$3)*'PSA&amp;CPR（function) '!O305</f>
        <v>0</v>
      </c>
    </row>
    <row r="305" spans="1:8">
      <c r="A305">
        <f>'PSA&amp;CPR'!A305</f>
        <v>303</v>
      </c>
      <c r="B305" s="19">
        <f t="shared" si="8"/>
        <v>0</v>
      </c>
      <c r="C305" s="19">
        <f t="shared" si="9"/>
        <v>0</v>
      </c>
      <c r="D305" s="19">
        <f>Monthly_payment($B$1,$D$1,$B$3)*'PSA&amp;CPR（function) '!O305</f>
        <v>0</v>
      </c>
      <c r="E305" s="19">
        <f>Principle_portion_of_payment($B$1,$D$1,A305,$B$3)*'PSA&amp;CPR（function) '!O305</f>
        <v>0</v>
      </c>
      <c r="F305" s="19">
        <f>Interest_portion_of_payment($B$1,$D$1,A305,$B$3)*'PSA&amp;CPR（function) '!O305</f>
        <v>0</v>
      </c>
      <c r="G305" s="19">
        <f>(B305-E305)*'PSA&amp;CPR（function) '!G306</f>
        <v>0</v>
      </c>
      <c r="H305" s="19">
        <f>Remaining_balance($B$1,$D$1,A305,$B$3)*'PSA&amp;CPR（function) '!O306</f>
        <v>0</v>
      </c>
    </row>
    <row r="306" spans="1:8">
      <c r="A306">
        <f>'PSA&amp;CPR'!A306</f>
        <v>304</v>
      </c>
      <c r="B306" s="19">
        <f t="shared" si="8"/>
        <v>0</v>
      </c>
      <c r="C306" s="19">
        <f t="shared" si="9"/>
        <v>0</v>
      </c>
      <c r="D306" s="19">
        <f>Monthly_payment($B$1,$D$1,$B$3)*'PSA&amp;CPR（function) '!O306</f>
        <v>0</v>
      </c>
      <c r="E306" s="19">
        <f>Principle_portion_of_payment($B$1,$D$1,A306,$B$3)*'PSA&amp;CPR（function) '!O306</f>
        <v>0</v>
      </c>
      <c r="F306" s="19">
        <f>Interest_portion_of_payment($B$1,$D$1,A306,$B$3)*'PSA&amp;CPR（function) '!O306</f>
        <v>0</v>
      </c>
      <c r="G306" s="19">
        <f>(B306-E306)*'PSA&amp;CPR（function) '!G307</f>
        <v>0</v>
      </c>
      <c r="H306" s="19">
        <f>Remaining_balance($B$1,$D$1,A306,$B$3)*'PSA&amp;CPR（function) '!O307</f>
        <v>0</v>
      </c>
    </row>
    <row r="307" spans="1:8">
      <c r="A307">
        <f>'PSA&amp;CPR'!A307</f>
        <v>305</v>
      </c>
      <c r="B307" s="19">
        <f t="shared" si="8"/>
        <v>0</v>
      </c>
      <c r="C307" s="19">
        <f t="shared" si="9"/>
        <v>0</v>
      </c>
      <c r="D307" s="19">
        <f>Monthly_payment($B$1,$D$1,$B$3)*'PSA&amp;CPR（function) '!O307</f>
        <v>0</v>
      </c>
      <c r="E307" s="19">
        <f>Principle_portion_of_payment($B$1,$D$1,A307,$B$3)*'PSA&amp;CPR（function) '!O307</f>
        <v>0</v>
      </c>
      <c r="F307" s="19">
        <f>Interest_portion_of_payment($B$1,$D$1,A307,$B$3)*'PSA&amp;CPR（function) '!O307</f>
        <v>0</v>
      </c>
      <c r="G307" s="19">
        <f>(B307-E307)*'PSA&amp;CPR（function) '!G308</f>
        <v>0</v>
      </c>
      <c r="H307" s="19">
        <f>Remaining_balance($B$1,$D$1,A307,$B$3)*'PSA&amp;CPR（function) '!O308</f>
        <v>0</v>
      </c>
    </row>
    <row r="308" spans="1:8">
      <c r="A308">
        <f>'PSA&amp;CPR'!A308</f>
        <v>306</v>
      </c>
      <c r="B308" s="19">
        <f t="shared" si="8"/>
        <v>0</v>
      </c>
      <c r="C308" s="19">
        <f t="shared" si="9"/>
        <v>0</v>
      </c>
      <c r="D308" s="19">
        <f>Monthly_payment($B$1,$D$1,$B$3)*'PSA&amp;CPR（function) '!O308</f>
        <v>0</v>
      </c>
      <c r="E308" s="19">
        <f>Principle_portion_of_payment($B$1,$D$1,A308,$B$3)*'PSA&amp;CPR（function) '!O308</f>
        <v>0</v>
      </c>
      <c r="F308" s="19">
        <f>Interest_portion_of_payment($B$1,$D$1,A308,$B$3)*'PSA&amp;CPR（function) '!O308</f>
        <v>0</v>
      </c>
      <c r="G308" s="19">
        <f>(B308-E308)*'PSA&amp;CPR（function) '!G309</f>
        <v>0</v>
      </c>
      <c r="H308" s="19">
        <f>Remaining_balance($B$1,$D$1,A308,$B$3)*'PSA&amp;CPR（function) '!O309</f>
        <v>0</v>
      </c>
    </row>
    <row r="309" spans="1:8">
      <c r="A309">
        <f>'PSA&amp;CPR'!A309</f>
        <v>307</v>
      </c>
      <c r="B309" s="19">
        <f t="shared" si="8"/>
        <v>0</v>
      </c>
      <c r="C309" s="19">
        <f t="shared" si="9"/>
        <v>0</v>
      </c>
      <c r="D309" s="19">
        <f>Monthly_payment($B$1,$D$1,$B$3)*'PSA&amp;CPR（function) '!O309</f>
        <v>0</v>
      </c>
      <c r="E309" s="19">
        <f>Principle_portion_of_payment($B$1,$D$1,A309,$B$3)*'PSA&amp;CPR（function) '!O309</f>
        <v>0</v>
      </c>
      <c r="F309" s="19">
        <f>Interest_portion_of_payment($B$1,$D$1,A309,$B$3)*'PSA&amp;CPR（function) '!O309</f>
        <v>0</v>
      </c>
      <c r="G309" s="19">
        <f>(B309-E309)*'PSA&amp;CPR（function) '!G310</f>
        <v>0</v>
      </c>
      <c r="H309" s="19">
        <f>Remaining_balance($B$1,$D$1,A309,$B$3)*'PSA&amp;CPR（function) '!O310</f>
        <v>0</v>
      </c>
    </row>
    <row r="310" spans="1:8">
      <c r="A310">
        <f>'PSA&amp;CPR'!A310</f>
        <v>308</v>
      </c>
      <c r="B310" s="19">
        <f t="shared" si="8"/>
        <v>0</v>
      </c>
      <c r="C310" s="19">
        <f t="shared" si="9"/>
        <v>0</v>
      </c>
      <c r="D310" s="19">
        <f>Monthly_payment($B$1,$D$1,$B$3)*'PSA&amp;CPR（function) '!O310</f>
        <v>0</v>
      </c>
      <c r="E310" s="19">
        <f>Principle_portion_of_payment($B$1,$D$1,A310,$B$3)*'PSA&amp;CPR（function) '!O310</f>
        <v>0</v>
      </c>
      <c r="F310" s="19">
        <f>Interest_portion_of_payment($B$1,$D$1,A310,$B$3)*'PSA&amp;CPR（function) '!O310</f>
        <v>0</v>
      </c>
      <c r="G310" s="19">
        <f>(B310-E310)*'PSA&amp;CPR（function) '!G311</f>
        <v>0</v>
      </c>
      <c r="H310" s="19">
        <f>Remaining_balance($B$1,$D$1,A310,$B$3)*'PSA&amp;CPR（function) '!O311</f>
        <v>0</v>
      </c>
    </row>
    <row r="311" spans="1:8">
      <c r="A311">
        <f>'PSA&amp;CPR'!A311</f>
        <v>309</v>
      </c>
      <c r="B311" s="19">
        <f t="shared" si="8"/>
        <v>0</v>
      </c>
      <c r="C311" s="19">
        <f t="shared" si="9"/>
        <v>0</v>
      </c>
      <c r="D311" s="19">
        <f>Monthly_payment($B$1,$D$1,$B$3)*'PSA&amp;CPR（function) '!O311</f>
        <v>0</v>
      </c>
      <c r="E311" s="19">
        <f>Principle_portion_of_payment($B$1,$D$1,A311,$B$3)*'PSA&amp;CPR（function) '!O311</f>
        <v>0</v>
      </c>
      <c r="F311" s="19">
        <f>Interest_portion_of_payment($B$1,$D$1,A311,$B$3)*'PSA&amp;CPR（function) '!O311</f>
        <v>0</v>
      </c>
      <c r="G311" s="19">
        <f>(B311-E311)*'PSA&amp;CPR（function) '!G312</f>
        <v>0</v>
      </c>
      <c r="H311" s="19">
        <f>Remaining_balance($B$1,$D$1,A311,$B$3)*'PSA&amp;CPR（function) '!O312</f>
        <v>0</v>
      </c>
    </row>
    <row r="312" spans="1:8">
      <c r="A312">
        <f>'PSA&amp;CPR'!A312</f>
        <v>310</v>
      </c>
      <c r="B312" s="19">
        <f t="shared" si="8"/>
        <v>0</v>
      </c>
      <c r="C312" s="19">
        <f t="shared" si="9"/>
        <v>0</v>
      </c>
      <c r="D312" s="19">
        <f>Monthly_payment($B$1,$D$1,$B$3)*'PSA&amp;CPR（function) '!O312</f>
        <v>0</v>
      </c>
      <c r="E312" s="19">
        <f>Principle_portion_of_payment($B$1,$D$1,A312,$B$3)*'PSA&amp;CPR（function) '!O312</f>
        <v>0</v>
      </c>
      <c r="F312" s="19">
        <f>Interest_portion_of_payment($B$1,$D$1,A312,$B$3)*'PSA&amp;CPR（function) '!O312</f>
        <v>0</v>
      </c>
      <c r="G312" s="19">
        <f>(B312-E312)*'PSA&amp;CPR（function) '!G313</f>
        <v>0</v>
      </c>
      <c r="H312" s="19">
        <f>Remaining_balance($B$1,$D$1,A312,$B$3)*'PSA&amp;CPR（function) '!O313</f>
        <v>0</v>
      </c>
    </row>
    <row r="313" spans="1:8">
      <c r="A313">
        <f>'PSA&amp;CPR'!A313</f>
        <v>311</v>
      </c>
      <c r="B313" s="19">
        <f t="shared" si="8"/>
        <v>0</v>
      </c>
      <c r="C313" s="19">
        <f t="shared" si="9"/>
        <v>0</v>
      </c>
      <c r="D313" s="19">
        <f>Monthly_payment($B$1,$D$1,$B$3)*'PSA&amp;CPR（function) '!O313</f>
        <v>0</v>
      </c>
      <c r="E313" s="19">
        <f>Principle_portion_of_payment($B$1,$D$1,A313,$B$3)*'PSA&amp;CPR（function) '!O313</f>
        <v>0</v>
      </c>
      <c r="F313" s="19">
        <f>Interest_portion_of_payment($B$1,$D$1,A313,$B$3)*'PSA&amp;CPR（function) '!O313</f>
        <v>0</v>
      </c>
      <c r="G313" s="19">
        <f>(B313-E313)*'PSA&amp;CPR（function) '!G314</f>
        <v>0</v>
      </c>
      <c r="H313" s="19">
        <f>Remaining_balance($B$1,$D$1,A313,$B$3)*'PSA&amp;CPR（function) '!O314</f>
        <v>0</v>
      </c>
    </row>
    <row r="314" spans="1:8">
      <c r="A314">
        <f>'PSA&amp;CPR'!A314</f>
        <v>312</v>
      </c>
      <c r="B314" s="19">
        <f t="shared" si="8"/>
        <v>0</v>
      </c>
      <c r="C314" s="19">
        <f t="shared" si="9"/>
        <v>0</v>
      </c>
      <c r="D314" s="19">
        <f>Monthly_payment($B$1,$D$1,$B$3)*'PSA&amp;CPR（function) '!O314</f>
        <v>0</v>
      </c>
      <c r="E314" s="19">
        <f>Principle_portion_of_payment($B$1,$D$1,A314,$B$3)*'PSA&amp;CPR（function) '!O314</f>
        <v>0</v>
      </c>
      <c r="F314" s="19">
        <f>Interest_portion_of_payment($B$1,$D$1,A314,$B$3)*'PSA&amp;CPR（function) '!O314</f>
        <v>0</v>
      </c>
      <c r="G314" s="19">
        <f>(B314-E314)*'PSA&amp;CPR（function) '!G315</f>
        <v>0</v>
      </c>
      <c r="H314" s="19">
        <f>Remaining_balance($B$1,$D$1,A314,$B$3)*'PSA&amp;CPR（function) '!O315</f>
        <v>0</v>
      </c>
    </row>
    <row r="315" spans="1:8">
      <c r="A315">
        <f>'PSA&amp;CPR'!A315</f>
        <v>313</v>
      </c>
      <c r="B315" s="19">
        <f t="shared" si="8"/>
        <v>0</v>
      </c>
      <c r="C315" s="19">
        <f t="shared" si="9"/>
        <v>0</v>
      </c>
      <c r="D315" s="19">
        <f>Monthly_payment($B$1,$D$1,$B$3)*'PSA&amp;CPR（function) '!O315</f>
        <v>0</v>
      </c>
      <c r="E315" s="19">
        <f>Principle_portion_of_payment($B$1,$D$1,A315,$B$3)*'PSA&amp;CPR（function) '!O315</f>
        <v>0</v>
      </c>
      <c r="F315" s="19">
        <f>Interest_portion_of_payment($B$1,$D$1,A315,$B$3)*'PSA&amp;CPR（function) '!O315</f>
        <v>0</v>
      </c>
      <c r="G315" s="19">
        <f>(B315-E315)*'PSA&amp;CPR（function) '!G316</f>
        <v>0</v>
      </c>
      <c r="H315" s="19">
        <f>Remaining_balance($B$1,$D$1,A315,$B$3)*'PSA&amp;CPR（function) '!O316</f>
        <v>0</v>
      </c>
    </row>
    <row r="316" spans="1:8">
      <c r="A316">
        <f>'PSA&amp;CPR'!A316</f>
        <v>314</v>
      </c>
      <c r="B316" s="19">
        <f t="shared" si="8"/>
        <v>0</v>
      </c>
      <c r="C316" s="19">
        <f t="shared" si="9"/>
        <v>0</v>
      </c>
      <c r="D316" s="19">
        <f>Monthly_payment($B$1,$D$1,$B$3)*'PSA&amp;CPR（function) '!O316</f>
        <v>0</v>
      </c>
      <c r="E316" s="19">
        <f>Principle_portion_of_payment($B$1,$D$1,A316,$B$3)*'PSA&amp;CPR（function) '!O316</f>
        <v>0</v>
      </c>
      <c r="F316" s="19">
        <f>Interest_portion_of_payment($B$1,$D$1,A316,$B$3)*'PSA&amp;CPR（function) '!O316</f>
        <v>0</v>
      </c>
      <c r="G316" s="19">
        <f>(B316-E316)*'PSA&amp;CPR（function) '!G317</f>
        <v>0</v>
      </c>
      <c r="H316" s="19">
        <f>Remaining_balance($B$1,$D$1,A316,$B$3)*'PSA&amp;CPR（function) '!O317</f>
        <v>0</v>
      </c>
    </row>
    <row r="317" spans="1:8">
      <c r="A317">
        <f>'PSA&amp;CPR'!A317</f>
        <v>315</v>
      </c>
      <c r="B317" s="19">
        <f t="shared" si="8"/>
        <v>0</v>
      </c>
      <c r="C317" s="19">
        <f t="shared" si="9"/>
        <v>0</v>
      </c>
      <c r="D317" s="19">
        <f>Monthly_payment($B$1,$D$1,$B$3)*'PSA&amp;CPR（function) '!O317</f>
        <v>0</v>
      </c>
      <c r="E317" s="19">
        <f>Principle_portion_of_payment($B$1,$D$1,A317,$B$3)*'PSA&amp;CPR（function) '!O317</f>
        <v>0</v>
      </c>
      <c r="F317" s="19">
        <f>Interest_portion_of_payment($B$1,$D$1,A317,$B$3)*'PSA&amp;CPR（function) '!O317</f>
        <v>0</v>
      </c>
      <c r="G317" s="19">
        <f>(B317-E317)*'PSA&amp;CPR（function) '!G318</f>
        <v>0</v>
      </c>
      <c r="H317" s="19">
        <f>Remaining_balance($B$1,$D$1,A317,$B$3)*'PSA&amp;CPR（function) '!O318</f>
        <v>0</v>
      </c>
    </row>
    <row r="318" spans="1:8">
      <c r="A318">
        <f>'PSA&amp;CPR'!A318</f>
        <v>316</v>
      </c>
      <c r="B318" s="19">
        <f t="shared" si="8"/>
        <v>0</v>
      </c>
      <c r="C318" s="19">
        <f t="shared" si="9"/>
        <v>0</v>
      </c>
      <c r="D318" s="19">
        <f>Monthly_payment($B$1,$D$1,$B$3)*'PSA&amp;CPR（function) '!O318</f>
        <v>0</v>
      </c>
      <c r="E318" s="19">
        <f>Principle_portion_of_payment($B$1,$D$1,A318,$B$3)*'PSA&amp;CPR（function) '!O318</f>
        <v>0</v>
      </c>
      <c r="F318" s="19">
        <f>Interest_portion_of_payment($B$1,$D$1,A318,$B$3)*'PSA&amp;CPR（function) '!O318</f>
        <v>0</v>
      </c>
      <c r="G318" s="19">
        <f>(B318-E318)*'PSA&amp;CPR（function) '!G319</f>
        <v>0</v>
      </c>
      <c r="H318" s="19">
        <f>Remaining_balance($B$1,$D$1,A318,$B$3)*'PSA&amp;CPR（function) '!O319</f>
        <v>0</v>
      </c>
    </row>
    <row r="319" spans="1:8">
      <c r="A319">
        <f>'PSA&amp;CPR'!A319</f>
        <v>317</v>
      </c>
      <c r="B319" s="19">
        <f t="shared" si="8"/>
        <v>0</v>
      </c>
      <c r="C319" s="19">
        <f t="shared" si="9"/>
        <v>0</v>
      </c>
      <c r="D319" s="19">
        <f>Monthly_payment($B$1,$D$1,$B$3)*'PSA&amp;CPR（function) '!O319</f>
        <v>0</v>
      </c>
      <c r="E319" s="19">
        <f>Principle_portion_of_payment($B$1,$D$1,A319,$B$3)*'PSA&amp;CPR（function) '!O319</f>
        <v>0</v>
      </c>
      <c r="F319" s="19">
        <f>Interest_portion_of_payment($B$1,$D$1,A319,$B$3)*'PSA&amp;CPR（function) '!O319</f>
        <v>0</v>
      </c>
      <c r="G319" s="19">
        <f>(B319-E319)*'PSA&amp;CPR（function) '!G320</f>
        <v>0</v>
      </c>
      <c r="H319" s="19">
        <f>Remaining_balance($B$1,$D$1,A319,$B$3)*'PSA&amp;CPR（function) '!O320</f>
        <v>0</v>
      </c>
    </row>
    <row r="320" spans="1:8">
      <c r="A320">
        <f>'PSA&amp;CPR'!A320</f>
        <v>318</v>
      </c>
      <c r="B320" s="19">
        <f t="shared" si="8"/>
        <v>0</v>
      </c>
      <c r="C320" s="19">
        <f t="shared" si="9"/>
        <v>0</v>
      </c>
      <c r="D320" s="19">
        <f>Monthly_payment($B$1,$D$1,$B$3)*'PSA&amp;CPR（function) '!O320</f>
        <v>0</v>
      </c>
      <c r="E320" s="19">
        <f>Principle_portion_of_payment($B$1,$D$1,A320,$B$3)*'PSA&amp;CPR（function) '!O320</f>
        <v>0</v>
      </c>
      <c r="F320" s="19">
        <f>Interest_portion_of_payment($B$1,$D$1,A320,$B$3)*'PSA&amp;CPR（function) '!O320</f>
        <v>0</v>
      </c>
      <c r="G320" s="19">
        <f>(B320-E320)*'PSA&amp;CPR（function) '!G321</f>
        <v>0</v>
      </c>
      <c r="H320" s="19">
        <f>Remaining_balance($B$1,$D$1,A320,$B$3)*'PSA&amp;CPR（function) '!O321</f>
        <v>0</v>
      </c>
    </row>
    <row r="321" spans="1:8">
      <c r="A321">
        <f>'PSA&amp;CPR'!A321</f>
        <v>319</v>
      </c>
      <c r="B321" s="19">
        <f t="shared" si="8"/>
        <v>0</v>
      </c>
      <c r="C321" s="19">
        <f t="shared" si="9"/>
        <v>0</v>
      </c>
      <c r="D321" s="19">
        <f>Monthly_payment($B$1,$D$1,$B$3)*'PSA&amp;CPR（function) '!O321</f>
        <v>0</v>
      </c>
      <c r="E321" s="19">
        <f>Principle_portion_of_payment($B$1,$D$1,A321,$B$3)*'PSA&amp;CPR（function) '!O321</f>
        <v>0</v>
      </c>
      <c r="F321" s="19">
        <f>Interest_portion_of_payment($B$1,$D$1,A321,$B$3)*'PSA&amp;CPR（function) '!O321</f>
        <v>0</v>
      </c>
      <c r="G321" s="19">
        <f>(B321-E321)*'PSA&amp;CPR（function) '!G322</f>
        <v>0</v>
      </c>
      <c r="H321" s="19">
        <f>Remaining_balance($B$1,$D$1,A321,$B$3)*'PSA&amp;CPR（function) '!O322</f>
        <v>0</v>
      </c>
    </row>
    <row r="322" spans="1:8">
      <c r="A322">
        <f>'PSA&amp;CPR'!A322</f>
        <v>320</v>
      </c>
      <c r="B322" s="19">
        <f t="shared" si="8"/>
        <v>0</v>
      </c>
      <c r="C322" s="19">
        <f t="shared" si="9"/>
        <v>0</v>
      </c>
      <c r="D322" s="19">
        <f>Monthly_payment($B$1,$D$1,$B$3)*'PSA&amp;CPR（function) '!O322</f>
        <v>0</v>
      </c>
      <c r="E322" s="19">
        <f>Principle_portion_of_payment($B$1,$D$1,A322,$B$3)*'PSA&amp;CPR（function) '!O322</f>
        <v>0</v>
      </c>
      <c r="F322" s="19">
        <f>Interest_portion_of_payment($B$1,$D$1,A322,$B$3)*'PSA&amp;CPR（function) '!O322</f>
        <v>0</v>
      </c>
      <c r="G322" s="19">
        <f>(B322-E322)*'PSA&amp;CPR（function) '!G323</f>
        <v>0</v>
      </c>
      <c r="H322" s="19">
        <f>Remaining_balance($B$1,$D$1,A322,$B$3)*'PSA&amp;CPR（function) '!O323</f>
        <v>0</v>
      </c>
    </row>
    <row r="323" spans="1:8">
      <c r="A323">
        <f>'PSA&amp;CPR'!A323</f>
        <v>321</v>
      </c>
      <c r="B323" s="19">
        <f t="shared" si="8"/>
        <v>0</v>
      </c>
      <c r="C323" s="19">
        <f t="shared" si="9"/>
        <v>0</v>
      </c>
      <c r="D323" s="19">
        <f>Monthly_payment($B$1,$D$1,$B$3)*'PSA&amp;CPR（function) '!O323</f>
        <v>0</v>
      </c>
      <c r="E323" s="19">
        <f>Principle_portion_of_payment($B$1,$D$1,A323,$B$3)*'PSA&amp;CPR（function) '!O323</f>
        <v>0</v>
      </c>
      <c r="F323" s="19">
        <f>Interest_portion_of_payment($B$1,$D$1,A323,$B$3)*'PSA&amp;CPR（function) '!O323</f>
        <v>0</v>
      </c>
      <c r="G323" s="19">
        <f>(B323-E323)*'PSA&amp;CPR（function) '!G324</f>
        <v>0</v>
      </c>
      <c r="H323" s="19">
        <f>Remaining_balance($B$1,$D$1,A323,$B$3)*'PSA&amp;CPR（function) '!O324</f>
        <v>0</v>
      </c>
    </row>
    <row r="324" spans="1:8">
      <c r="A324">
        <f>'PSA&amp;CPR'!A324</f>
        <v>322</v>
      </c>
      <c r="B324" s="19">
        <f t="shared" si="8"/>
        <v>0</v>
      </c>
      <c r="C324" s="19">
        <f t="shared" si="9"/>
        <v>0</v>
      </c>
      <c r="D324" s="19">
        <f>Monthly_payment($B$1,$D$1,$B$3)*'PSA&amp;CPR（function) '!O324</f>
        <v>0</v>
      </c>
      <c r="E324" s="19">
        <f>Principle_portion_of_payment($B$1,$D$1,A324,$B$3)*'PSA&amp;CPR（function) '!O324</f>
        <v>0</v>
      </c>
      <c r="F324" s="19">
        <f>Interest_portion_of_payment($B$1,$D$1,A324,$B$3)*'PSA&amp;CPR（function) '!O324</f>
        <v>0</v>
      </c>
      <c r="G324" s="19">
        <f>(B324-E324)*'PSA&amp;CPR（function) '!G325</f>
        <v>0</v>
      </c>
      <c r="H324" s="19">
        <f>Remaining_balance($B$1,$D$1,A324,$B$3)*'PSA&amp;CPR（function) '!O325</f>
        <v>0</v>
      </c>
    </row>
    <row r="325" spans="1:8">
      <c r="A325">
        <f>'PSA&amp;CPR'!A325</f>
        <v>323</v>
      </c>
      <c r="B325" s="19">
        <f t="shared" ref="B325:B362" si="10">H324</f>
        <v>0</v>
      </c>
      <c r="C325" s="19">
        <f t="shared" ref="C325:C362" si="11">B325*($B$1/1200)</f>
        <v>0</v>
      </c>
      <c r="D325" s="19">
        <f>Monthly_payment($B$1,$D$1,$B$3)*'PSA&amp;CPR（function) '!O325</f>
        <v>0</v>
      </c>
      <c r="E325" s="19">
        <f>Principle_portion_of_payment($B$1,$D$1,A325,$B$3)*'PSA&amp;CPR（function) '!O325</f>
        <v>0</v>
      </c>
      <c r="F325" s="19">
        <f>Interest_portion_of_payment($B$1,$D$1,A325,$B$3)*'PSA&amp;CPR（function) '!O325</f>
        <v>0</v>
      </c>
      <c r="G325" s="19">
        <f>(B325-E325)*'PSA&amp;CPR（function) '!G326</f>
        <v>0</v>
      </c>
      <c r="H325" s="19">
        <f>Remaining_balance($B$1,$D$1,A325,$B$3)*'PSA&amp;CPR（function) '!O326</f>
        <v>0</v>
      </c>
    </row>
    <row r="326" spans="1:8">
      <c r="A326">
        <f>'PSA&amp;CPR'!A326</f>
        <v>324</v>
      </c>
      <c r="B326" s="19">
        <f t="shared" si="10"/>
        <v>0</v>
      </c>
      <c r="C326" s="19">
        <f t="shared" si="11"/>
        <v>0</v>
      </c>
      <c r="D326" s="19">
        <f>Monthly_payment($B$1,$D$1,$B$3)*'PSA&amp;CPR（function) '!O326</f>
        <v>0</v>
      </c>
      <c r="E326" s="19">
        <f>Principle_portion_of_payment($B$1,$D$1,A326,$B$3)*'PSA&amp;CPR（function) '!O326</f>
        <v>0</v>
      </c>
      <c r="F326" s="19">
        <f>Interest_portion_of_payment($B$1,$D$1,A326,$B$3)*'PSA&amp;CPR（function) '!O326</f>
        <v>0</v>
      </c>
      <c r="G326" s="19">
        <f>(B326-E326)*'PSA&amp;CPR（function) '!G327</f>
        <v>0</v>
      </c>
      <c r="H326" s="19">
        <f>Remaining_balance($B$1,$D$1,A326,$B$3)*'PSA&amp;CPR（function) '!O327</f>
        <v>0</v>
      </c>
    </row>
    <row r="327" spans="1:8">
      <c r="A327">
        <f>'PSA&amp;CPR'!A327</f>
        <v>325</v>
      </c>
      <c r="B327" s="19">
        <f t="shared" si="10"/>
        <v>0</v>
      </c>
      <c r="C327" s="19">
        <f t="shared" si="11"/>
        <v>0</v>
      </c>
      <c r="D327" s="19">
        <f>Monthly_payment($B$1,$D$1,$B$3)*'PSA&amp;CPR（function) '!O327</f>
        <v>0</v>
      </c>
      <c r="E327" s="19">
        <f>Principle_portion_of_payment($B$1,$D$1,A327,$B$3)*'PSA&amp;CPR（function) '!O327</f>
        <v>0</v>
      </c>
      <c r="F327" s="19">
        <f>Interest_portion_of_payment($B$1,$D$1,A327,$B$3)*'PSA&amp;CPR（function) '!O327</f>
        <v>0</v>
      </c>
      <c r="G327" s="19">
        <f>(B327-E327)*'PSA&amp;CPR（function) '!G328</f>
        <v>0</v>
      </c>
      <c r="H327" s="19">
        <f>Remaining_balance($B$1,$D$1,A327,$B$3)*'PSA&amp;CPR（function) '!O328</f>
        <v>0</v>
      </c>
    </row>
    <row r="328" spans="1:8">
      <c r="A328">
        <f>'PSA&amp;CPR'!A328</f>
        <v>326</v>
      </c>
      <c r="B328" s="19">
        <f t="shared" si="10"/>
        <v>0</v>
      </c>
      <c r="C328" s="19">
        <f t="shared" si="11"/>
        <v>0</v>
      </c>
      <c r="D328" s="19">
        <f>Monthly_payment($B$1,$D$1,$B$3)*'PSA&amp;CPR（function) '!O328</f>
        <v>0</v>
      </c>
      <c r="E328" s="19">
        <f>Principle_portion_of_payment($B$1,$D$1,A328,$B$3)*'PSA&amp;CPR（function) '!O328</f>
        <v>0</v>
      </c>
      <c r="F328" s="19">
        <f>Interest_portion_of_payment($B$1,$D$1,A328,$B$3)*'PSA&amp;CPR（function) '!O328</f>
        <v>0</v>
      </c>
      <c r="G328" s="19">
        <f>(B328-E328)*'PSA&amp;CPR（function) '!G329</f>
        <v>0</v>
      </c>
      <c r="H328" s="19">
        <f>Remaining_balance($B$1,$D$1,A328,$B$3)*'PSA&amp;CPR（function) '!O329</f>
        <v>0</v>
      </c>
    </row>
    <row r="329" spans="1:8">
      <c r="A329">
        <f>'PSA&amp;CPR'!A329</f>
        <v>327</v>
      </c>
      <c r="B329" s="19">
        <f t="shared" si="10"/>
        <v>0</v>
      </c>
      <c r="C329" s="19">
        <f t="shared" si="11"/>
        <v>0</v>
      </c>
      <c r="D329" s="19">
        <f>Monthly_payment($B$1,$D$1,$B$3)*'PSA&amp;CPR（function) '!O329</f>
        <v>0</v>
      </c>
      <c r="E329" s="19">
        <f>Principle_portion_of_payment($B$1,$D$1,A329,$B$3)*'PSA&amp;CPR（function) '!O329</f>
        <v>0</v>
      </c>
      <c r="F329" s="19">
        <f>Interest_portion_of_payment($B$1,$D$1,A329,$B$3)*'PSA&amp;CPR（function) '!O329</f>
        <v>0</v>
      </c>
      <c r="G329" s="19">
        <f>(B329-E329)*'PSA&amp;CPR（function) '!G330</f>
        <v>0</v>
      </c>
      <c r="H329" s="19">
        <f>Remaining_balance($B$1,$D$1,A329,$B$3)*'PSA&amp;CPR（function) '!O330</f>
        <v>0</v>
      </c>
    </row>
    <row r="330" spans="1:8">
      <c r="A330">
        <f>'PSA&amp;CPR'!A330</f>
        <v>328</v>
      </c>
      <c r="B330" s="19">
        <f t="shared" si="10"/>
        <v>0</v>
      </c>
      <c r="C330" s="19">
        <f t="shared" si="11"/>
        <v>0</v>
      </c>
      <c r="D330" s="19">
        <f>Monthly_payment($B$1,$D$1,$B$3)*'PSA&amp;CPR（function) '!O330</f>
        <v>0</v>
      </c>
      <c r="E330" s="19">
        <f>Principle_portion_of_payment($B$1,$D$1,A330,$B$3)*'PSA&amp;CPR（function) '!O330</f>
        <v>0</v>
      </c>
      <c r="F330" s="19">
        <f>Interest_portion_of_payment($B$1,$D$1,A330,$B$3)*'PSA&amp;CPR（function) '!O330</f>
        <v>0</v>
      </c>
      <c r="G330" s="19">
        <f>(B330-E330)*'PSA&amp;CPR（function) '!G331</f>
        <v>0</v>
      </c>
      <c r="H330" s="19">
        <f>Remaining_balance($B$1,$D$1,A330,$B$3)*'PSA&amp;CPR（function) '!O331</f>
        <v>0</v>
      </c>
    </row>
    <row r="331" spans="1:8">
      <c r="A331">
        <f>'PSA&amp;CPR'!A331</f>
        <v>329</v>
      </c>
      <c r="B331" s="19">
        <f t="shared" si="10"/>
        <v>0</v>
      </c>
      <c r="C331" s="19">
        <f t="shared" si="11"/>
        <v>0</v>
      </c>
      <c r="D331" s="19">
        <f>Monthly_payment($B$1,$D$1,$B$3)*'PSA&amp;CPR（function) '!O331</f>
        <v>0</v>
      </c>
      <c r="E331" s="19">
        <f>Principle_portion_of_payment($B$1,$D$1,A331,$B$3)*'PSA&amp;CPR（function) '!O331</f>
        <v>0</v>
      </c>
      <c r="F331" s="19">
        <f>Interest_portion_of_payment($B$1,$D$1,A331,$B$3)*'PSA&amp;CPR（function) '!O331</f>
        <v>0</v>
      </c>
      <c r="G331" s="19">
        <f>(B331-E331)*'PSA&amp;CPR（function) '!G332</f>
        <v>0</v>
      </c>
      <c r="H331" s="19">
        <f>Remaining_balance($B$1,$D$1,A331,$B$3)*'PSA&amp;CPR（function) '!O332</f>
        <v>0</v>
      </c>
    </row>
    <row r="332" spans="1:8">
      <c r="A332">
        <f>'PSA&amp;CPR'!A332</f>
        <v>330</v>
      </c>
      <c r="B332" s="19">
        <f t="shared" si="10"/>
        <v>0</v>
      </c>
      <c r="C332" s="19">
        <f t="shared" si="11"/>
        <v>0</v>
      </c>
      <c r="D332" s="19">
        <f>Monthly_payment($B$1,$D$1,$B$3)*'PSA&amp;CPR（function) '!O332</f>
        <v>0</v>
      </c>
      <c r="E332" s="19">
        <f>Principle_portion_of_payment($B$1,$D$1,A332,$B$3)*'PSA&amp;CPR（function) '!O332</f>
        <v>0</v>
      </c>
      <c r="F332" s="19">
        <f>Interest_portion_of_payment($B$1,$D$1,A332,$B$3)*'PSA&amp;CPR（function) '!O332</f>
        <v>0</v>
      </c>
      <c r="G332" s="19">
        <f>(B332-E332)*'PSA&amp;CPR（function) '!G333</f>
        <v>0</v>
      </c>
      <c r="H332" s="19">
        <f>Remaining_balance($B$1,$D$1,A332,$B$3)*'PSA&amp;CPR（function) '!O333</f>
        <v>0</v>
      </c>
    </row>
    <row r="333" spans="1:8">
      <c r="A333">
        <f>'PSA&amp;CPR'!A333</f>
        <v>331</v>
      </c>
      <c r="B333" s="19">
        <f t="shared" si="10"/>
        <v>0</v>
      </c>
      <c r="C333" s="19">
        <f t="shared" si="11"/>
        <v>0</v>
      </c>
      <c r="D333" s="19">
        <f>Monthly_payment($B$1,$D$1,$B$3)*'PSA&amp;CPR（function) '!O333</f>
        <v>0</v>
      </c>
      <c r="E333" s="19">
        <f>Principle_portion_of_payment($B$1,$D$1,A333,$B$3)*'PSA&amp;CPR（function) '!O333</f>
        <v>0</v>
      </c>
      <c r="F333" s="19">
        <f>Interest_portion_of_payment($B$1,$D$1,A333,$B$3)*'PSA&amp;CPR（function) '!O333</f>
        <v>0</v>
      </c>
      <c r="G333" s="19">
        <f>(B333-E333)*'PSA&amp;CPR（function) '!G334</f>
        <v>0</v>
      </c>
      <c r="H333" s="19">
        <f>Remaining_balance($B$1,$D$1,A333,$B$3)*'PSA&amp;CPR（function) '!O334</f>
        <v>0</v>
      </c>
    </row>
    <row r="334" spans="1:8">
      <c r="A334">
        <f>'PSA&amp;CPR'!A334</f>
        <v>332</v>
      </c>
      <c r="B334" s="19">
        <f t="shared" si="10"/>
        <v>0</v>
      </c>
      <c r="C334" s="19">
        <f t="shared" si="11"/>
        <v>0</v>
      </c>
      <c r="D334" s="19">
        <f>Monthly_payment($B$1,$D$1,$B$3)*'PSA&amp;CPR（function) '!O334</f>
        <v>0</v>
      </c>
      <c r="E334" s="19">
        <f>Principle_portion_of_payment($B$1,$D$1,A334,$B$3)*'PSA&amp;CPR（function) '!O334</f>
        <v>0</v>
      </c>
      <c r="F334" s="19">
        <f>Interest_portion_of_payment($B$1,$D$1,A334,$B$3)*'PSA&amp;CPR（function) '!O334</f>
        <v>0</v>
      </c>
      <c r="G334" s="19">
        <f>(B334-E334)*'PSA&amp;CPR（function) '!G335</f>
        <v>0</v>
      </c>
      <c r="H334" s="19">
        <f>Remaining_balance($B$1,$D$1,A334,$B$3)*'PSA&amp;CPR（function) '!O335</f>
        <v>0</v>
      </c>
    </row>
    <row r="335" spans="1:8">
      <c r="A335">
        <f>'PSA&amp;CPR'!A335</f>
        <v>333</v>
      </c>
      <c r="B335" s="19">
        <f t="shared" si="10"/>
        <v>0</v>
      </c>
      <c r="C335" s="19">
        <f t="shared" si="11"/>
        <v>0</v>
      </c>
      <c r="D335" s="19">
        <f>Monthly_payment($B$1,$D$1,$B$3)*'PSA&amp;CPR（function) '!O335</f>
        <v>0</v>
      </c>
      <c r="E335" s="19">
        <f>Principle_portion_of_payment($B$1,$D$1,A335,$B$3)*'PSA&amp;CPR（function) '!O335</f>
        <v>0</v>
      </c>
      <c r="F335" s="19">
        <f>Interest_portion_of_payment($B$1,$D$1,A335,$B$3)*'PSA&amp;CPR（function) '!O335</f>
        <v>0</v>
      </c>
      <c r="G335" s="19">
        <f>(B335-E335)*'PSA&amp;CPR（function) '!G336</f>
        <v>0</v>
      </c>
      <c r="H335" s="19">
        <f>Remaining_balance($B$1,$D$1,A335,$B$3)*'PSA&amp;CPR（function) '!O336</f>
        <v>0</v>
      </c>
    </row>
    <row r="336" spans="1:8">
      <c r="A336">
        <f>'PSA&amp;CPR'!A336</f>
        <v>334</v>
      </c>
      <c r="B336" s="19">
        <f t="shared" si="10"/>
        <v>0</v>
      </c>
      <c r="C336" s="19">
        <f t="shared" si="11"/>
        <v>0</v>
      </c>
      <c r="D336" s="19">
        <f>Monthly_payment($B$1,$D$1,$B$3)*'PSA&amp;CPR（function) '!O336</f>
        <v>0</v>
      </c>
      <c r="E336" s="19">
        <f>Principle_portion_of_payment($B$1,$D$1,A336,$B$3)*'PSA&amp;CPR（function) '!O336</f>
        <v>0</v>
      </c>
      <c r="F336" s="19">
        <f>Interest_portion_of_payment($B$1,$D$1,A336,$B$3)*'PSA&amp;CPR（function) '!O336</f>
        <v>0</v>
      </c>
      <c r="G336" s="19">
        <f>(B336-E336)*'PSA&amp;CPR（function) '!G337</f>
        <v>0</v>
      </c>
      <c r="H336" s="19">
        <f>Remaining_balance($B$1,$D$1,A336,$B$3)*'PSA&amp;CPR（function) '!O337</f>
        <v>0</v>
      </c>
    </row>
    <row r="337" spans="1:8">
      <c r="A337">
        <f>'PSA&amp;CPR'!A337</f>
        <v>335</v>
      </c>
      <c r="B337" s="19">
        <f t="shared" si="10"/>
        <v>0</v>
      </c>
      <c r="C337" s="19">
        <f t="shared" si="11"/>
        <v>0</v>
      </c>
      <c r="D337" s="19">
        <f>Monthly_payment($B$1,$D$1,$B$3)*'PSA&amp;CPR（function) '!O337</f>
        <v>0</v>
      </c>
      <c r="E337" s="19">
        <f>Principle_portion_of_payment($B$1,$D$1,A337,$B$3)*'PSA&amp;CPR（function) '!O337</f>
        <v>0</v>
      </c>
      <c r="F337" s="19">
        <f>Interest_portion_of_payment($B$1,$D$1,A337,$B$3)*'PSA&amp;CPR（function) '!O337</f>
        <v>0</v>
      </c>
      <c r="G337" s="19">
        <f>(B337-E337)*'PSA&amp;CPR（function) '!G338</f>
        <v>0</v>
      </c>
      <c r="H337" s="19">
        <f>Remaining_balance($B$1,$D$1,A337,$B$3)*'PSA&amp;CPR（function) '!O338</f>
        <v>0</v>
      </c>
    </row>
    <row r="338" spans="1:8">
      <c r="A338">
        <f>'PSA&amp;CPR'!A338</f>
        <v>336</v>
      </c>
      <c r="B338" s="19">
        <f t="shared" si="10"/>
        <v>0</v>
      </c>
      <c r="C338" s="19">
        <f t="shared" si="11"/>
        <v>0</v>
      </c>
      <c r="D338" s="19">
        <f>Monthly_payment($B$1,$D$1,$B$3)*'PSA&amp;CPR（function) '!O338</f>
        <v>0</v>
      </c>
      <c r="E338" s="19">
        <f>Principle_portion_of_payment($B$1,$D$1,A338,$B$3)*'PSA&amp;CPR（function) '!O338</f>
        <v>0</v>
      </c>
      <c r="F338" s="19">
        <f>Interest_portion_of_payment($B$1,$D$1,A338,$B$3)*'PSA&amp;CPR（function) '!O338</f>
        <v>0</v>
      </c>
      <c r="G338" s="19">
        <f>(B338-E338)*'PSA&amp;CPR（function) '!G339</f>
        <v>0</v>
      </c>
      <c r="H338" s="19">
        <f>Remaining_balance($B$1,$D$1,A338,$B$3)*'PSA&amp;CPR（function) '!O339</f>
        <v>0</v>
      </c>
    </row>
    <row r="339" spans="1:8">
      <c r="A339">
        <f>'PSA&amp;CPR'!A339</f>
        <v>337</v>
      </c>
      <c r="B339" s="19">
        <f t="shared" si="10"/>
        <v>0</v>
      </c>
      <c r="C339" s="19">
        <f t="shared" si="11"/>
        <v>0</v>
      </c>
      <c r="D339" s="19">
        <f>Monthly_payment($B$1,$D$1,$B$3)*'PSA&amp;CPR（function) '!O339</f>
        <v>0</v>
      </c>
      <c r="E339" s="19">
        <f>Principle_portion_of_payment($B$1,$D$1,A339,$B$3)*'PSA&amp;CPR（function) '!O339</f>
        <v>0</v>
      </c>
      <c r="F339" s="19">
        <f>Interest_portion_of_payment($B$1,$D$1,A339,$B$3)*'PSA&amp;CPR（function) '!O339</f>
        <v>0</v>
      </c>
      <c r="G339" s="19">
        <f>(B339-E339)*'PSA&amp;CPR（function) '!G340</f>
        <v>0</v>
      </c>
      <c r="H339" s="19">
        <f>Remaining_balance($B$1,$D$1,A339,$B$3)*'PSA&amp;CPR（function) '!O340</f>
        <v>0</v>
      </c>
    </row>
    <row r="340" spans="1:8">
      <c r="A340">
        <f>'PSA&amp;CPR'!A340</f>
        <v>338</v>
      </c>
      <c r="B340" s="19">
        <f t="shared" si="10"/>
        <v>0</v>
      </c>
      <c r="C340" s="19">
        <f t="shared" si="11"/>
        <v>0</v>
      </c>
      <c r="D340" s="19">
        <f>Monthly_payment($B$1,$D$1,$B$3)*'PSA&amp;CPR（function) '!O340</f>
        <v>0</v>
      </c>
      <c r="E340" s="19">
        <f>Principle_portion_of_payment($B$1,$D$1,A340,$B$3)*'PSA&amp;CPR（function) '!O340</f>
        <v>0</v>
      </c>
      <c r="F340" s="19">
        <f>Interest_portion_of_payment($B$1,$D$1,A340,$B$3)*'PSA&amp;CPR（function) '!O340</f>
        <v>0</v>
      </c>
      <c r="G340" s="19">
        <f>(B340-E340)*'PSA&amp;CPR（function) '!G341</f>
        <v>0</v>
      </c>
      <c r="H340" s="19">
        <f>Remaining_balance($B$1,$D$1,A340,$B$3)*'PSA&amp;CPR（function) '!O341</f>
        <v>0</v>
      </c>
    </row>
    <row r="341" spans="1:8">
      <c r="A341">
        <f>'PSA&amp;CPR'!A341</f>
        <v>339</v>
      </c>
      <c r="B341" s="19">
        <f t="shared" si="10"/>
        <v>0</v>
      </c>
      <c r="C341" s="19">
        <f t="shared" si="11"/>
        <v>0</v>
      </c>
      <c r="D341" s="19">
        <f>Monthly_payment($B$1,$D$1,$B$3)*'PSA&amp;CPR（function) '!O341</f>
        <v>0</v>
      </c>
      <c r="E341" s="19">
        <f>Principle_portion_of_payment($B$1,$D$1,A341,$B$3)*'PSA&amp;CPR（function) '!O341</f>
        <v>0</v>
      </c>
      <c r="F341" s="19">
        <f>Interest_portion_of_payment($B$1,$D$1,A341,$B$3)*'PSA&amp;CPR（function) '!O341</f>
        <v>0</v>
      </c>
      <c r="G341" s="19">
        <f>(B341-E341)*'PSA&amp;CPR（function) '!G342</f>
        <v>0</v>
      </c>
      <c r="H341" s="19">
        <f>Remaining_balance($B$1,$D$1,A341,$B$3)*'PSA&amp;CPR（function) '!O342</f>
        <v>0</v>
      </c>
    </row>
    <row r="342" spans="1:8">
      <c r="A342">
        <f>'PSA&amp;CPR'!A342</f>
        <v>340</v>
      </c>
      <c r="B342" s="19">
        <f t="shared" si="10"/>
        <v>0</v>
      </c>
      <c r="C342" s="19">
        <f t="shared" si="11"/>
        <v>0</v>
      </c>
      <c r="D342" s="19">
        <f>Monthly_payment($B$1,$D$1,$B$3)*'PSA&amp;CPR（function) '!O342</f>
        <v>0</v>
      </c>
      <c r="E342" s="19">
        <f>Principle_portion_of_payment($B$1,$D$1,A342,$B$3)*'PSA&amp;CPR（function) '!O342</f>
        <v>0</v>
      </c>
      <c r="F342" s="19">
        <f>Interest_portion_of_payment($B$1,$D$1,A342,$B$3)*'PSA&amp;CPR（function) '!O342</f>
        <v>0</v>
      </c>
      <c r="G342" s="19">
        <f>(B342-E342)*'PSA&amp;CPR（function) '!G343</f>
        <v>0</v>
      </c>
      <c r="H342" s="19">
        <f>Remaining_balance($B$1,$D$1,A342,$B$3)*'PSA&amp;CPR（function) '!O343</f>
        <v>0</v>
      </c>
    </row>
    <row r="343" spans="1:8">
      <c r="A343">
        <f>'PSA&amp;CPR'!A343</f>
        <v>341</v>
      </c>
      <c r="B343" s="19">
        <f t="shared" si="10"/>
        <v>0</v>
      </c>
      <c r="C343" s="19">
        <f t="shared" si="11"/>
        <v>0</v>
      </c>
      <c r="D343" s="19">
        <f>Monthly_payment($B$1,$D$1,$B$3)*'PSA&amp;CPR（function) '!O343</f>
        <v>0</v>
      </c>
      <c r="E343" s="19">
        <f>Principle_portion_of_payment($B$1,$D$1,A343,$B$3)*'PSA&amp;CPR（function) '!O343</f>
        <v>0</v>
      </c>
      <c r="F343" s="19">
        <f>Interest_portion_of_payment($B$1,$D$1,A343,$B$3)*'PSA&amp;CPR（function) '!O343</f>
        <v>0</v>
      </c>
      <c r="G343" s="19">
        <f>(B343-E343)*'PSA&amp;CPR（function) '!G344</f>
        <v>0</v>
      </c>
      <c r="H343" s="19">
        <f>Remaining_balance($B$1,$D$1,A343,$B$3)*'PSA&amp;CPR（function) '!O344</f>
        <v>0</v>
      </c>
    </row>
    <row r="344" spans="1:8">
      <c r="A344">
        <f>'PSA&amp;CPR'!A344</f>
        <v>342</v>
      </c>
      <c r="B344" s="19">
        <f t="shared" si="10"/>
        <v>0</v>
      </c>
      <c r="C344" s="19">
        <f t="shared" si="11"/>
        <v>0</v>
      </c>
      <c r="D344" s="19">
        <f>Monthly_payment($B$1,$D$1,$B$3)*'PSA&amp;CPR（function) '!O344</f>
        <v>0</v>
      </c>
      <c r="E344" s="19">
        <f>Principle_portion_of_payment($B$1,$D$1,A344,$B$3)*'PSA&amp;CPR（function) '!O344</f>
        <v>0</v>
      </c>
      <c r="F344" s="19">
        <f>Interest_portion_of_payment($B$1,$D$1,A344,$B$3)*'PSA&amp;CPR（function) '!O344</f>
        <v>0</v>
      </c>
      <c r="G344" s="19">
        <f>(B344-E344)*'PSA&amp;CPR（function) '!G345</f>
        <v>0</v>
      </c>
      <c r="H344" s="19">
        <f>Remaining_balance($B$1,$D$1,A344,$B$3)*'PSA&amp;CPR（function) '!O345</f>
        <v>0</v>
      </c>
    </row>
    <row r="345" spans="1:8">
      <c r="A345">
        <f>'PSA&amp;CPR'!A345</f>
        <v>343</v>
      </c>
      <c r="B345" s="19">
        <f t="shared" si="10"/>
        <v>0</v>
      </c>
      <c r="C345" s="19">
        <f t="shared" si="11"/>
        <v>0</v>
      </c>
      <c r="D345" s="19">
        <f>Monthly_payment($B$1,$D$1,$B$3)*'PSA&amp;CPR（function) '!O345</f>
        <v>0</v>
      </c>
      <c r="E345" s="19">
        <f>Principle_portion_of_payment($B$1,$D$1,A345,$B$3)*'PSA&amp;CPR（function) '!O345</f>
        <v>0</v>
      </c>
      <c r="F345" s="19">
        <f>Interest_portion_of_payment($B$1,$D$1,A345,$B$3)*'PSA&amp;CPR（function) '!O345</f>
        <v>0</v>
      </c>
      <c r="G345" s="19">
        <f>(B345-E345)*'PSA&amp;CPR（function) '!G346</f>
        <v>0</v>
      </c>
      <c r="H345" s="19">
        <f>Remaining_balance($B$1,$D$1,A345,$B$3)*'PSA&amp;CPR（function) '!O346</f>
        <v>0</v>
      </c>
    </row>
    <row r="346" spans="1:8">
      <c r="A346">
        <f>'PSA&amp;CPR'!A346</f>
        <v>344</v>
      </c>
      <c r="B346" s="19">
        <f t="shared" si="10"/>
        <v>0</v>
      </c>
      <c r="C346" s="19">
        <f t="shared" si="11"/>
        <v>0</v>
      </c>
      <c r="D346" s="19">
        <f>Monthly_payment($B$1,$D$1,$B$3)*'PSA&amp;CPR（function) '!O346</f>
        <v>0</v>
      </c>
      <c r="E346" s="19">
        <f>Principle_portion_of_payment($B$1,$D$1,A346,$B$3)*'PSA&amp;CPR（function) '!O346</f>
        <v>0</v>
      </c>
      <c r="F346" s="19">
        <f>Interest_portion_of_payment($B$1,$D$1,A346,$B$3)*'PSA&amp;CPR（function) '!O346</f>
        <v>0</v>
      </c>
      <c r="G346" s="19">
        <f>(B346-E346)*'PSA&amp;CPR（function) '!G347</f>
        <v>0</v>
      </c>
      <c r="H346" s="19">
        <f>Remaining_balance($B$1,$D$1,A346,$B$3)*'PSA&amp;CPR（function) '!O347</f>
        <v>0</v>
      </c>
    </row>
    <row r="347" spans="1:8">
      <c r="A347">
        <f>'PSA&amp;CPR'!A347</f>
        <v>345</v>
      </c>
      <c r="B347" s="19">
        <f t="shared" si="10"/>
        <v>0</v>
      </c>
      <c r="C347" s="19">
        <f t="shared" si="11"/>
        <v>0</v>
      </c>
      <c r="D347" s="19">
        <f>Monthly_payment($B$1,$D$1,$B$3)*'PSA&amp;CPR（function) '!O347</f>
        <v>0</v>
      </c>
      <c r="E347" s="19">
        <f>Principle_portion_of_payment($B$1,$D$1,A347,$B$3)*'PSA&amp;CPR（function) '!O347</f>
        <v>0</v>
      </c>
      <c r="F347" s="19">
        <f>Interest_portion_of_payment($B$1,$D$1,A347,$B$3)*'PSA&amp;CPR（function) '!O347</f>
        <v>0</v>
      </c>
      <c r="G347" s="19">
        <f>(B347-E347)*'PSA&amp;CPR（function) '!G348</f>
        <v>0</v>
      </c>
      <c r="H347" s="19">
        <f>Remaining_balance($B$1,$D$1,A347,$B$3)*'PSA&amp;CPR（function) '!O348</f>
        <v>0</v>
      </c>
    </row>
    <row r="348" spans="1:8">
      <c r="A348">
        <f>'PSA&amp;CPR'!A348</f>
        <v>346</v>
      </c>
      <c r="B348" s="19">
        <f t="shared" si="10"/>
        <v>0</v>
      </c>
      <c r="C348" s="19">
        <f t="shared" si="11"/>
        <v>0</v>
      </c>
      <c r="D348" s="19">
        <f>Monthly_payment($B$1,$D$1,$B$3)*'PSA&amp;CPR（function) '!O348</f>
        <v>0</v>
      </c>
      <c r="E348" s="19">
        <f>Principle_portion_of_payment($B$1,$D$1,A348,$B$3)*'PSA&amp;CPR（function) '!O348</f>
        <v>0</v>
      </c>
      <c r="F348" s="19">
        <f>Interest_portion_of_payment($B$1,$D$1,A348,$B$3)*'PSA&amp;CPR（function) '!O348</f>
        <v>0</v>
      </c>
      <c r="G348" s="19">
        <f>(B348-E348)*'PSA&amp;CPR（function) '!G349</f>
        <v>0</v>
      </c>
      <c r="H348" s="19">
        <f>Remaining_balance($B$1,$D$1,A348,$B$3)*'PSA&amp;CPR（function) '!O349</f>
        <v>0</v>
      </c>
    </row>
    <row r="349" spans="1:8">
      <c r="A349">
        <f>'PSA&amp;CPR'!A349</f>
        <v>347</v>
      </c>
      <c r="B349" s="19">
        <f t="shared" si="10"/>
        <v>0</v>
      </c>
      <c r="C349" s="19">
        <f t="shared" si="11"/>
        <v>0</v>
      </c>
      <c r="D349" s="19">
        <f>Monthly_payment($B$1,$D$1,$B$3)*'PSA&amp;CPR（function) '!O349</f>
        <v>0</v>
      </c>
      <c r="E349" s="19">
        <f>Principle_portion_of_payment($B$1,$D$1,A349,$B$3)*'PSA&amp;CPR（function) '!O349</f>
        <v>0</v>
      </c>
      <c r="F349" s="19">
        <f>Interest_portion_of_payment($B$1,$D$1,A349,$B$3)*'PSA&amp;CPR（function) '!O349</f>
        <v>0</v>
      </c>
      <c r="G349" s="19">
        <f>(B349-E349)*'PSA&amp;CPR（function) '!G350</f>
        <v>0</v>
      </c>
      <c r="H349" s="19">
        <f>Remaining_balance($B$1,$D$1,A349,$B$3)*'PSA&amp;CPR（function) '!O350</f>
        <v>0</v>
      </c>
    </row>
    <row r="350" spans="1:8">
      <c r="A350">
        <f>'PSA&amp;CPR'!A350</f>
        <v>348</v>
      </c>
      <c r="B350" s="19">
        <f t="shared" si="10"/>
        <v>0</v>
      </c>
      <c r="C350" s="19">
        <f t="shared" si="11"/>
        <v>0</v>
      </c>
      <c r="D350" s="19">
        <f>Monthly_payment($B$1,$D$1,$B$3)*'PSA&amp;CPR（function) '!O350</f>
        <v>0</v>
      </c>
      <c r="E350" s="19">
        <f>Principle_portion_of_payment($B$1,$D$1,A350,$B$3)*'PSA&amp;CPR（function) '!O350</f>
        <v>0</v>
      </c>
      <c r="F350" s="19">
        <f>Interest_portion_of_payment($B$1,$D$1,A350,$B$3)*'PSA&amp;CPR（function) '!O350</f>
        <v>0</v>
      </c>
      <c r="G350" s="19">
        <f>(B350-E350)*'PSA&amp;CPR（function) '!G351</f>
        <v>0</v>
      </c>
      <c r="H350" s="19">
        <f>Remaining_balance($B$1,$D$1,A350,$B$3)*'PSA&amp;CPR（function) '!O351</f>
        <v>0</v>
      </c>
    </row>
    <row r="351" spans="1:8">
      <c r="A351">
        <f>'PSA&amp;CPR'!A351</f>
        <v>349</v>
      </c>
      <c r="B351" s="19">
        <f t="shared" si="10"/>
        <v>0</v>
      </c>
      <c r="C351" s="19">
        <f t="shared" si="11"/>
        <v>0</v>
      </c>
      <c r="D351" s="19">
        <f>Monthly_payment($B$1,$D$1,$B$3)*'PSA&amp;CPR（function) '!O351</f>
        <v>0</v>
      </c>
      <c r="E351" s="19">
        <f>Principle_portion_of_payment($B$1,$D$1,A351,$B$3)*'PSA&amp;CPR（function) '!O351</f>
        <v>0</v>
      </c>
      <c r="F351" s="19">
        <f>Interest_portion_of_payment($B$1,$D$1,A351,$B$3)*'PSA&amp;CPR（function) '!O351</f>
        <v>0</v>
      </c>
      <c r="G351" s="19">
        <f>(B351-E351)*'PSA&amp;CPR（function) '!G352</f>
        <v>0</v>
      </c>
      <c r="H351" s="19">
        <f>Remaining_balance($B$1,$D$1,A351,$B$3)*'PSA&amp;CPR（function) '!O352</f>
        <v>0</v>
      </c>
    </row>
    <row r="352" spans="1:8">
      <c r="A352">
        <f>'PSA&amp;CPR'!A352</f>
        <v>350</v>
      </c>
      <c r="B352" s="19">
        <f t="shared" si="10"/>
        <v>0</v>
      </c>
      <c r="C352" s="19">
        <f t="shared" si="11"/>
        <v>0</v>
      </c>
      <c r="D352" s="19">
        <f>Monthly_payment($B$1,$D$1,$B$3)*'PSA&amp;CPR（function) '!O352</f>
        <v>0</v>
      </c>
      <c r="E352" s="19">
        <f>Principle_portion_of_payment($B$1,$D$1,A352,$B$3)*'PSA&amp;CPR（function) '!O352</f>
        <v>0</v>
      </c>
      <c r="F352" s="19">
        <f>Interest_portion_of_payment($B$1,$D$1,A352,$B$3)*'PSA&amp;CPR（function) '!O352</f>
        <v>0</v>
      </c>
      <c r="G352" s="19">
        <f>(B352-E352)*'PSA&amp;CPR（function) '!G353</f>
        <v>0</v>
      </c>
      <c r="H352" s="19">
        <f>Remaining_balance($B$1,$D$1,A352,$B$3)*'PSA&amp;CPR（function) '!O353</f>
        <v>0</v>
      </c>
    </row>
    <row r="353" spans="1:8">
      <c r="A353">
        <f>'PSA&amp;CPR'!A353</f>
        <v>351</v>
      </c>
      <c r="B353" s="19">
        <f t="shared" si="10"/>
        <v>0</v>
      </c>
      <c r="C353" s="19">
        <f t="shared" si="11"/>
        <v>0</v>
      </c>
      <c r="D353" s="19">
        <f>Monthly_payment($B$1,$D$1,$B$3)*'PSA&amp;CPR（function) '!O353</f>
        <v>0</v>
      </c>
      <c r="E353" s="19">
        <f>Principle_portion_of_payment($B$1,$D$1,A353,$B$3)*'PSA&amp;CPR（function) '!O353</f>
        <v>0</v>
      </c>
      <c r="F353" s="19">
        <f>Interest_portion_of_payment($B$1,$D$1,A353,$B$3)*'PSA&amp;CPR（function) '!O353</f>
        <v>0</v>
      </c>
      <c r="G353" s="19">
        <f>(B353-E353)*'PSA&amp;CPR（function) '!G354</f>
        <v>0</v>
      </c>
      <c r="H353" s="19">
        <f>Remaining_balance($B$1,$D$1,A353,$B$3)*'PSA&amp;CPR（function) '!O354</f>
        <v>0</v>
      </c>
    </row>
    <row r="354" spans="1:8">
      <c r="A354">
        <f>'PSA&amp;CPR'!A354</f>
        <v>352</v>
      </c>
      <c r="B354" s="19">
        <f t="shared" si="10"/>
        <v>0</v>
      </c>
      <c r="C354" s="19">
        <f t="shared" si="11"/>
        <v>0</v>
      </c>
      <c r="D354" s="19">
        <f>Monthly_payment($B$1,$D$1,$B$3)*'PSA&amp;CPR（function) '!O354</f>
        <v>0</v>
      </c>
      <c r="E354" s="19">
        <f>Principle_portion_of_payment($B$1,$D$1,A354,$B$3)*'PSA&amp;CPR（function) '!O354</f>
        <v>0</v>
      </c>
      <c r="F354" s="19">
        <f>Interest_portion_of_payment($B$1,$D$1,A354,$B$3)*'PSA&amp;CPR（function) '!O354</f>
        <v>0</v>
      </c>
      <c r="G354" s="19">
        <f>(B354-E354)*'PSA&amp;CPR（function) '!G355</f>
        <v>0</v>
      </c>
      <c r="H354" s="19">
        <f>Remaining_balance($B$1,$D$1,A354,$B$3)*'PSA&amp;CPR（function) '!O355</f>
        <v>0</v>
      </c>
    </row>
    <row r="355" spans="1:8">
      <c r="A355">
        <f>'PSA&amp;CPR'!A355</f>
        <v>353</v>
      </c>
      <c r="B355" s="19">
        <f t="shared" si="10"/>
        <v>0</v>
      </c>
      <c r="C355" s="19">
        <f t="shared" si="11"/>
        <v>0</v>
      </c>
      <c r="D355" s="19">
        <f>Monthly_payment($B$1,$D$1,$B$3)*'PSA&amp;CPR（function) '!O355</f>
        <v>0</v>
      </c>
      <c r="E355" s="19">
        <f>Principle_portion_of_payment($B$1,$D$1,A355,$B$3)*'PSA&amp;CPR（function) '!O355</f>
        <v>0</v>
      </c>
      <c r="F355" s="19">
        <f>Interest_portion_of_payment($B$1,$D$1,A355,$B$3)*'PSA&amp;CPR（function) '!O355</f>
        <v>0</v>
      </c>
      <c r="G355" s="19">
        <f>(B355-E355)*'PSA&amp;CPR（function) '!G356</f>
        <v>0</v>
      </c>
      <c r="H355" s="19">
        <f>Remaining_balance($B$1,$D$1,A355,$B$3)*'PSA&amp;CPR（function) '!O356</f>
        <v>0</v>
      </c>
    </row>
    <row r="356" spans="1:8">
      <c r="A356">
        <f>'PSA&amp;CPR'!A356</f>
        <v>354</v>
      </c>
      <c r="B356" s="19">
        <f t="shared" si="10"/>
        <v>0</v>
      </c>
      <c r="C356" s="19">
        <f t="shared" si="11"/>
        <v>0</v>
      </c>
      <c r="D356" s="19">
        <f>Monthly_payment($B$1,$D$1,$B$3)*'PSA&amp;CPR（function) '!O356</f>
        <v>0</v>
      </c>
      <c r="E356" s="19">
        <f>Principle_portion_of_payment($B$1,$D$1,A356,$B$3)*'PSA&amp;CPR（function) '!O356</f>
        <v>0</v>
      </c>
      <c r="F356" s="19">
        <f>Interest_portion_of_payment($B$1,$D$1,A356,$B$3)*'PSA&amp;CPR（function) '!O356</f>
        <v>0</v>
      </c>
      <c r="G356" s="19">
        <f>(B356-E356)*'PSA&amp;CPR（function) '!G357</f>
        <v>0</v>
      </c>
      <c r="H356" s="19">
        <f>Remaining_balance($B$1,$D$1,A356,$B$3)*'PSA&amp;CPR（function) '!O357</f>
        <v>0</v>
      </c>
    </row>
    <row r="357" spans="1:8">
      <c r="A357">
        <f>'PSA&amp;CPR'!A357</f>
        <v>355</v>
      </c>
      <c r="B357" s="19">
        <f t="shared" si="10"/>
        <v>0</v>
      </c>
      <c r="C357" s="19">
        <f t="shared" si="11"/>
        <v>0</v>
      </c>
      <c r="D357" s="19">
        <f>Monthly_payment($B$1,$D$1,$B$3)*'PSA&amp;CPR（function) '!O357</f>
        <v>0</v>
      </c>
      <c r="E357" s="19">
        <f>Principle_portion_of_payment($B$1,$D$1,A357,$B$3)*'PSA&amp;CPR（function) '!O357</f>
        <v>0</v>
      </c>
      <c r="F357" s="19">
        <f>Interest_portion_of_payment($B$1,$D$1,A357,$B$3)*'PSA&amp;CPR（function) '!O357</f>
        <v>0</v>
      </c>
      <c r="G357" s="19">
        <f>(B357-E357)*'PSA&amp;CPR（function) '!G358</f>
        <v>0</v>
      </c>
      <c r="H357" s="19">
        <f>Remaining_balance($B$1,$D$1,A357,$B$3)*'PSA&amp;CPR（function) '!O358</f>
        <v>0</v>
      </c>
    </row>
    <row r="358" spans="1:8">
      <c r="A358">
        <f>'PSA&amp;CPR'!A358</f>
        <v>356</v>
      </c>
      <c r="B358" s="19">
        <f t="shared" si="10"/>
        <v>0</v>
      </c>
      <c r="C358" s="19">
        <f t="shared" si="11"/>
        <v>0</v>
      </c>
      <c r="D358" s="19">
        <f>Monthly_payment($B$1,$D$1,$B$3)*'PSA&amp;CPR（function) '!O358</f>
        <v>0</v>
      </c>
      <c r="E358" s="19">
        <f>Principle_portion_of_payment($B$1,$D$1,A358,$B$3)*'PSA&amp;CPR（function) '!O358</f>
        <v>0</v>
      </c>
      <c r="F358" s="19">
        <f>Interest_portion_of_payment($B$1,$D$1,A358,$B$3)*'PSA&amp;CPR（function) '!O358</f>
        <v>0</v>
      </c>
      <c r="G358" s="19">
        <f>(B358-E358)*'PSA&amp;CPR（function) '!G359</f>
        <v>0</v>
      </c>
      <c r="H358" s="19">
        <f>Remaining_balance($B$1,$D$1,A358,$B$3)*'PSA&amp;CPR（function) '!O359</f>
        <v>0</v>
      </c>
    </row>
    <row r="359" spans="1:8">
      <c r="A359">
        <f>'PSA&amp;CPR'!A359</f>
        <v>357</v>
      </c>
      <c r="B359" s="19">
        <f t="shared" si="10"/>
        <v>0</v>
      </c>
      <c r="C359" s="19">
        <f t="shared" si="11"/>
        <v>0</v>
      </c>
      <c r="D359" s="19">
        <f>Monthly_payment($B$1,$D$1,$B$3)*'PSA&amp;CPR（function) '!O359</f>
        <v>0</v>
      </c>
      <c r="E359" s="19">
        <f>Principle_portion_of_payment($B$1,$D$1,A359,$B$3)*'PSA&amp;CPR（function) '!O359</f>
        <v>0</v>
      </c>
      <c r="F359" s="19">
        <f>Interest_portion_of_payment($B$1,$D$1,A359,$B$3)*'PSA&amp;CPR（function) '!O359</f>
        <v>0</v>
      </c>
      <c r="G359" s="19">
        <f>(B359-E359)*'PSA&amp;CPR（function) '!G360</f>
        <v>0</v>
      </c>
      <c r="H359" s="19">
        <f>Remaining_balance($B$1,$D$1,A359,$B$3)*'PSA&amp;CPR（function) '!O360</f>
        <v>0</v>
      </c>
    </row>
    <row r="360" spans="1:8">
      <c r="A360">
        <f>'PSA&amp;CPR'!A360</f>
        <v>358</v>
      </c>
      <c r="B360" s="19">
        <f t="shared" si="10"/>
        <v>0</v>
      </c>
      <c r="C360" s="19">
        <f t="shared" si="11"/>
        <v>0</v>
      </c>
      <c r="D360" s="19">
        <f>Monthly_payment($B$1,$D$1,$B$3)*'PSA&amp;CPR（function) '!O360</f>
        <v>0</v>
      </c>
      <c r="E360" s="19">
        <f>Principle_portion_of_payment($B$1,$D$1,A360,$B$3)*'PSA&amp;CPR（function) '!O360</f>
        <v>0</v>
      </c>
      <c r="F360" s="19">
        <f>Interest_portion_of_payment($B$1,$D$1,A360,$B$3)*'PSA&amp;CPR（function) '!O360</f>
        <v>0</v>
      </c>
      <c r="G360" s="19">
        <f>(B360-E360)*'PSA&amp;CPR（function) '!G361</f>
        <v>0</v>
      </c>
      <c r="H360" s="19">
        <f>Remaining_balance($B$1,$D$1,A360,$B$3)*'PSA&amp;CPR（function) '!O361</f>
        <v>0</v>
      </c>
    </row>
    <row r="361" spans="1:8">
      <c r="A361">
        <f>'PSA&amp;CPR'!A361</f>
        <v>359</v>
      </c>
      <c r="B361" s="19">
        <f t="shared" si="10"/>
        <v>0</v>
      </c>
      <c r="C361" s="19">
        <f t="shared" si="11"/>
        <v>0</v>
      </c>
      <c r="D361" s="19">
        <f>Monthly_payment($B$1,$D$1,$B$3)*'PSA&amp;CPR（function) '!O361</f>
        <v>0</v>
      </c>
      <c r="E361" s="19">
        <f>Principle_portion_of_payment($B$1,$D$1,A361,$B$3)*'PSA&amp;CPR（function) '!O361</f>
        <v>0</v>
      </c>
      <c r="F361" s="19">
        <f>Interest_portion_of_payment($B$1,$D$1,A361,$B$3)*'PSA&amp;CPR（function) '!O361</f>
        <v>0</v>
      </c>
      <c r="G361" s="19">
        <f>(B361-E361)*'PSA&amp;CPR（function) '!G362</f>
        <v>0</v>
      </c>
      <c r="H361" s="19">
        <f>Remaining_balance($B$1,$D$1,A361,$B$3)*'PSA&amp;CPR（function) '!O362</f>
        <v>0</v>
      </c>
    </row>
    <row r="362" spans="1:8">
      <c r="A362">
        <f>'PSA&amp;CPR'!A362</f>
        <v>360</v>
      </c>
      <c r="B362" s="19">
        <f t="shared" si="10"/>
        <v>0</v>
      </c>
      <c r="C362" s="19">
        <f t="shared" si="11"/>
        <v>0</v>
      </c>
      <c r="D362" s="19">
        <f>Monthly_payment($B$1,$D$1,$B$3)*'PSA&amp;CPR（function) '!O362</f>
        <v>0</v>
      </c>
      <c r="E362" s="19">
        <f>Principle_portion_of_payment($B$1,$D$1,A362,$B$3)*'PSA&amp;CPR（function) '!O362</f>
        <v>0</v>
      </c>
      <c r="F362" s="19">
        <f>Interest_portion_of_payment($B$1,$D$1,A362,$B$3)*'PSA&amp;CPR（function) '!O362</f>
        <v>0</v>
      </c>
      <c r="G362" s="19">
        <f>(B362-E362)*'PSA&amp;CPR（function) '!G363</f>
        <v>0</v>
      </c>
      <c r="H362" s="19">
        <f>Remaining_balance($B$1,$D$1,A362,$B$3)*'PSA&amp;CPR（function) '!O363</f>
        <v>0</v>
      </c>
    </row>
    <row r="363" spans="1:8">
      <c r="B363" s="19"/>
      <c r="C363" s="19"/>
      <c r="D363" s="19"/>
      <c r="E363" s="19"/>
      <c r="F363" s="19"/>
      <c r="G363" s="19"/>
      <c r="H363" s="19"/>
    </row>
    <row r="364" spans="1:8">
      <c r="B364" s="19"/>
      <c r="C364" s="19"/>
      <c r="D364" s="19"/>
      <c r="E364" s="19"/>
      <c r="F364" s="19"/>
      <c r="G364" s="19"/>
      <c r="H364" s="19"/>
    </row>
    <row r="365" spans="1:8">
      <c r="B365" s="19"/>
      <c r="C365" s="19"/>
      <c r="D365" s="19"/>
      <c r="E365" s="19"/>
      <c r="F365" s="19"/>
      <c r="G365" s="19"/>
      <c r="H365" s="19"/>
    </row>
    <row r="366" spans="1:8">
      <c r="B366" s="19"/>
      <c r="C366" s="19"/>
      <c r="D366" s="19"/>
      <c r="E366" s="19"/>
      <c r="F366" s="19"/>
      <c r="G366" s="19"/>
      <c r="H366" s="19"/>
    </row>
    <row r="367" spans="1:8">
      <c r="B367" s="19"/>
      <c r="C367" s="19"/>
      <c r="D367" s="19"/>
      <c r="E367" s="19"/>
      <c r="F367" s="19"/>
      <c r="G367" s="19"/>
      <c r="H367" s="19"/>
    </row>
    <row r="368" spans="1:8">
      <c r="B368" s="19"/>
      <c r="C368" s="19"/>
      <c r="D368" s="19"/>
      <c r="E368" s="19"/>
      <c r="F368" s="19"/>
      <c r="G368" s="19"/>
      <c r="H368" s="19"/>
    </row>
    <row r="369" spans="2:8">
      <c r="B369" s="19"/>
      <c r="C369" s="19"/>
      <c r="D369" s="19"/>
      <c r="E369" s="19"/>
      <c r="F369" s="19"/>
      <c r="G369" s="19"/>
      <c r="H369" s="19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7F44E7-1B04-4AE4-94FC-7F0A08148CDB}">
  <sheetPr codeName="Sheet8"/>
  <dimension ref="A1:H369"/>
  <sheetViews>
    <sheetView zoomScale="90" zoomScaleNormal="90" workbookViewId="0">
      <selection activeCell="A20" sqref="A20"/>
    </sheetView>
  </sheetViews>
  <sheetFormatPr baseColWidth="10" defaultColWidth="8.83203125" defaultRowHeight="15"/>
  <cols>
    <col min="1" max="1" width="25" customWidth="1"/>
    <col min="2" max="2" width="20.33203125" customWidth="1"/>
    <col min="3" max="3" width="17.1640625" customWidth="1"/>
    <col min="4" max="4" width="27" customWidth="1"/>
    <col min="5" max="5" width="26.1640625" bestFit="1" customWidth="1"/>
    <col min="6" max="6" width="25.5" bestFit="1" customWidth="1"/>
    <col min="7" max="7" width="25.5" customWidth="1"/>
    <col min="8" max="8" width="26.33203125" customWidth="1"/>
  </cols>
  <sheetData>
    <row r="1" spans="1:8">
      <c r="A1" t="s">
        <v>3</v>
      </c>
      <c r="B1">
        <v>5</v>
      </c>
      <c r="C1" t="s">
        <v>2</v>
      </c>
      <c r="D1">
        <v>360</v>
      </c>
    </row>
    <row r="2" spans="1:8" ht="16">
      <c r="A2" s="27" t="s">
        <v>17</v>
      </c>
      <c r="B2" s="27" t="s">
        <v>12</v>
      </c>
      <c r="C2" s="27" t="s">
        <v>13</v>
      </c>
      <c r="D2" s="27" t="s">
        <v>29</v>
      </c>
      <c r="E2" s="27" t="s">
        <v>31</v>
      </c>
      <c r="F2" s="27" t="s">
        <v>30</v>
      </c>
      <c r="G2" s="27" t="s">
        <v>32</v>
      </c>
      <c r="H2" s="27" t="s">
        <v>16</v>
      </c>
    </row>
    <row r="3" spans="1:8">
      <c r="A3">
        <f>'PSA&amp;CPR'!A3</f>
        <v>1</v>
      </c>
      <c r="B3" s="19">
        <f>100000</f>
        <v>100000</v>
      </c>
      <c r="C3" s="19">
        <f>B3*($B$1/1200)</f>
        <v>416.66666666666669</v>
      </c>
      <c r="D3" s="19">
        <f>Monthly_payment($B$1,$D$1,$B$3)*1</f>
        <v>536.82162301213975</v>
      </c>
      <c r="E3" s="19">
        <f>Principle_portion_of_payment($B$1,$D$1,A3,$B$3)*1</f>
        <v>120.15495634547315</v>
      </c>
      <c r="F3" s="19">
        <f>Interest_portion_of_payment($B$1,$D$1,A3,$B$3)*1</f>
        <v>416.66666666666669</v>
      </c>
      <c r="G3" s="19">
        <f>(B3-E3)*'PSA&amp;CPR（function) '!G4</f>
        <v>22.653367881071453</v>
      </c>
      <c r="H3" s="19">
        <f>Remaining_balance($B$1,$D$1,A3,$B$3)*'PSA&amp;CPR（function) '!O4</f>
        <v>99848.866426705368</v>
      </c>
    </row>
    <row r="4" spans="1:8">
      <c r="A4">
        <f>'PSA&amp;CPR'!A4</f>
        <v>2</v>
      </c>
      <c r="B4" s="19">
        <f>H3</f>
        <v>99848.866426705368</v>
      </c>
      <c r="C4" s="19">
        <f>B4*($B$1/1200)</f>
        <v>416.0369434446057</v>
      </c>
      <c r="D4" s="19">
        <f>Monthly_payment($B$1,$D$1,$B$3)*'PSA&amp;CPR（function) '!O4</f>
        <v>536.65512303987748</v>
      </c>
      <c r="E4" s="19">
        <f>Principle_portion_of_payment($B$1,$D$1,A4,$B$3)*'PSA&amp;CPR（function) '!O4</f>
        <v>120.61817959527191</v>
      </c>
      <c r="F4" s="19">
        <f>Interest_portion_of_payment($B$1,$D$1,A4,$B$3)*'PSA&amp;CPR（function) '!O4</f>
        <v>416.03694344460558</v>
      </c>
      <c r="G4" s="19">
        <f>(B4-E4)*'PSA&amp;CPR（function) '!G5</f>
        <v>61.617090075607017</v>
      </c>
      <c r="H4" s="19">
        <f>Remaining_balance($B$1,$D$1,A4,$B$3)*'PSA&amp;CPR（function) '!O5</f>
        <v>99674.941211598489</v>
      </c>
    </row>
    <row r="5" spans="1:8">
      <c r="A5">
        <f>'PSA&amp;CPR'!A5</f>
        <v>3</v>
      </c>
      <c r="B5" s="19">
        <f t="shared" ref="B5:B68" si="0">H4</f>
        <v>99674.941211598489</v>
      </c>
      <c r="C5" s="19">
        <f t="shared" ref="C5:C68" si="1">B5*($B$1/1200)</f>
        <v>415.31225504832702</v>
      </c>
      <c r="D5" s="19">
        <f>Monthly_payment($B$1,$D$1,$B$3)*'PSA&amp;CPR（function) '!O5</f>
        <v>536.36826857081599</v>
      </c>
      <c r="E5" s="19">
        <f>Principle_portion_of_payment($B$1,$D$1,A5,$B$3)*'PSA&amp;CPR（function) '!O5</f>
        <v>121.05601352248897</v>
      </c>
      <c r="F5" s="19">
        <f>Interest_portion_of_payment($B$1,$D$1,A5,$B$3)*'PSA&amp;CPR（function) '!O5</f>
        <v>415.31225504832713</v>
      </c>
      <c r="G5" s="19">
        <f>(B5-E5)*'PSA&amp;CPR（function) '!G6</f>
        <v>168.18674739825528</v>
      </c>
      <c r="H5" s="19">
        <f>Remaining_balance($B$1,$D$1,A5,$B$3)*'PSA&amp;CPR（function) '!O6</f>
        <v>99408.244856713587</v>
      </c>
    </row>
    <row r="6" spans="1:8">
      <c r="A6">
        <f>'PSA&amp;CPR'!A6</f>
        <v>4</v>
      </c>
      <c r="B6" s="19">
        <f t="shared" si="0"/>
        <v>99408.244856713587</v>
      </c>
      <c r="C6" s="19">
        <f t="shared" si="1"/>
        <v>414.20102023630659</v>
      </c>
      <c r="D6" s="19">
        <f>Monthly_payment($B$1,$D$1,$B$3)*'PSA&amp;CPR（function) '!O6</f>
        <v>535.58359946849816</v>
      </c>
      <c r="E6" s="19">
        <f>Principle_portion_of_payment($B$1,$D$1,A6,$B$3)*'PSA&amp;CPR（function) '!O6</f>
        <v>121.3825792321916</v>
      </c>
      <c r="F6" s="19">
        <f>Interest_portion_of_payment($B$1,$D$1,A6,$B$3)*'PSA&amp;CPR（function) '!O6</f>
        <v>414.20102023630659</v>
      </c>
      <c r="G6" s="19">
        <f>(B6-E6)*'PSA&amp;CPR（function) '!G7</f>
        <v>463.45504869504794</v>
      </c>
      <c r="H6" s="19">
        <f>Remaining_balance($B$1,$D$1,A6,$B$3)*'PSA&amp;CPR（function) '!O7</f>
        <v>98884.503010936358</v>
      </c>
    </row>
    <row r="7" spans="1:8">
      <c r="A7">
        <f>'PSA&amp;CPR'!A7</f>
        <v>5</v>
      </c>
      <c r="B7" s="19">
        <f t="shared" si="0"/>
        <v>98884.503010936358</v>
      </c>
      <c r="C7" s="19">
        <f t="shared" si="1"/>
        <v>412.01876254556817</v>
      </c>
      <c r="D7" s="19">
        <f>Monthly_payment($B$1,$D$1,$B$3)*'PSA&amp;CPR（function) '!O7</f>
        <v>533.41315093872754</v>
      </c>
      <c r="E7" s="19">
        <f>Principle_portion_of_payment($B$1,$D$1,A7,$B$3)*'PSA&amp;CPR（function) '!O7</f>
        <v>121.39438839315943</v>
      </c>
      <c r="F7" s="19">
        <f>Interest_portion_of_payment($B$1,$D$1,A7,$B$3)*'PSA&amp;CPR（function) '!O7</f>
        <v>412.01876254556817</v>
      </c>
      <c r="G7" s="19">
        <f>(B7-E7)*'PSA&amp;CPR（function) '!G8</f>
        <v>1313.4109082625207</v>
      </c>
      <c r="H7" s="19">
        <f>Remaining_balance($B$1,$D$1,A7,$B$3)*'PSA&amp;CPR（function) '!O8</f>
        <v>97614.608239124864</v>
      </c>
    </row>
    <row r="8" spans="1:8">
      <c r="A8">
        <f>'PSA&amp;CPR'!A8</f>
        <v>6</v>
      </c>
      <c r="B8" s="19">
        <f t="shared" si="0"/>
        <v>97614.608239124864</v>
      </c>
      <c r="C8" s="19">
        <f t="shared" si="1"/>
        <v>406.72753432968693</v>
      </c>
      <c r="D8" s="19">
        <f>Monthly_payment($B$1,$D$1,$B$3)*'PSA&amp;CPR（function) '!O8</f>
        <v>527.21017477771113</v>
      </c>
      <c r="E8" s="19">
        <f>Principle_portion_of_payment($B$1,$D$1,A8,$B$3)*'PSA&amp;CPR（function) '!O8</f>
        <v>120.48264044802426</v>
      </c>
      <c r="F8" s="19">
        <f>Interest_portion_of_payment($B$1,$D$1,A8,$B$3)*'PSA&amp;CPR（function) '!O8</f>
        <v>406.72753432968688</v>
      </c>
      <c r="G8" s="19">
        <f>(B8-E8)*'PSA&amp;CPR（function) '!G9</f>
        <v>4107.7244464074101</v>
      </c>
      <c r="H8" s="19">
        <f>Remaining_balance($B$1,$D$1,A8,$B$3)*'PSA&amp;CPR（function) '!O9</f>
        <v>93824.35811314694</v>
      </c>
    </row>
    <row r="9" spans="1:8">
      <c r="A9">
        <f>'PSA&amp;CPR'!A9</f>
        <v>7</v>
      </c>
      <c r="B9" s="19">
        <f t="shared" si="0"/>
        <v>93824.35811314694</v>
      </c>
      <c r="C9" s="19">
        <f t="shared" si="1"/>
        <v>390.93482547144561</v>
      </c>
      <c r="D9" s="19">
        <f>Monthly_payment($B$1,$D$1,$B$3)*'PSA&amp;CPR（function) '!O9</f>
        <v>507.36550469570125</v>
      </c>
      <c r="E9" s="19">
        <f>Principle_portion_of_payment($B$1,$D$1,A9,$B$3)*'PSA&amp;CPR（function) '!O9</f>
        <v>116.4306792242557</v>
      </c>
      <c r="F9" s="19">
        <f>Interest_portion_of_payment($B$1,$D$1,A9,$B$3)*'PSA&amp;CPR（function) '!O9</f>
        <v>390.93482547144561</v>
      </c>
      <c r="G9" s="19">
        <f>(B9-E9)*'PSA&amp;CPR（function) '!G10</f>
        <v>93707.927433922683</v>
      </c>
      <c r="H9" s="19">
        <f>Remaining_balance($B$1,$D$1,A9,$B$3)*'PSA&amp;CPR（function) '!O10</f>
        <v>0</v>
      </c>
    </row>
    <row r="10" spans="1:8">
      <c r="A10">
        <f>'PSA&amp;CPR'!A10</f>
        <v>8</v>
      </c>
      <c r="B10" s="19">
        <f t="shared" si="0"/>
        <v>0</v>
      </c>
      <c r="C10" s="19">
        <f t="shared" si="1"/>
        <v>0</v>
      </c>
      <c r="D10" s="19">
        <f>Monthly_payment($B$1,$D$1,$B$3)*'PSA&amp;CPR（function) '!O10</f>
        <v>0</v>
      </c>
      <c r="E10" s="19">
        <f>Principle_portion_of_payment($B$1,$D$1,A10,$B$3)*'PSA&amp;CPR（function) '!O10</f>
        <v>0</v>
      </c>
      <c r="F10" s="19">
        <f>Interest_portion_of_payment($B$1,$D$1,A10,$B$3)*'PSA&amp;CPR（function) '!O10</f>
        <v>0</v>
      </c>
      <c r="G10" s="19">
        <f>(B10-E10)*'PSA&amp;CPR（function) '!G11</f>
        <v>0</v>
      </c>
      <c r="H10" s="19">
        <f>Remaining_balance($B$1,$D$1,A10,$B$3)*'PSA&amp;CPR（function) '!O11</f>
        <v>0</v>
      </c>
    </row>
    <row r="11" spans="1:8">
      <c r="A11">
        <f>'PSA&amp;CPR'!A11</f>
        <v>9</v>
      </c>
      <c r="B11" s="19">
        <f t="shared" si="0"/>
        <v>0</v>
      </c>
      <c r="C11" s="19">
        <f t="shared" si="1"/>
        <v>0</v>
      </c>
      <c r="D11" s="19">
        <f>Monthly_payment($B$1,$D$1,$B$3)*'PSA&amp;CPR（function) '!O11</f>
        <v>0</v>
      </c>
      <c r="E11" s="19">
        <f>Principle_portion_of_payment($B$1,$D$1,A11,$B$3)*'PSA&amp;CPR（function) '!O11</f>
        <v>0</v>
      </c>
      <c r="F11" s="19">
        <f>Interest_portion_of_payment($B$1,$D$1,A11,$B$3)*'PSA&amp;CPR（function) '!O11</f>
        <v>0</v>
      </c>
      <c r="G11" s="19">
        <f>(B11-E11)*'PSA&amp;CPR（function) '!G12</f>
        <v>0</v>
      </c>
      <c r="H11" s="19">
        <f>Remaining_balance($B$1,$D$1,A11,$B$3)*'PSA&amp;CPR（function) '!O12</f>
        <v>0</v>
      </c>
    </row>
    <row r="12" spans="1:8">
      <c r="A12">
        <f>'PSA&amp;CPR'!A12</f>
        <v>10</v>
      </c>
      <c r="B12" s="19">
        <f t="shared" si="0"/>
        <v>0</v>
      </c>
      <c r="C12" s="19">
        <f t="shared" si="1"/>
        <v>0</v>
      </c>
      <c r="D12" s="19">
        <f>Monthly_payment($B$1,$D$1,$B$3)*'PSA&amp;CPR（function) '!O12</f>
        <v>0</v>
      </c>
      <c r="E12" s="19">
        <f>Principle_portion_of_payment($B$1,$D$1,A12,$B$3)*'PSA&amp;CPR（function) '!O12</f>
        <v>0</v>
      </c>
      <c r="F12" s="19">
        <f>Interest_portion_of_payment($B$1,$D$1,A12,$B$3)*'PSA&amp;CPR（function) '!O12</f>
        <v>0</v>
      </c>
      <c r="G12" s="19">
        <f>(B12-E12)*'PSA&amp;CPR（function) '!G13</f>
        <v>0</v>
      </c>
      <c r="H12" s="19">
        <f>Remaining_balance($B$1,$D$1,A12,$B$3)*'PSA&amp;CPR（function) '!O13</f>
        <v>0</v>
      </c>
    </row>
    <row r="13" spans="1:8">
      <c r="A13">
        <f>'PSA&amp;CPR'!A13</f>
        <v>11</v>
      </c>
      <c r="B13" s="19">
        <f t="shared" si="0"/>
        <v>0</v>
      </c>
      <c r="C13" s="19">
        <f t="shared" si="1"/>
        <v>0</v>
      </c>
      <c r="D13" s="19">
        <f>Monthly_payment($B$1,$D$1,$B$3)*'PSA&amp;CPR（function) '!O13</f>
        <v>0</v>
      </c>
      <c r="E13" s="19">
        <f>Principle_portion_of_payment($B$1,$D$1,A13,$B$3)*'PSA&amp;CPR（function) '!O13</f>
        <v>0</v>
      </c>
      <c r="F13" s="19">
        <f>Interest_portion_of_payment($B$1,$D$1,A13,$B$3)*'PSA&amp;CPR（function) '!O13</f>
        <v>0</v>
      </c>
      <c r="G13" s="19">
        <f>(B13-E13)*'PSA&amp;CPR（function) '!G14</f>
        <v>0</v>
      </c>
      <c r="H13" s="19">
        <f>Remaining_balance($B$1,$D$1,A13,$B$3)*'PSA&amp;CPR（function) '!O14</f>
        <v>0</v>
      </c>
    </row>
    <row r="14" spans="1:8">
      <c r="A14">
        <f>'PSA&amp;CPR'!A14</f>
        <v>12</v>
      </c>
      <c r="B14" s="19">
        <f t="shared" si="0"/>
        <v>0</v>
      </c>
      <c r="C14" s="19">
        <f t="shared" si="1"/>
        <v>0</v>
      </c>
      <c r="D14" s="19">
        <f>Monthly_payment($B$1,$D$1,$B$3)*'PSA&amp;CPR（function) '!O14</f>
        <v>0</v>
      </c>
      <c r="E14" s="19">
        <f>Principle_portion_of_payment($B$1,$D$1,A14,$B$3)*'PSA&amp;CPR（function) '!O14</f>
        <v>0</v>
      </c>
      <c r="F14" s="19">
        <f>Interest_portion_of_payment($B$1,$D$1,A14,$B$3)*'PSA&amp;CPR（function) '!O14</f>
        <v>0</v>
      </c>
      <c r="G14" s="19">
        <f>(B14-E14)*'PSA&amp;CPR（function) '!G15</f>
        <v>0</v>
      </c>
      <c r="H14" s="19">
        <f>Remaining_balance($B$1,$D$1,A14,$B$3)*'PSA&amp;CPR（function) '!O15</f>
        <v>0</v>
      </c>
    </row>
    <row r="15" spans="1:8">
      <c r="A15">
        <f>'PSA&amp;CPR'!A15</f>
        <v>13</v>
      </c>
      <c r="B15" s="19">
        <f t="shared" si="0"/>
        <v>0</v>
      </c>
      <c r="C15" s="19">
        <f t="shared" si="1"/>
        <v>0</v>
      </c>
      <c r="D15" s="19">
        <f>Monthly_payment($B$1,$D$1,$B$3)*'PSA&amp;CPR（function) '!O15</f>
        <v>0</v>
      </c>
      <c r="E15" s="19">
        <f>Principle_portion_of_payment($B$1,$D$1,A15,$B$3)*'PSA&amp;CPR（function) '!O15</f>
        <v>0</v>
      </c>
      <c r="F15" s="19">
        <f>Interest_portion_of_payment($B$1,$D$1,A15,$B$3)*'PSA&amp;CPR（function) '!O15</f>
        <v>0</v>
      </c>
      <c r="G15" s="19">
        <f>(B15-E15)*'PSA&amp;CPR（function) '!G16</f>
        <v>0</v>
      </c>
      <c r="H15" s="19">
        <f>Remaining_balance($B$1,$D$1,A15,$B$3)*'PSA&amp;CPR（function) '!O16</f>
        <v>0</v>
      </c>
    </row>
    <row r="16" spans="1:8">
      <c r="A16">
        <f>'PSA&amp;CPR'!A16</f>
        <v>14</v>
      </c>
      <c r="B16" s="19">
        <f t="shared" si="0"/>
        <v>0</v>
      </c>
      <c r="C16" s="19">
        <f t="shared" si="1"/>
        <v>0</v>
      </c>
      <c r="D16" s="19">
        <f>Monthly_payment($B$1,$D$1,$B$3)*'PSA&amp;CPR（function) '!O16</f>
        <v>0</v>
      </c>
      <c r="E16" s="19">
        <f>Principle_portion_of_payment($B$1,$D$1,A16,$B$3)*'PSA&amp;CPR（function) '!O16</f>
        <v>0</v>
      </c>
      <c r="F16" s="19">
        <f>Interest_portion_of_payment($B$1,$D$1,A16,$B$3)*'PSA&amp;CPR（function) '!O16</f>
        <v>0</v>
      </c>
      <c r="G16" s="19">
        <f>(B16-E16)*'PSA&amp;CPR（function) '!G17</f>
        <v>0</v>
      </c>
      <c r="H16" s="19">
        <f>Remaining_balance($B$1,$D$1,A16,$B$3)*'PSA&amp;CPR（function) '!O17</f>
        <v>0</v>
      </c>
    </row>
    <row r="17" spans="1:8">
      <c r="A17">
        <f>'PSA&amp;CPR'!A17</f>
        <v>15</v>
      </c>
      <c r="B17" s="19">
        <f t="shared" si="0"/>
        <v>0</v>
      </c>
      <c r="C17" s="19">
        <f t="shared" si="1"/>
        <v>0</v>
      </c>
      <c r="D17" s="19">
        <f>Monthly_payment($B$1,$D$1,$B$3)*'PSA&amp;CPR（function) '!O17</f>
        <v>0</v>
      </c>
      <c r="E17" s="19">
        <f>Principle_portion_of_payment($B$1,$D$1,A17,$B$3)*'PSA&amp;CPR（function) '!O17</f>
        <v>0</v>
      </c>
      <c r="F17" s="19">
        <f>Interest_portion_of_payment($B$1,$D$1,A17,$B$3)*'PSA&amp;CPR（function) '!O17</f>
        <v>0</v>
      </c>
      <c r="G17" s="19">
        <f>(B17-E17)*'PSA&amp;CPR（function) '!G18</f>
        <v>0</v>
      </c>
      <c r="H17" s="19">
        <f>Remaining_balance($B$1,$D$1,A17,$B$3)*'PSA&amp;CPR（function) '!O18</f>
        <v>0</v>
      </c>
    </row>
    <row r="18" spans="1:8">
      <c r="A18">
        <f>'PSA&amp;CPR'!A18</f>
        <v>16</v>
      </c>
      <c r="B18" s="19">
        <f t="shared" si="0"/>
        <v>0</v>
      </c>
      <c r="C18" s="19">
        <f t="shared" si="1"/>
        <v>0</v>
      </c>
      <c r="D18" s="19">
        <f>Monthly_payment($B$1,$D$1,$B$3)*'PSA&amp;CPR（function) '!O18</f>
        <v>0</v>
      </c>
      <c r="E18" s="19">
        <f>Principle_portion_of_payment($B$1,$D$1,A18,$B$3)*'PSA&amp;CPR（function) '!O18</f>
        <v>0</v>
      </c>
      <c r="F18" s="19">
        <f>Interest_portion_of_payment($B$1,$D$1,A18,$B$3)*'PSA&amp;CPR（function) '!O18</f>
        <v>0</v>
      </c>
      <c r="G18" s="19">
        <f>(B18-E18)*'PSA&amp;CPR（function) '!G19</f>
        <v>0</v>
      </c>
      <c r="H18" s="19">
        <f>Remaining_balance($B$1,$D$1,A18,$B$3)*'PSA&amp;CPR（function) '!O19</f>
        <v>0</v>
      </c>
    </row>
    <row r="19" spans="1:8">
      <c r="A19">
        <f>'PSA&amp;CPR'!A19</f>
        <v>17</v>
      </c>
      <c r="B19" s="19">
        <f t="shared" si="0"/>
        <v>0</v>
      </c>
      <c r="C19" s="19">
        <f t="shared" si="1"/>
        <v>0</v>
      </c>
      <c r="D19" s="19">
        <f>Monthly_payment($B$1,$D$1,$B$3)*'PSA&amp;CPR（function) '!O19</f>
        <v>0</v>
      </c>
      <c r="E19" s="19">
        <f>Principle_portion_of_payment($B$1,$D$1,A19,$B$3)*'PSA&amp;CPR（function) '!O19</f>
        <v>0</v>
      </c>
      <c r="F19" s="19">
        <f>Interest_portion_of_payment($B$1,$D$1,A19,$B$3)*'PSA&amp;CPR（function) '!O19</f>
        <v>0</v>
      </c>
      <c r="G19" s="19">
        <f>(B19-E19)*'PSA&amp;CPR（function) '!G20</f>
        <v>0</v>
      </c>
      <c r="H19" s="19">
        <f>Remaining_balance($B$1,$D$1,A19,$B$3)*'PSA&amp;CPR（function) '!O20</f>
        <v>0</v>
      </c>
    </row>
    <row r="20" spans="1:8">
      <c r="A20">
        <f>'PSA&amp;CPR'!A20</f>
        <v>18</v>
      </c>
      <c r="B20" s="19">
        <f t="shared" si="0"/>
        <v>0</v>
      </c>
      <c r="C20" s="19">
        <f t="shared" si="1"/>
        <v>0</v>
      </c>
      <c r="D20" s="19">
        <f>Monthly_payment($B$1,$D$1,$B$3)*'PSA&amp;CPR（function) '!O20</f>
        <v>0</v>
      </c>
      <c r="E20" s="19">
        <f>Principle_portion_of_payment($B$1,$D$1,A20,$B$3)*'PSA&amp;CPR（function) '!O20</f>
        <v>0</v>
      </c>
      <c r="F20" s="19">
        <f>Interest_portion_of_payment($B$1,$D$1,A20,$B$3)*'PSA&amp;CPR（function) '!O20</f>
        <v>0</v>
      </c>
      <c r="G20" s="19">
        <f>(B20-E20)*'PSA&amp;CPR（function) '!G21</f>
        <v>0</v>
      </c>
      <c r="H20" s="19">
        <f>Remaining_balance($B$1,$D$1,A20,$B$3)*'PSA&amp;CPR（function) '!O21</f>
        <v>0</v>
      </c>
    </row>
    <row r="21" spans="1:8">
      <c r="A21">
        <f>'PSA&amp;CPR'!A21</f>
        <v>19</v>
      </c>
      <c r="B21" s="19">
        <f t="shared" si="0"/>
        <v>0</v>
      </c>
      <c r="C21" s="19">
        <f t="shared" si="1"/>
        <v>0</v>
      </c>
      <c r="D21" s="19">
        <f>Monthly_payment($B$1,$D$1,$B$3)*'PSA&amp;CPR（function) '!O21</f>
        <v>0</v>
      </c>
      <c r="E21" s="19">
        <f>Principle_portion_of_payment($B$1,$D$1,A21,$B$3)*'PSA&amp;CPR（function) '!O21</f>
        <v>0</v>
      </c>
      <c r="F21" s="19">
        <f>Interest_portion_of_payment($B$1,$D$1,A21,$B$3)*'PSA&amp;CPR（function) '!O21</f>
        <v>0</v>
      </c>
      <c r="G21" s="19">
        <f>(B21-E21)*'PSA&amp;CPR（function) '!G22</f>
        <v>0</v>
      </c>
      <c r="H21" s="19">
        <f>Remaining_balance($B$1,$D$1,A21,$B$3)*'PSA&amp;CPR（function) '!O22</f>
        <v>0</v>
      </c>
    </row>
    <row r="22" spans="1:8">
      <c r="A22">
        <f>'PSA&amp;CPR'!A22</f>
        <v>20</v>
      </c>
      <c r="B22" s="19">
        <f t="shared" si="0"/>
        <v>0</v>
      </c>
      <c r="C22" s="19">
        <f t="shared" si="1"/>
        <v>0</v>
      </c>
      <c r="D22" s="19">
        <f>Monthly_payment($B$1,$D$1,$B$3)*'PSA&amp;CPR（function) '!O22</f>
        <v>0</v>
      </c>
      <c r="E22" s="19">
        <f>Principle_portion_of_payment($B$1,$D$1,A22,$B$3)*'PSA&amp;CPR（function) '!O22</f>
        <v>0</v>
      </c>
      <c r="F22" s="19">
        <f>Interest_portion_of_payment($B$1,$D$1,A22,$B$3)*'PSA&amp;CPR（function) '!O22</f>
        <v>0</v>
      </c>
      <c r="G22" s="19">
        <f>(B22-E22)*'PSA&amp;CPR（function) '!G23</f>
        <v>0</v>
      </c>
      <c r="H22" s="19">
        <f>Remaining_balance($B$1,$D$1,A22,$B$3)*'PSA&amp;CPR（function) '!O23</f>
        <v>0</v>
      </c>
    </row>
    <row r="23" spans="1:8">
      <c r="A23">
        <f>'PSA&amp;CPR'!A23</f>
        <v>21</v>
      </c>
      <c r="B23" s="19">
        <f t="shared" si="0"/>
        <v>0</v>
      </c>
      <c r="C23" s="19">
        <f t="shared" si="1"/>
        <v>0</v>
      </c>
      <c r="D23" s="19">
        <f>Monthly_payment($B$1,$D$1,$B$3)*'PSA&amp;CPR（function) '!O23</f>
        <v>0</v>
      </c>
      <c r="E23" s="19">
        <f>Principle_portion_of_payment($B$1,$D$1,A23,$B$3)*'PSA&amp;CPR（function) '!O23</f>
        <v>0</v>
      </c>
      <c r="F23" s="19">
        <f>Interest_portion_of_payment($B$1,$D$1,A23,$B$3)*'PSA&amp;CPR（function) '!O23</f>
        <v>0</v>
      </c>
      <c r="G23" s="19">
        <f>(B23-E23)*'PSA&amp;CPR（function) '!G24</f>
        <v>0</v>
      </c>
      <c r="H23" s="19">
        <f>Remaining_balance($B$1,$D$1,A23,$B$3)*'PSA&amp;CPR（function) '!O24</f>
        <v>0</v>
      </c>
    </row>
    <row r="24" spans="1:8">
      <c r="A24">
        <f>'PSA&amp;CPR'!A24</f>
        <v>22</v>
      </c>
      <c r="B24" s="19">
        <f t="shared" si="0"/>
        <v>0</v>
      </c>
      <c r="C24" s="19">
        <f t="shared" si="1"/>
        <v>0</v>
      </c>
      <c r="D24" s="19">
        <f>Monthly_payment($B$1,$D$1,$B$3)*'PSA&amp;CPR（function) '!O24</f>
        <v>0</v>
      </c>
      <c r="E24" s="19">
        <f>Principle_portion_of_payment($B$1,$D$1,A24,$B$3)*'PSA&amp;CPR（function) '!O24</f>
        <v>0</v>
      </c>
      <c r="F24" s="19">
        <f>Interest_portion_of_payment($B$1,$D$1,A24,$B$3)*'PSA&amp;CPR（function) '!O24</f>
        <v>0</v>
      </c>
      <c r="G24" s="19">
        <f>(B24-E24)*'PSA&amp;CPR（function) '!G25</f>
        <v>0</v>
      </c>
      <c r="H24" s="19">
        <f>Remaining_balance($B$1,$D$1,A24,$B$3)*'PSA&amp;CPR（function) '!O25</f>
        <v>0</v>
      </c>
    </row>
    <row r="25" spans="1:8">
      <c r="A25">
        <f>'PSA&amp;CPR'!A25</f>
        <v>23</v>
      </c>
      <c r="B25" s="19">
        <f t="shared" si="0"/>
        <v>0</v>
      </c>
      <c r="C25" s="19">
        <f t="shared" si="1"/>
        <v>0</v>
      </c>
      <c r="D25" s="19">
        <f>Monthly_payment($B$1,$D$1,$B$3)*'PSA&amp;CPR（function) '!O25</f>
        <v>0</v>
      </c>
      <c r="E25" s="19">
        <f>Principle_portion_of_payment($B$1,$D$1,A25,$B$3)*'PSA&amp;CPR（function) '!O25</f>
        <v>0</v>
      </c>
      <c r="F25" s="19">
        <f>Interest_portion_of_payment($B$1,$D$1,A25,$B$3)*'PSA&amp;CPR（function) '!O25</f>
        <v>0</v>
      </c>
      <c r="G25" s="19">
        <f>(B25-E25)*'PSA&amp;CPR（function) '!G26</f>
        <v>0</v>
      </c>
      <c r="H25" s="19">
        <f>Remaining_balance($B$1,$D$1,A25,$B$3)*'PSA&amp;CPR（function) '!O26</f>
        <v>0</v>
      </c>
    </row>
    <row r="26" spans="1:8">
      <c r="A26">
        <f>'PSA&amp;CPR'!A26</f>
        <v>24</v>
      </c>
      <c r="B26" s="19">
        <f t="shared" si="0"/>
        <v>0</v>
      </c>
      <c r="C26" s="19">
        <f t="shared" si="1"/>
        <v>0</v>
      </c>
      <c r="D26" s="19">
        <f>Monthly_payment($B$1,$D$1,$B$3)*'PSA&amp;CPR（function) '!O26</f>
        <v>0</v>
      </c>
      <c r="E26" s="19">
        <f>Principle_portion_of_payment($B$1,$D$1,A26,$B$3)*'PSA&amp;CPR（function) '!O26</f>
        <v>0</v>
      </c>
      <c r="F26" s="19">
        <f>Interest_portion_of_payment($B$1,$D$1,A26,$B$3)*'PSA&amp;CPR（function) '!O26</f>
        <v>0</v>
      </c>
      <c r="G26" s="19">
        <f>(B26-E26)*'PSA&amp;CPR（function) '!G27</f>
        <v>0</v>
      </c>
      <c r="H26" s="19">
        <f>Remaining_balance($B$1,$D$1,A26,$B$3)*'PSA&amp;CPR（function) '!O27</f>
        <v>0</v>
      </c>
    </row>
    <row r="27" spans="1:8">
      <c r="A27">
        <f>'PSA&amp;CPR'!A27</f>
        <v>25</v>
      </c>
      <c r="B27" s="19">
        <f t="shared" si="0"/>
        <v>0</v>
      </c>
      <c r="C27" s="19">
        <f t="shared" si="1"/>
        <v>0</v>
      </c>
      <c r="D27" s="19">
        <f>Monthly_payment($B$1,$D$1,$B$3)*'PSA&amp;CPR（function) '!O27</f>
        <v>0</v>
      </c>
      <c r="E27" s="19">
        <f>Principle_portion_of_payment($B$1,$D$1,A27,$B$3)*'PSA&amp;CPR（function) '!O27</f>
        <v>0</v>
      </c>
      <c r="F27" s="19">
        <f>Interest_portion_of_payment($B$1,$D$1,A27,$B$3)*'PSA&amp;CPR（function) '!O27</f>
        <v>0</v>
      </c>
      <c r="G27" s="19">
        <f>(B27-E27)*'PSA&amp;CPR（function) '!G28</f>
        <v>0</v>
      </c>
      <c r="H27" s="19">
        <f>Remaining_balance($B$1,$D$1,A27,$B$3)*'PSA&amp;CPR（function) '!O28</f>
        <v>0</v>
      </c>
    </row>
    <row r="28" spans="1:8">
      <c r="A28">
        <f>'PSA&amp;CPR'!A28</f>
        <v>26</v>
      </c>
      <c r="B28" s="19">
        <f t="shared" si="0"/>
        <v>0</v>
      </c>
      <c r="C28" s="19">
        <f t="shared" si="1"/>
        <v>0</v>
      </c>
      <c r="D28" s="19">
        <f>Monthly_payment($B$1,$D$1,$B$3)*'PSA&amp;CPR（function) '!O28</f>
        <v>0</v>
      </c>
      <c r="E28" s="19">
        <f>Principle_portion_of_payment($B$1,$D$1,A28,$B$3)*'PSA&amp;CPR（function) '!O28</f>
        <v>0</v>
      </c>
      <c r="F28" s="19">
        <f>Interest_portion_of_payment($B$1,$D$1,A28,$B$3)*'PSA&amp;CPR（function) '!O28</f>
        <v>0</v>
      </c>
      <c r="G28" s="19">
        <f>(B28-E28)*'PSA&amp;CPR（function) '!G29</f>
        <v>0</v>
      </c>
      <c r="H28" s="19">
        <f>Remaining_balance($B$1,$D$1,A28,$B$3)*'PSA&amp;CPR（function) '!O29</f>
        <v>0</v>
      </c>
    </row>
    <row r="29" spans="1:8">
      <c r="A29">
        <f>'PSA&amp;CPR'!A29</f>
        <v>27</v>
      </c>
      <c r="B29" s="19">
        <f t="shared" si="0"/>
        <v>0</v>
      </c>
      <c r="C29" s="19">
        <f t="shared" si="1"/>
        <v>0</v>
      </c>
      <c r="D29" s="19">
        <f>Monthly_payment($B$1,$D$1,$B$3)*'PSA&amp;CPR（function) '!O29</f>
        <v>0</v>
      </c>
      <c r="E29" s="19">
        <f>Principle_portion_of_payment($B$1,$D$1,A29,$B$3)*'PSA&amp;CPR（function) '!O29</f>
        <v>0</v>
      </c>
      <c r="F29" s="19">
        <f>Interest_portion_of_payment($B$1,$D$1,A29,$B$3)*'PSA&amp;CPR（function) '!O29</f>
        <v>0</v>
      </c>
      <c r="G29" s="19">
        <f>(B29-E29)*'PSA&amp;CPR（function) '!G30</f>
        <v>0</v>
      </c>
      <c r="H29" s="19">
        <f>Remaining_balance($B$1,$D$1,A29,$B$3)*'PSA&amp;CPR（function) '!O30</f>
        <v>0</v>
      </c>
    </row>
    <row r="30" spans="1:8">
      <c r="A30">
        <f>'PSA&amp;CPR'!A30</f>
        <v>28</v>
      </c>
      <c r="B30" s="19">
        <f t="shared" si="0"/>
        <v>0</v>
      </c>
      <c r="C30" s="19">
        <f t="shared" si="1"/>
        <v>0</v>
      </c>
      <c r="D30" s="19">
        <f>Monthly_payment($B$1,$D$1,$B$3)*'PSA&amp;CPR（function) '!O30</f>
        <v>0</v>
      </c>
      <c r="E30" s="19">
        <f>Principle_portion_of_payment($B$1,$D$1,A30,$B$3)*'PSA&amp;CPR（function) '!O30</f>
        <v>0</v>
      </c>
      <c r="F30" s="19">
        <f>Interest_portion_of_payment($B$1,$D$1,A30,$B$3)*'PSA&amp;CPR（function) '!O30</f>
        <v>0</v>
      </c>
      <c r="G30" s="19">
        <f>(B30-E30)*'PSA&amp;CPR（function) '!G31</f>
        <v>0</v>
      </c>
      <c r="H30" s="19">
        <f>Remaining_balance($B$1,$D$1,A30,$B$3)*'PSA&amp;CPR（function) '!O31</f>
        <v>0</v>
      </c>
    </row>
    <row r="31" spans="1:8">
      <c r="A31">
        <f>'PSA&amp;CPR'!A31</f>
        <v>29</v>
      </c>
      <c r="B31" s="19">
        <f t="shared" si="0"/>
        <v>0</v>
      </c>
      <c r="C31" s="19">
        <f t="shared" si="1"/>
        <v>0</v>
      </c>
      <c r="D31" s="19">
        <f>Monthly_payment($B$1,$D$1,$B$3)*'PSA&amp;CPR（function) '!O31</f>
        <v>0</v>
      </c>
      <c r="E31" s="19">
        <f>Principle_portion_of_payment($B$1,$D$1,A31,$B$3)*'PSA&amp;CPR（function) '!O31</f>
        <v>0</v>
      </c>
      <c r="F31" s="19">
        <f>Interest_portion_of_payment($B$1,$D$1,A31,$B$3)*'PSA&amp;CPR（function) '!O31</f>
        <v>0</v>
      </c>
      <c r="G31" s="19">
        <f>(B31-E31)*'PSA&amp;CPR（function) '!G32</f>
        <v>0</v>
      </c>
      <c r="H31" s="19">
        <f>Remaining_balance($B$1,$D$1,A31,$B$3)*'PSA&amp;CPR（function) '!O32</f>
        <v>0</v>
      </c>
    </row>
    <row r="32" spans="1:8">
      <c r="A32">
        <f>'PSA&amp;CPR'!A32</f>
        <v>30</v>
      </c>
      <c r="B32" s="19">
        <f t="shared" si="0"/>
        <v>0</v>
      </c>
      <c r="C32" s="19">
        <f t="shared" si="1"/>
        <v>0</v>
      </c>
      <c r="D32" s="19">
        <f>Monthly_payment($B$1,$D$1,$B$3)*'PSA&amp;CPR（function) '!O32</f>
        <v>0</v>
      </c>
      <c r="E32" s="19">
        <f>Principle_portion_of_payment($B$1,$D$1,A32,$B$3)*'PSA&amp;CPR（function) '!O32</f>
        <v>0</v>
      </c>
      <c r="F32" s="19">
        <f>Interest_portion_of_payment($B$1,$D$1,A32,$B$3)*'PSA&amp;CPR（function) '!O32</f>
        <v>0</v>
      </c>
      <c r="G32" s="19">
        <f>(B32-E32)*'PSA&amp;CPR（function) '!G33</f>
        <v>0</v>
      </c>
      <c r="H32" s="19">
        <f>Remaining_balance($B$1,$D$1,A32,$B$3)*'PSA&amp;CPR（function) '!O33</f>
        <v>0</v>
      </c>
    </row>
    <row r="33" spans="1:8">
      <c r="A33">
        <f>'PSA&amp;CPR'!A33</f>
        <v>31</v>
      </c>
      <c r="B33" s="19">
        <f t="shared" si="0"/>
        <v>0</v>
      </c>
      <c r="C33" s="19">
        <f t="shared" si="1"/>
        <v>0</v>
      </c>
      <c r="D33" s="19">
        <f>Monthly_payment($B$1,$D$1,$B$3)*'PSA&amp;CPR（function) '!O33</f>
        <v>0</v>
      </c>
      <c r="E33" s="19">
        <f>Principle_portion_of_payment($B$1,$D$1,A33,$B$3)*'PSA&amp;CPR（function) '!O33</f>
        <v>0</v>
      </c>
      <c r="F33" s="19">
        <f>Interest_portion_of_payment($B$1,$D$1,A33,$B$3)*'PSA&amp;CPR（function) '!O33</f>
        <v>0</v>
      </c>
      <c r="G33" s="19">
        <f>(B33-E33)*'PSA&amp;CPR（function) '!G34</f>
        <v>0</v>
      </c>
      <c r="H33" s="19">
        <f>Remaining_balance($B$1,$D$1,A33,$B$3)*'PSA&amp;CPR（function) '!O34</f>
        <v>0</v>
      </c>
    </row>
    <row r="34" spans="1:8">
      <c r="A34">
        <f>'PSA&amp;CPR'!A34</f>
        <v>32</v>
      </c>
      <c r="B34" s="19">
        <f t="shared" si="0"/>
        <v>0</v>
      </c>
      <c r="C34" s="19">
        <f t="shared" si="1"/>
        <v>0</v>
      </c>
      <c r="D34" s="19">
        <f>Monthly_payment($B$1,$D$1,$B$3)*'PSA&amp;CPR（function) '!O34</f>
        <v>0</v>
      </c>
      <c r="E34" s="19">
        <f>Principle_portion_of_payment($B$1,$D$1,A34,$B$3)*'PSA&amp;CPR（function) '!O34</f>
        <v>0</v>
      </c>
      <c r="F34" s="19">
        <f>Interest_portion_of_payment($B$1,$D$1,A34,$B$3)*'PSA&amp;CPR（function) '!O34</f>
        <v>0</v>
      </c>
      <c r="G34" s="19">
        <f>(B34-E34)*'PSA&amp;CPR（function) '!G35</f>
        <v>0</v>
      </c>
      <c r="H34" s="19">
        <f>Remaining_balance($B$1,$D$1,A34,$B$3)*'PSA&amp;CPR（function) '!O35</f>
        <v>0</v>
      </c>
    </row>
    <row r="35" spans="1:8">
      <c r="A35">
        <f>'PSA&amp;CPR'!A35</f>
        <v>33</v>
      </c>
      <c r="B35" s="19">
        <f t="shared" si="0"/>
        <v>0</v>
      </c>
      <c r="C35" s="19">
        <f t="shared" si="1"/>
        <v>0</v>
      </c>
      <c r="D35" s="19">
        <f>Monthly_payment($B$1,$D$1,$B$3)*'PSA&amp;CPR（function) '!O35</f>
        <v>0</v>
      </c>
      <c r="E35" s="19">
        <f>Principle_portion_of_payment($B$1,$D$1,A35,$B$3)*'PSA&amp;CPR（function) '!O35</f>
        <v>0</v>
      </c>
      <c r="F35" s="19">
        <f>Interest_portion_of_payment($B$1,$D$1,A35,$B$3)*'PSA&amp;CPR（function) '!O35</f>
        <v>0</v>
      </c>
      <c r="G35" s="19">
        <f>(B35-E35)*'PSA&amp;CPR（function) '!G36</f>
        <v>0</v>
      </c>
      <c r="H35" s="19">
        <f>Remaining_balance($B$1,$D$1,A35,$B$3)*'PSA&amp;CPR（function) '!O36</f>
        <v>0</v>
      </c>
    </row>
    <row r="36" spans="1:8">
      <c r="A36">
        <f>'PSA&amp;CPR'!A36</f>
        <v>34</v>
      </c>
      <c r="B36" s="19">
        <f t="shared" si="0"/>
        <v>0</v>
      </c>
      <c r="C36" s="19">
        <f t="shared" si="1"/>
        <v>0</v>
      </c>
      <c r="D36" s="19">
        <f>Monthly_payment($B$1,$D$1,$B$3)*'PSA&amp;CPR（function) '!O36</f>
        <v>0</v>
      </c>
      <c r="E36" s="19">
        <f>Principle_portion_of_payment($B$1,$D$1,A36,$B$3)*'PSA&amp;CPR（function) '!O36</f>
        <v>0</v>
      </c>
      <c r="F36" s="19">
        <f>Interest_portion_of_payment($B$1,$D$1,A36,$B$3)*'PSA&amp;CPR（function) '!O36</f>
        <v>0</v>
      </c>
      <c r="G36" s="19">
        <f>(B36-E36)*'PSA&amp;CPR（function) '!G37</f>
        <v>0</v>
      </c>
      <c r="H36" s="19">
        <f>Remaining_balance($B$1,$D$1,A36,$B$3)*'PSA&amp;CPR（function) '!O37</f>
        <v>0</v>
      </c>
    </row>
    <row r="37" spans="1:8">
      <c r="A37">
        <f>'PSA&amp;CPR'!A37</f>
        <v>35</v>
      </c>
      <c r="B37" s="19">
        <f t="shared" si="0"/>
        <v>0</v>
      </c>
      <c r="C37" s="19">
        <f t="shared" si="1"/>
        <v>0</v>
      </c>
      <c r="D37" s="19">
        <f>Monthly_payment($B$1,$D$1,$B$3)*'PSA&amp;CPR（function) '!O37</f>
        <v>0</v>
      </c>
      <c r="E37" s="19">
        <f>Principle_portion_of_payment($B$1,$D$1,A37,$B$3)*'PSA&amp;CPR（function) '!O37</f>
        <v>0</v>
      </c>
      <c r="F37" s="19">
        <f>Interest_portion_of_payment($B$1,$D$1,A37,$B$3)*'PSA&amp;CPR（function) '!O37</f>
        <v>0</v>
      </c>
      <c r="G37" s="19">
        <f>(B37-E37)*'PSA&amp;CPR（function) '!G38</f>
        <v>0</v>
      </c>
      <c r="H37" s="19">
        <f>Remaining_balance($B$1,$D$1,A37,$B$3)*'PSA&amp;CPR（function) '!O38</f>
        <v>0</v>
      </c>
    </row>
    <row r="38" spans="1:8">
      <c r="A38">
        <f>'PSA&amp;CPR'!A38</f>
        <v>36</v>
      </c>
      <c r="B38" s="19">
        <f t="shared" si="0"/>
        <v>0</v>
      </c>
      <c r="C38" s="19">
        <f t="shared" si="1"/>
        <v>0</v>
      </c>
      <c r="D38" s="19">
        <f>Monthly_payment($B$1,$D$1,$B$3)*'PSA&amp;CPR（function) '!O38</f>
        <v>0</v>
      </c>
      <c r="E38" s="19">
        <f>Principle_portion_of_payment($B$1,$D$1,A38,$B$3)*'PSA&amp;CPR（function) '!O38</f>
        <v>0</v>
      </c>
      <c r="F38" s="19">
        <f>Interest_portion_of_payment($B$1,$D$1,A38,$B$3)*'PSA&amp;CPR（function) '!O38</f>
        <v>0</v>
      </c>
      <c r="G38" s="19">
        <f>(B38-E38)*'PSA&amp;CPR（function) '!G39</f>
        <v>0</v>
      </c>
      <c r="H38" s="19">
        <f>Remaining_balance($B$1,$D$1,A38,$B$3)*'PSA&amp;CPR（function) '!O39</f>
        <v>0</v>
      </c>
    </row>
    <row r="39" spans="1:8">
      <c r="A39">
        <f>'PSA&amp;CPR'!A39</f>
        <v>37</v>
      </c>
      <c r="B39" s="19">
        <f t="shared" si="0"/>
        <v>0</v>
      </c>
      <c r="C39" s="19">
        <f t="shared" si="1"/>
        <v>0</v>
      </c>
      <c r="D39" s="19">
        <f>Monthly_payment($B$1,$D$1,$B$3)*'PSA&amp;CPR（function) '!O39</f>
        <v>0</v>
      </c>
      <c r="E39" s="19">
        <f>Principle_portion_of_payment($B$1,$D$1,A39,$B$3)*'PSA&amp;CPR（function) '!O39</f>
        <v>0</v>
      </c>
      <c r="F39" s="19">
        <f>Interest_portion_of_payment($B$1,$D$1,A39,$B$3)*'PSA&amp;CPR（function) '!O39</f>
        <v>0</v>
      </c>
      <c r="G39" s="19">
        <f>(B39-E39)*'PSA&amp;CPR（function) '!G40</f>
        <v>0</v>
      </c>
      <c r="H39" s="19">
        <f>Remaining_balance($B$1,$D$1,A39,$B$3)*'PSA&amp;CPR（function) '!O40</f>
        <v>0</v>
      </c>
    </row>
    <row r="40" spans="1:8">
      <c r="A40">
        <f>'PSA&amp;CPR'!A40</f>
        <v>38</v>
      </c>
      <c r="B40" s="19">
        <f t="shared" si="0"/>
        <v>0</v>
      </c>
      <c r="C40" s="19">
        <f t="shared" si="1"/>
        <v>0</v>
      </c>
      <c r="D40" s="19">
        <f>Monthly_payment($B$1,$D$1,$B$3)*'PSA&amp;CPR（function) '!O40</f>
        <v>0</v>
      </c>
      <c r="E40" s="19">
        <f>Principle_portion_of_payment($B$1,$D$1,A40,$B$3)*'PSA&amp;CPR（function) '!O40</f>
        <v>0</v>
      </c>
      <c r="F40" s="19">
        <f>Interest_portion_of_payment($B$1,$D$1,A40,$B$3)*'PSA&amp;CPR（function) '!O40</f>
        <v>0</v>
      </c>
      <c r="G40" s="19">
        <f>(B40-E40)*'PSA&amp;CPR（function) '!G41</f>
        <v>0</v>
      </c>
      <c r="H40" s="19">
        <f>Remaining_balance($B$1,$D$1,A40,$B$3)*'PSA&amp;CPR（function) '!O41</f>
        <v>0</v>
      </c>
    </row>
    <row r="41" spans="1:8">
      <c r="A41">
        <f>'PSA&amp;CPR'!A41</f>
        <v>39</v>
      </c>
      <c r="B41" s="19">
        <f t="shared" si="0"/>
        <v>0</v>
      </c>
      <c r="C41" s="19">
        <f t="shared" si="1"/>
        <v>0</v>
      </c>
      <c r="D41" s="19">
        <f>Monthly_payment($B$1,$D$1,$B$3)*'PSA&amp;CPR（function) '!O41</f>
        <v>0</v>
      </c>
      <c r="E41" s="19">
        <f>Principle_portion_of_payment($B$1,$D$1,A41,$B$3)*'PSA&amp;CPR（function) '!O41</f>
        <v>0</v>
      </c>
      <c r="F41" s="19">
        <f>Interest_portion_of_payment($B$1,$D$1,A41,$B$3)*'PSA&amp;CPR（function) '!O41</f>
        <v>0</v>
      </c>
      <c r="G41" s="19">
        <f>(B41-E41)*'PSA&amp;CPR（function) '!G42</f>
        <v>0</v>
      </c>
      <c r="H41" s="19">
        <f>Remaining_balance($B$1,$D$1,A41,$B$3)*'PSA&amp;CPR（function) '!O42</f>
        <v>0</v>
      </c>
    </row>
    <row r="42" spans="1:8">
      <c r="A42">
        <f>'PSA&amp;CPR'!A42</f>
        <v>40</v>
      </c>
      <c r="B42" s="19">
        <f t="shared" si="0"/>
        <v>0</v>
      </c>
      <c r="C42" s="19">
        <f t="shared" si="1"/>
        <v>0</v>
      </c>
      <c r="D42" s="19">
        <f>Monthly_payment($B$1,$D$1,$B$3)*'PSA&amp;CPR（function) '!O42</f>
        <v>0</v>
      </c>
      <c r="E42" s="19">
        <f>Principle_portion_of_payment($B$1,$D$1,A42,$B$3)*'PSA&amp;CPR（function) '!O42</f>
        <v>0</v>
      </c>
      <c r="F42" s="19">
        <f>Interest_portion_of_payment($B$1,$D$1,A42,$B$3)*'PSA&amp;CPR（function) '!O42</f>
        <v>0</v>
      </c>
      <c r="G42" s="19">
        <f>(B42-E42)*'PSA&amp;CPR（function) '!G43</f>
        <v>0</v>
      </c>
      <c r="H42" s="19">
        <f>Remaining_balance($B$1,$D$1,A42,$B$3)*'PSA&amp;CPR（function) '!O43</f>
        <v>0</v>
      </c>
    </row>
    <row r="43" spans="1:8">
      <c r="A43">
        <f>'PSA&amp;CPR'!A43</f>
        <v>41</v>
      </c>
      <c r="B43" s="19">
        <f t="shared" si="0"/>
        <v>0</v>
      </c>
      <c r="C43" s="19">
        <f t="shared" si="1"/>
        <v>0</v>
      </c>
      <c r="D43" s="19">
        <f>Monthly_payment($B$1,$D$1,$B$3)*'PSA&amp;CPR（function) '!O43</f>
        <v>0</v>
      </c>
      <c r="E43" s="19">
        <f>Principle_portion_of_payment($B$1,$D$1,A43,$B$3)*'PSA&amp;CPR（function) '!O43</f>
        <v>0</v>
      </c>
      <c r="F43" s="19">
        <f>Interest_portion_of_payment($B$1,$D$1,A43,$B$3)*'PSA&amp;CPR（function) '!O43</f>
        <v>0</v>
      </c>
      <c r="G43" s="19">
        <f>(B43-E43)*'PSA&amp;CPR（function) '!G44</f>
        <v>0</v>
      </c>
      <c r="H43" s="19">
        <f>Remaining_balance($B$1,$D$1,A43,$B$3)*'PSA&amp;CPR（function) '!O44</f>
        <v>0</v>
      </c>
    </row>
    <row r="44" spans="1:8">
      <c r="A44">
        <f>'PSA&amp;CPR'!A44</f>
        <v>42</v>
      </c>
      <c r="B44" s="19">
        <f t="shared" si="0"/>
        <v>0</v>
      </c>
      <c r="C44" s="19">
        <f t="shared" si="1"/>
        <v>0</v>
      </c>
      <c r="D44" s="19">
        <f>Monthly_payment($B$1,$D$1,$B$3)*'PSA&amp;CPR（function) '!O44</f>
        <v>0</v>
      </c>
      <c r="E44" s="19">
        <f>Principle_portion_of_payment($B$1,$D$1,A44,$B$3)*'PSA&amp;CPR（function) '!O44</f>
        <v>0</v>
      </c>
      <c r="F44" s="19">
        <f>Interest_portion_of_payment($B$1,$D$1,A44,$B$3)*'PSA&amp;CPR（function) '!O44</f>
        <v>0</v>
      </c>
      <c r="G44" s="19">
        <f>(B44-E44)*'PSA&amp;CPR（function) '!G45</f>
        <v>0</v>
      </c>
      <c r="H44" s="19">
        <f>Remaining_balance($B$1,$D$1,A44,$B$3)*'PSA&amp;CPR（function) '!O45</f>
        <v>0</v>
      </c>
    </row>
    <row r="45" spans="1:8">
      <c r="A45">
        <f>'PSA&amp;CPR'!A45</f>
        <v>43</v>
      </c>
      <c r="B45" s="19">
        <f t="shared" si="0"/>
        <v>0</v>
      </c>
      <c r="C45" s="19">
        <f t="shared" si="1"/>
        <v>0</v>
      </c>
      <c r="D45" s="19">
        <f>Monthly_payment($B$1,$D$1,$B$3)*'PSA&amp;CPR（function) '!O45</f>
        <v>0</v>
      </c>
      <c r="E45" s="19">
        <f>Principle_portion_of_payment($B$1,$D$1,A45,$B$3)*'PSA&amp;CPR（function) '!O45</f>
        <v>0</v>
      </c>
      <c r="F45" s="19">
        <f>Interest_portion_of_payment($B$1,$D$1,A45,$B$3)*'PSA&amp;CPR（function) '!O45</f>
        <v>0</v>
      </c>
      <c r="G45" s="19">
        <f>(B45-E45)*'PSA&amp;CPR（function) '!G46</f>
        <v>0</v>
      </c>
      <c r="H45" s="19">
        <f>Remaining_balance($B$1,$D$1,A45,$B$3)*'PSA&amp;CPR（function) '!O46</f>
        <v>0</v>
      </c>
    </row>
    <row r="46" spans="1:8">
      <c r="A46">
        <f>'PSA&amp;CPR'!A46</f>
        <v>44</v>
      </c>
      <c r="B46" s="19">
        <f t="shared" si="0"/>
        <v>0</v>
      </c>
      <c r="C46" s="19">
        <f t="shared" si="1"/>
        <v>0</v>
      </c>
      <c r="D46" s="19">
        <f>Monthly_payment($B$1,$D$1,$B$3)*'PSA&amp;CPR（function) '!O46</f>
        <v>0</v>
      </c>
      <c r="E46" s="19">
        <f>Principle_portion_of_payment($B$1,$D$1,A46,$B$3)*'PSA&amp;CPR（function) '!O46</f>
        <v>0</v>
      </c>
      <c r="F46" s="19">
        <f>Interest_portion_of_payment($B$1,$D$1,A46,$B$3)*'PSA&amp;CPR（function) '!O46</f>
        <v>0</v>
      </c>
      <c r="G46" s="19">
        <f>(B46-E46)*'PSA&amp;CPR（function) '!G47</f>
        <v>0</v>
      </c>
      <c r="H46" s="19">
        <f>Remaining_balance($B$1,$D$1,A46,$B$3)*'PSA&amp;CPR（function) '!O47</f>
        <v>0</v>
      </c>
    </row>
    <row r="47" spans="1:8">
      <c r="A47">
        <f>'PSA&amp;CPR'!A47</f>
        <v>45</v>
      </c>
      <c r="B47" s="19">
        <f t="shared" si="0"/>
        <v>0</v>
      </c>
      <c r="C47" s="19">
        <f t="shared" si="1"/>
        <v>0</v>
      </c>
      <c r="D47" s="19">
        <f>Monthly_payment($B$1,$D$1,$B$3)*'PSA&amp;CPR（function) '!O47</f>
        <v>0</v>
      </c>
      <c r="E47" s="19">
        <f>Principle_portion_of_payment($B$1,$D$1,A47,$B$3)*'PSA&amp;CPR（function) '!O47</f>
        <v>0</v>
      </c>
      <c r="F47" s="19">
        <f>Interest_portion_of_payment($B$1,$D$1,A47,$B$3)*'PSA&amp;CPR（function) '!O47</f>
        <v>0</v>
      </c>
      <c r="G47" s="19">
        <f>(B47-E47)*'PSA&amp;CPR（function) '!G48</f>
        <v>0</v>
      </c>
      <c r="H47" s="19">
        <f>Remaining_balance($B$1,$D$1,A47,$B$3)*'PSA&amp;CPR（function) '!O48</f>
        <v>0</v>
      </c>
    </row>
    <row r="48" spans="1:8">
      <c r="A48">
        <f>'PSA&amp;CPR'!A48</f>
        <v>46</v>
      </c>
      <c r="B48" s="19">
        <f t="shared" si="0"/>
        <v>0</v>
      </c>
      <c r="C48" s="19">
        <f t="shared" si="1"/>
        <v>0</v>
      </c>
      <c r="D48" s="19">
        <f>Monthly_payment($B$1,$D$1,$B$3)*'PSA&amp;CPR（function) '!O48</f>
        <v>0</v>
      </c>
      <c r="E48" s="19">
        <f>Principle_portion_of_payment($B$1,$D$1,A48,$B$3)*'PSA&amp;CPR（function) '!O48</f>
        <v>0</v>
      </c>
      <c r="F48" s="19">
        <f>Interest_portion_of_payment($B$1,$D$1,A48,$B$3)*'PSA&amp;CPR（function) '!O48</f>
        <v>0</v>
      </c>
      <c r="G48" s="19">
        <f>(B48-E48)*'PSA&amp;CPR（function) '!G49</f>
        <v>0</v>
      </c>
      <c r="H48" s="19">
        <f>Remaining_balance($B$1,$D$1,A48,$B$3)*'PSA&amp;CPR（function) '!O49</f>
        <v>0</v>
      </c>
    </row>
    <row r="49" spans="1:8">
      <c r="A49">
        <f>'PSA&amp;CPR'!A49</f>
        <v>47</v>
      </c>
      <c r="B49" s="19">
        <f t="shared" si="0"/>
        <v>0</v>
      </c>
      <c r="C49" s="19">
        <f t="shared" si="1"/>
        <v>0</v>
      </c>
      <c r="D49" s="19">
        <f>Monthly_payment($B$1,$D$1,$B$3)*'PSA&amp;CPR（function) '!O49</f>
        <v>0</v>
      </c>
      <c r="E49" s="19">
        <f>Principle_portion_of_payment($B$1,$D$1,A49,$B$3)*'PSA&amp;CPR（function) '!O49</f>
        <v>0</v>
      </c>
      <c r="F49" s="19">
        <f>Interest_portion_of_payment($B$1,$D$1,A49,$B$3)*'PSA&amp;CPR（function) '!O49</f>
        <v>0</v>
      </c>
      <c r="G49" s="19">
        <f>(B49-E49)*'PSA&amp;CPR（function) '!G50</f>
        <v>0</v>
      </c>
      <c r="H49" s="19">
        <f>Remaining_balance($B$1,$D$1,A49,$B$3)*'PSA&amp;CPR（function) '!O50</f>
        <v>0</v>
      </c>
    </row>
    <row r="50" spans="1:8">
      <c r="A50">
        <f>'PSA&amp;CPR'!A50</f>
        <v>48</v>
      </c>
      <c r="B50" s="19">
        <f t="shared" si="0"/>
        <v>0</v>
      </c>
      <c r="C50" s="19">
        <f t="shared" si="1"/>
        <v>0</v>
      </c>
      <c r="D50" s="19">
        <f>Monthly_payment($B$1,$D$1,$B$3)*'PSA&amp;CPR（function) '!O50</f>
        <v>0</v>
      </c>
      <c r="E50" s="19">
        <f>Principle_portion_of_payment($B$1,$D$1,A50,$B$3)*'PSA&amp;CPR（function) '!O50</f>
        <v>0</v>
      </c>
      <c r="F50" s="19">
        <f>Interest_portion_of_payment($B$1,$D$1,A50,$B$3)*'PSA&amp;CPR（function) '!O50</f>
        <v>0</v>
      </c>
      <c r="G50" s="19">
        <f>(B50-E50)*'PSA&amp;CPR（function) '!G51</f>
        <v>0</v>
      </c>
      <c r="H50" s="19">
        <f>Remaining_balance($B$1,$D$1,A50,$B$3)*'PSA&amp;CPR（function) '!O51</f>
        <v>0</v>
      </c>
    </row>
    <row r="51" spans="1:8">
      <c r="A51">
        <f>'PSA&amp;CPR'!A51</f>
        <v>49</v>
      </c>
      <c r="B51" s="19">
        <f t="shared" si="0"/>
        <v>0</v>
      </c>
      <c r="C51" s="19">
        <f t="shared" si="1"/>
        <v>0</v>
      </c>
      <c r="D51" s="19">
        <f>Monthly_payment($B$1,$D$1,$B$3)*'PSA&amp;CPR（function) '!O51</f>
        <v>0</v>
      </c>
      <c r="E51" s="19">
        <f>Principle_portion_of_payment($B$1,$D$1,A51,$B$3)*'PSA&amp;CPR（function) '!O51</f>
        <v>0</v>
      </c>
      <c r="F51" s="19">
        <f>Interest_portion_of_payment($B$1,$D$1,A51,$B$3)*'PSA&amp;CPR（function) '!O51</f>
        <v>0</v>
      </c>
      <c r="G51" s="19">
        <f>(B51-E51)*'PSA&amp;CPR（function) '!G52</f>
        <v>0</v>
      </c>
      <c r="H51" s="19">
        <f>Remaining_balance($B$1,$D$1,A51,$B$3)*'PSA&amp;CPR（function) '!O52</f>
        <v>0</v>
      </c>
    </row>
    <row r="52" spans="1:8">
      <c r="A52">
        <f>'PSA&amp;CPR'!A52</f>
        <v>50</v>
      </c>
      <c r="B52" s="19">
        <f t="shared" si="0"/>
        <v>0</v>
      </c>
      <c r="C52" s="19">
        <f t="shared" si="1"/>
        <v>0</v>
      </c>
      <c r="D52" s="19">
        <f>Monthly_payment($B$1,$D$1,$B$3)*'PSA&amp;CPR（function) '!O52</f>
        <v>0</v>
      </c>
      <c r="E52" s="19">
        <f>Principle_portion_of_payment($B$1,$D$1,A52,$B$3)*'PSA&amp;CPR（function) '!O52</f>
        <v>0</v>
      </c>
      <c r="F52" s="19">
        <f>Interest_portion_of_payment($B$1,$D$1,A52,$B$3)*'PSA&amp;CPR（function) '!O52</f>
        <v>0</v>
      </c>
      <c r="G52" s="19">
        <f>(B52-E52)*'PSA&amp;CPR（function) '!G53</f>
        <v>0</v>
      </c>
      <c r="H52" s="19">
        <f>Remaining_balance($B$1,$D$1,A52,$B$3)*'PSA&amp;CPR（function) '!O53</f>
        <v>0</v>
      </c>
    </row>
    <row r="53" spans="1:8">
      <c r="A53">
        <f>'PSA&amp;CPR'!A53</f>
        <v>51</v>
      </c>
      <c r="B53" s="19">
        <f t="shared" si="0"/>
        <v>0</v>
      </c>
      <c r="C53" s="19">
        <f t="shared" si="1"/>
        <v>0</v>
      </c>
      <c r="D53" s="19">
        <f>Monthly_payment($B$1,$D$1,$B$3)*'PSA&amp;CPR（function) '!O53</f>
        <v>0</v>
      </c>
      <c r="E53" s="19">
        <f>Principle_portion_of_payment($B$1,$D$1,A53,$B$3)*'PSA&amp;CPR（function) '!O53</f>
        <v>0</v>
      </c>
      <c r="F53" s="19">
        <f>Interest_portion_of_payment($B$1,$D$1,A53,$B$3)*'PSA&amp;CPR（function) '!O53</f>
        <v>0</v>
      </c>
      <c r="G53" s="19">
        <f>(B53-E53)*'PSA&amp;CPR（function) '!G54</f>
        <v>0</v>
      </c>
      <c r="H53" s="19">
        <f>Remaining_balance($B$1,$D$1,A53,$B$3)*'PSA&amp;CPR（function) '!O54</f>
        <v>0</v>
      </c>
    </row>
    <row r="54" spans="1:8">
      <c r="A54">
        <f>'PSA&amp;CPR'!A54</f>
        <v>52</v>
      </c>
      <c r="B54" s="19">
        <f t="shared" si="0"/>
        <v>0</v>
      </c>
      <c r="C54" s="19">
        <f t="shared" si="1"/>
        <v>0</v>
      </c>
      <c r="D54" s="19">
        <f>Monthly_payment($B$1,$D$1,$B$3)*'PSA&amp;CPR（function) '!O54</f>
        <v>0</v>
      </c>
      <c r="E54" s="19">
        <f>Principle_portion_of_payment($B$1,$D$1,A54,$B$3)*'PSA&amp;CPR（function) '!O54</f>
        <v>0</v>
      </c>
      <c r="F54" s="19">
        <f>Interest_portion_of_payment($B$1,$D$1,A54,$B$3)*'PSA&amp;CPR（function) '!O54</f>
        <v>0</v>
      </c>
      <c r="G54" s="19">
        <f>(B54-E54)*'PSA&amp;CPR（function) '!G55</f>
        <v>0</v>
      </c>
      <c r="H54" s="19">
        <f>Remaining_balance($B$1,$D$1,A54,$B$3)*'PSA&amp;CPR（function) '!O55</f>
        <v>0</v>
      </c>
    </row>
    <row r="55" spans="1:8">
      <c r="A55">
        <f>'PSA&amp;CPR'!A55</f>
        <v>53</v>
      </c>
      <c r="B55" s="19">
        <f t="shared" si="0"/>
        <v>0</v>
      </c>
      <c r="C55" s="19">
        <f t="shared" si="1"/>
        <v>0</v>
      </c>
      <c r="D55" s="19">
        <f>Monthly_payment($B$1,$D$1,$B$3)*'PSA&amp;CPR（function) '!O55</f>
        <v>0</v>
      </c>
      <c r="E55" s="19">
        <f>Principle_portion_of_payment($B$1,$D$1,A55,$B$3)*'PSA&amp;CPR（function) '!O55</f>
        <v>0</v>
      </c>
      <c r="F55" s="19">
        <f>Interest_portion_of_payment($B$1,$D$1,A55,$B$3)*'PSA&amp;CPR（function) '!O55</f>
        <v>0</v>
      </c>
      <c r="G55" s="19">
        <f>(B55-E55)*'PSA&amp;CPR（function) '!G56</f>
        <v>0</v>
      </c>
      <c r="H55" s="19">
        <f>Remaining_balance($B$1,$D$1,A55,$B$3)*'PSA&amp;CPR（function) '!O56</f>
        <v>0</v>
      </c>
    </row>
    <row r="56" spans="1:8">
      <c r="A56">
        <f>'PSA&amp;CPR'!A56</f>
        <v>54</v>
      </c>
      <c r="B56" s="19">
        <f t="shared" si="0"/>
        <v>0</v>
      </c>
      <c r="C56" s="19">
        <f t="shared" si="1"/>
        <v>0</v>
      </c>
      <c r="D56" s="19">
        <f>Monthly_payment($B$1,$D$1,$B$3)*'PSA&amp;CPR（function) '!O56</f>
        <v>0</v>
      </c>
      <c r="E56" s="19">
        <f>Principle_portion_of_payment($B$1,$D$1,A56,$B$3)*'PSA&amp;CPR（function) '!O56</f>
        <v>0</v>
      </c>
      <c r="F56" s="19">
        <f>Interest_portion_of_payment($B$1,$D$1,A56,$B$3)*'PSA&amp;CPR（function) '!O56</f>
        <v>0</v>
      </c>
      <c r="G56" s="19">
        <f>(B56-E56)*'PSA&amp;CPR（function) '!G57</f>
        <v>0</v>
      </c>
      <c r="H56" s="19">
        <f>Remaining_balance($B$1,$D$1,A56,$B$3)*'PSA&amp;CPR（function) '!O57</f>
        <v>0</v>
      </c>
    </row>
    <row r="57" spans="1:8">
      <c r="A57">
        <f>'PSA&amp;CPR'!A57</f>
        <v>55</v>
      </c>
      <c r="B57" s="19">
        <f t="shared" si="0"/>
        <v>0</v>
      </c>
      <c r="C57" s="19">
        <f t="shared" si="1"/>
        <v>0</v>
      </c>
      <c r="D57" s="19">
        <f>Monthly_payment($B$1,$D$1,$B$3)*'PSA&amp;CPR（function) '!O57</f>
        <v>0</v>
      </c>
      <c r="E57" s="19">
        <f>Principle_portion_of_payment($B$1,$D$1,A57,$B$3)*'PSA&amp;CPR（function) '!O57</f>
        <v>0</v>
      </c>
      <c r="F57" s="19">
        <f>Interest_portion_of_payment($B$1,$D$1,A57,$B$3)*'PSA&amp;CPR（function) '!O57</f>
        <v>0</v>
      </c>
      <c r="G57" s="19">
        <f>(B57-E57)*'PSA&amp;CPR（function) '!G58</f>
        <v>0</v>
      </c>
      <c r="H57" s="19">
        <f>Remaining_balance($B$1,$D$1,A57,$B$3)*'PSA&amp;CPR（function) '!O58</f>
        <v>0</v>
      </c>
    </row>
    <row r="58" spans="1:8">
      <c r="A58">
        <f>'PSA&amp;CPR'!A58</f>
        <v>56</v>
      </c>
      <c r="B58" s="19">
        <f t="shared" si="0"/>
        <v>0</v>
      </c>
      <c r="C58" s="19">
        <f t="shared" si="1"/>
        <v>0</v>
      </c>
      <c r="D58" s="19">
        <f>Monthly_payment($B$1,$D$1,$B$3)*'PSA&amp;CPR（function) '!O58</f>
        <v>0</v>
      </c>
      <c r="E58" s="19">
        <f>Principle_portion_of_payment($B$1,$D$1,A58,$B$3)*'PSA&amp;CPR（function) '!O58</f>
        <v>0</v>
      </c>
      <c r="F58" s="19">
        <f>Interest_portion_of_payment($B$1,$D$1,A58,$B$3)*'PSA&amp;CPR（function) '!O58</f>
        <v>0</v>
      </c>
      <c r="G58" s="19">
        <f>(B58-E58)*'PSA&amp;CPR（function) '!G59</f>
        <v>0</v>
      </c>
      <c r="H58" s="19">
        <f>Remaining_balance($B$1,$D$1,A58,$B$3)*'PSA&amp;CPR（function) '!O59</f>
        <v>0</v>
      </c>
    </row>
    <row r="59" spans="1:8">
      <c r="A59">
        <f>'PSA&amp;CPR'!A59</f>
        <v>57</v>
      </c>
      <c r="B59" s="19">
        <f t="shared" si="0"/>
        <v>0</v>
      </c>
      <c r="C59" s="19">
        <f t="shared" si="1"/>
        <v>0</v>
      </c>
      <c r="D59" s="19">
        <f>Monthly_payment($B$1,$D$1,$B$3)*'PSA&amp;CPR（function) '!O59</f>
        <v>0</v>
      </c>
      <c r="E59" s="19">
        <f>Principle_portion_of_payment($B$1,$D$1,A59,$B$3)*'PSA&amp;CPR（function) '!O59</f>
        <v>0</v>
      </c>
      <c r="F59" s="19">
        <f>Interest_portion_of_payment($B$1,$D$1,A59,$B$3)*'PSA&amp;CPR（function) '!O59</f>
        <v>0</v>
      </c>
      <c r="G59" s="19">
        <f>(B59-E59)*'PSA&amp;CPR（function) '!G60</f>
        <v>0</v>
      </c>
      <c r="H59" s="19">
        <f>Remaining_balance($B$1,$D$1,A59,$B$3)*'PSA&amp;CPR（function) '!O60</f>
        <v>0</v>
      </c>
    </row>
    <row r="60" spans="1:8">
      <c r="A60">
        <f>'PSA&amp;CPR'!A60</f>
        <v>58</v>
      </c>
      <c r="B60" s="19">
        <f t="shared" si="0"/>
        <v>0</v>
      </c>
      <c r="C60" s="19">
        <f t="shared" si="1"/>
        <v>0</v>
      </c>
      <c r="D60" s="19">
        <f>Monthly_payment($B$1,$D$1,$B$3)*'PSA&amp;CPR（function) '!O60</f>
        <v>0</v>
      </c>
      <c r="E60" s="19">
        <f>Principle_portion_of_payment($B$1,$D$1,A60,$B$3)*'PSA&amp;CPR（function) '!O60</f>
        <v>0</v>
      </c>
      <c r="F60" s="19">
        <f>Interest_portion_of_payment($B$1,$D$1,A60,$B$3)*'PSA&amp;CPR（function) '!O60</f>
        <v>0</v>
      </c>
      <c r="G60" s="19">
        <f>(B60-E60)*'PSA&amp;CPR（function) '!G61</f>
        <v>0</v>
      </c>
      <c r="H60" s="19">
        <f>Remaining_balance($B$1,$D$1,A60,$B$3)*'PSA&amp;CPR（function) '!O61</f>
        <v>0</v>
      </c>
    </row>
    <row r="61" spans="1:8">
      <c r="A61">
        <f>'PSA&amp;CPR'!A61</f>
        <v>59</v>
      </c>
      <c r="B61" s="19">
        <f t="shared" si="0"/>
        <v>0</v>
      </c>
      <c r="C61" s="19">
        <f t="shared" si="1"/>
        <v>0</v>
      </c>
      <c r="D61" s="19">
        <f>Monthly_payment($B$1,$D$1,$B$3)*'PSA&amp;CPR（function) '!O61</f>
        <v>0</v>
      </c>
      <c r="E61" s="19">
        <f>Principle_portion_of_payment($B$1,$D$1,A61,$B$3)*'PSA&amp;CPR（function) '!O61</f>
        <v>0</v>
      </c>
      <c r="F61" s="19">
        <f>Interest_portion_of_payment($B$1,$D$1,A61,$B$3)*'PSA&amp;CPR（function) '!O61</f>
        <v>0</v>
      </c>
      <c r="G61" s="19">
        <f>(B61-E61)*'PSA&amp;CPR（function) '!G62</f>
        <v>0</v>
      </c>
      <c r="H61" s="19">
        <f>Remaining_balance($B$1,$D$1,A61,$B$3)*'PSA&amp;CPR（function) '!O62</f>
        <v>0</v>
      </c>
    </row>
    <row r="62" spans="1:8">
      <c r="A62">
        <f>'PSA&amp;CPR'!A62</f>
        <v>60</v>
      </c>
      <c r="B62" s="19">
        <f t="shared" si="0"/>
        <v>0</v>
      </c>
      <c r="C62" s="19">
        <f t="shared" si="1"/>
        <v>0</v>
      </c>
      <c r="D62" s="19">
        <f>Monthly_payment($B$1,$D$1,$B$3)*'PSA&amp;CPR（function) '!O62</f>
        <v>0</v>
      </c>
      <c r="E62" s="19">
        <f>Principle_portion_of_payment($B$1,$D$1,A62,$B$3)*'PSA&amp;CPR（function) '!O62</f>
        <v>0</v>
      </c>
      <c r="F62" s="19">
        <f>Interest_portion_of_payment($B$1,$D$1,A62,$B$3)*'PSA&amp;CPR（function) '!O62</f>
        <v>0</v>
      </c>
      <c r="G62" s="19">
        <f>(B62-E62)*'PSA&amp;CPR（function) '!G63</f>
        <v>0</v>
      </c>
      <c r="H62" s="19">
        <f>Remaining_balance($B$1,$D$1,A62,$B$3)*'PSA&amp;CPR（function) '!O63</f>
        <v>0</v>
      </c>
    </row>
    <row r="63" spans="1:8">
      <c r="A63">
        <f>'PSA&amp;CPR'!A63</f>
        <v>61</v>
      </c>
      <c r="B63" s="19">
        <f t="shared" si="0"/>
        <v>0</v>
      </c>
      <c r="C63" s="19">
        <f t="shared" si="1"/>
        <v>0</v>
      </c>
      <c r="D63" s="19">
        <f>Monthly_payment($B$1,$D$1,$B$3)*'PSA&amp;CPR（function) '!O63</f>
        <v>0</v>
      </c>
      <c r="E63" s="19">
        <f>Principle_portion_of_payment($B$1,$D$1,A63,$B$3)*'PSA&amp;CPR（function) '!O63</f>
        <v>0</v>
      </c>
      <c r="F63" s="19">
        <f>Interest_portion_of_payment($B$1,$D$1,A63,$B$3)*'PSA&amp;CPR（function) '!O63</f>
        <v>0</v>
      </c>
      <c r="G63" s="19">
        <f>(B63-E63)*'PSA&amp;CPR（function) '!G64</f>
        <v>0</v>
      </c>
      <c r="H63" s="19">
        <f>Remaining_balance($B$1,$D$1,A63,$B$3)*'PSA&amp;CPR（function) '!O64</f>
        <v>0</v>
      </c>
    </row>
    <row r="64" spans="1:8">
      <c r="A64">
        <f>'PSA&amp;CPR'!A64</f>
        <v>62</v>
      </c>
      <c r="B64" s="19">
        <f t="shared" si="0"/>
        <v>0</v>
      </c>
      <c r="C64" s="19">
        <f t="shared" si="1"/>
        <v>0</v>
      </c>
      <c r="D64" s="19">
        <f>Monthly_payment($B$1,$D$1,$B$3)*'PSA&amp;CPR（function) '!O64</f>
        <v>0</v>
      </c>
      <c r="E64" s="19">
        <f>Principle_portion_of_payment($B$1,$D$1,A64,$B$3)*'PSA&amp;CPR（function) '!O64</f>
        <v>0</v>
      </c>
      <c r="F64" s="19">
        <f>Interest_portion_of_payment($B$1,$D$1,A64,$B$3)*'PSA&amp;CPR（function) '!O64</f>
        <v>0</v>
      </c>
      <c r="G64" s="19">
        <f>(B64-E64)*'PSA&amp;CPR（function) '!G65</f>
        <v>0</v>
      </c>
      <c r="H64" s="19">
        <f>Remaining_balance($B$1,$D$1,A64,$B$3)*'PSA&amp;CPR（function) '!O65</f>
        <v>0</v>
      </c>
    </row>
    <row r="65" spans="1:8">
      <c r="A65">
        <f>'PSA&amp;CPR'!A65</f>
        <v>63</v>
      </c>
      <c r="B65" s="19">
        <f t="shared" si="0"/>
        <v>0</v>
      </c>
      <c r="C65" s="19">
        <f t="shared" si="1"/>
        <v>0</v>
      </c>
      <c r="D65" s="19">
        <f>Monthly_payment($B$1,$D$1,$B$3)*'PSA&amp;CPR（function) '!O65</f>
        <v>0</v>
      </c>
      <c r="E65" s="19">
        <f>Principle_portion_of_payment($B$1,$D$1,A65,$B$3)*'PSA&amp;CPR（function) '!O65</f>
        <v>0</v>
      </c>
      <c r="F65" s="19">
        <f>Interest_portion_of_payment($B$1,$D$1,A65,$B$3)*'PSA&amp;CPR（function) '!O65</f>
        <v>0</v>
      </c>
      <c r="G65" s="19">
        <f>(B65-E65)*'PSA&amp;CPR（function) '!G66</f>
        <v>0</v>
      </c>
      <c r="H65" s="19">
        <f>Remaining_balance($B$1,$D$1,A65,$B$3)*'PSA&amp;CPR（function) '!O66</f>
        <v>0</v>
      </c>
    </row>
    <row r="66" spans="1:8">
      <c r="A66">
        <f>'PSA&amp;CPR'!A66</f>
        <v>64</v>
      </c>
      <c r="B66" s="19">
        <f t="shared" si="0"/>
        <v>0</v>
      </c>
      <c r="C66" s="19">
        <f t="shared" si="1"/>
        <v>0</v>
      </c>
      <c r="D66" s="19">
        <f>Monthly_payment($B$1,$D$1,$B$3)*'PSA&amp;CPR（function) '!O66</f>
        <v>0</v>
      </c>
      <c r="E66" s="19">
        <f>Principle_portion_of_payment($B$1,$D$1,A66,$B$3)*'PSA&amp;CPR（function) '!O66</f>
        <v>0</v>
      </c>
      <c r="F66" s="19">
        <f>Interest_portion_of_payment($B$1,$D$1,A66,$B$3)*'PSA&amp;CPR（function) '!O66</f>
        <v>0</v>
      </c>
      <c r="G66" s="19">
        <f>(B66-E66)*'PSA&amp;CPR（function) '!G67</f>
        <v>0</v>
      </c>
      <c r="H66" s="19">
        <f>Remaining_balance($B$1,$D$1,A66,$B$3)*'PSA&amp;CPR（function) '!O67</f>
        <v>0</v>
      </c>
    </row>
    <row r="67" spans="1:8">
      <c r="A67">
        <f>'PSA&amp;CPR'!A67</f>
        <v>65</v>
      </c>
      <c r="B67" s="19">
        <f t="shared" si="0"/>
        <v>0</v>
      </c>
      <c r="C67" s="19">
        <f t="shared" si="1"/>
        <v>0</v>
      </c>
      <c r="D67" s="19">
        <f>Monthly_payment($B$1,$D$1,$B$3)*'PSA&amp;CPR（function) '!O67</f>
        <v>0</v>
      </c>
      <c r="E67" s="19">
        <f>Principle_portion_of_payment($B$1,$D$1,A67,$B$3)*'PSA&amp;CPR（function) '!O67</f>
        <v>0</v>
      </c>
      <c r="F67" s="19">
        <f>Interest_portion_of_payment($B$1,$D$1,A67,$B$3)*'PSA&amp;CPR（function) '!O67</f>
        <v>0</v>
      </c>
      <c r="G67" s="19">
        <f>(B67-E67)*'PSA&amp;CPR（function) '!G68</f>
        <v>0</v>
      </c>
      <c r="H67" s="19">
        <f>Remaining_balance($B$1,$D$1,A67,$B$3)*'PSA&amp;CPR（function) '!O68</f>
        <v>0</v>
      </c>
    </row>
    <row r="68" spans="1:8">
      <c r="A68">
        <f>'PSA&amp;CPR'!A68</f>
        <v>66</v>
      </c>
      <c r="B68" s="19">
        <f t="shared" si="0"/>
        <v>0</v>
      </c>
      <c r="C68" s="19">
        <f t="shared" si="1"/>
        <v>0</v>
      </c>
      <c r="D68" s="19">
        <f>Monthly_payment($B$1,$D$1,$B$3)*'PSA&amp;CPR（function) '!O68</f>
        <v>0</v>
      </c>
      <c r="E68" s="19">
        <f>Principle_portion_of_payment($B$1,$D$1,A68,$B$3)*'PSA&amp;CPR（function) '!O68</f>
        <v>0</v>
      </c>
      <c r="F68" s="19">
        <f>Interest_portion_of_payment($B$1,$D$1,A68,$B$3)*'PSA&amp;CPR（function) '!O68</f>
        <v>0</v>
      </c>
      <c r="G68" s="19">
        <f>(B68-E68)*'PSA&amp;CPR（function) '!G69</f>
        <v>0</v>
      </c>
      <c r="H68" s="19">
        <f>Remaining_balance($B$1,$D$1,A68,$B$3)*'PSA&amp;CPR（function) '!O69</f>
        <v>0</v>
      </c>
    </row>
    <row r="69" spans="1:8">
      <c r="A69">
        <f>'PSA&amp;CPR'!A69</f>
        <v>67</v>
      </c>
      <c r="B69" s="19">
        <f t="shared" ref="B69:B132" si="2">H68</f>
        <v>0</v>
      </c>
      <c r="C69" s="19">
        <f t="shared" ref="C69:C132" si="3">B69*($B$1/1200)</f>
        <v>0</v>
      </c>
      <c r="D69" s="19">
        <f>Monthly_payment($B$1,$D$1,$B$3)*'PSA&amp;CPR（function) '!O69</f>
        <v>0</v>
      </c>
      <c r="E69" s="19">
        <f>Principle_portion_of_payment($B$1,$D$1,A69,$B$3)*'PSA&amp;CPR（function) '!O69</f>
        <v>0</v>
      </c>
      <c r="F69" s="19">
        <f>Interest_portion_of_payment($B$1,$D$1,A69,$B$3)*'PSA&amp;CPR（function) '!O69</f>
        <v>0</v>
      </c>
      <c r="G69" s="19">
        <f>(B69-E69)*'PSA&amp;CPR（function) '!G70</f>
        <v>0</v>
      </c>
      <c r="H69" s="19">
        <f>Remaining_balance($B$1,$D$1,A69,$B$3)*'PSA&amp;CPR（function) '!O70</f>
        <v>0</v>
      </c>
    </row>
    <row r="70" spans="1:8">
      <c r="A70">
        <f>'PSA&amp;CPR'!A70</f>
        <v>68</v>
      </c>
      <c r="B70" s="19">
        <f t="shared" si="2"/>
        <v>0</v>
      </c>
      <c r="C70" s="19">
        <f t="shared" si="3"/>
        <v>0</v>
      </c>
      <c r="D70" s="19">
        <f>Monthly_payment($B$1,$D$1,$B$3)*'PSA&amp;CPR（function) '!O70</f>
        <v>0</v>
      </c>
      <c r="E70" s="19">
        <f>Principle_portion_of_payment($B$1,$D$1,A70,$B$3)*'PSA&amp;CPR（function) '!O70</f>
        <v>0</v>
      </c>
      <c r="F70" s="19">
        <f>Interest_portion_of_payment($B$1,$D$1,A70,$B$3)*'PSA&amp;CPR（function) '!O70</f>
        <v>0</v>
      </c>
      <c r="G70" s="19">
        <f>(B70-E70)*'PSA&amp;CPR（function) '!G71</f>
        <v>0</v>
      </c>
      <c r="H70" s="19">
        <f>Remaining_balance($B$1,$D$1,A70,$B$3)*'PSA&amp;CPR（function) '!O71</f>
        <v>0</v>
      </c>
    </row>
    <row r="71" spans="1:8">
      <c r="A71">
        <f>'PSA&amp;CPR'!A71</f>
        <v>69</v>
      </c>
      <c r="B71" s="19">
        <f t="shared" si="2"/>
        <v>0</v>
      </c>
      <c r="C71" s="19">
        <f t="shared" si="3"/>
        <v>0</v>
      </c>
      <c r="D71" s="19">
        <f>Monthly_payment($B$1,$D$1,$B$3)*'PSA&amp;CPR（function) '!O71</f>
        <v>0</v>
      </c>
      <c r="E71" s="19">
        <f>Principle_portion_of_payment($B$1,$D$1,A71,$B$3)*'PSA&amp;CPR（function) '!O71</f>
        <v>0</v>
      </c>
      <c r="F71" s="19">
        <f>Interest_portion_of_payment($B$1,$D$1,A71,$B$3)*'PSA&amp;CPR（function) '!O71</f>
        <v>0</v>
      </c>
      <c r="G71" s="19">
        <f>(B71-E71)*'PSA&amp;CPR（function) '!G72</f>
        <v>0</v>
      </c>
      <c r="H71" s="19">
        <f>Remaining_balance($B$1,$D$1,A71,$B$3)*'PSA&amp;CPR（function) '!O72</f>
        <v>0</v>
      </c>
    </row>
    <row r="72" spans="1:8">
      <c r="A72">
        <f>'PSA&amp;CPR'!A72</f>
        <v>70</v>
      </c>
      <c r="B72" s="19">
        <f t="shared" si="2"/>
        <v>0</v>
      </c>
      <c r="C72" s="19">
        <f t="shared" si="3"/>
        <v>0</v>
      </c>
      <c r="D72" s="19">
        <f>Monthly_payment($B$1,$D$1,$B$3)*'PSA&amp;CPR（function) '!O72</f>
        <v>0</v>
      </c>
      <c r="E72" s="19">
        <f>Principle_portion_of_payment($B$1,$D$1,A72,$B$3)*'PSA&amp;CPR（function) '!O72</f>
        <v>0</v>
      </c>
      <c r="F72" s="19">
        <f>Interest_portion_of_payment($B$1,$D$1,A72,$B$3)*'PSA&amp;CPR（function) '!O72</f>
        <v>0</v>
      </c>
      <c r="G72" s="19">
        <f>(B72-E72)*'PSA&amp;CPR（function) '!G73</f>
        <v>0</v>
      </c>
      <c r="H72" s="19">
        <f>Remaining_balance($B$1,$D$1,A72,$B$3)*'PSA&amp;CPR（function) '!O73</f>
        <v>0</v>
      </c>
    </row>
    <row r="73" spans="1:8">
      <c r="A73">
        <f>'PSA&amp;CPR'!A73</f>
        <v>71</v>
      </c>
      <c r="B73" s="19">
        <f t="shared" si="2"/>
        <v>0</v>
      </c>
      <c r="C73" s="19">
        <f t="shared" si="3"/>
        <v>0</v>
      </c>
      <c r="D73" s="19">
        <f>Monthly_payment($B$1,$D$1,$B$3)*'PSA&amp;CPR（function) '!O73</f>
        <v>0</v>
      </c>
      <c r="E73" s="19">
        <f>Principle_portion_of_payment($B$1,$D$1,A73,$B$3)*'PSA&amp;CPR（function) '!O73</f>
        <v>0</v>
      </c>
      <c r="F73" s="19">
        <f>Interest_portion_of_payment($B$1,$D$1,A73,$B$3)*'PSA&amp;CPR（function) '!O73</f>
        <v>0</v>
      </c>
      <c r="G73" s="19">
        <f>(B73-E73)*'PSA&amp;CPR（function) '!G74</f>
        <v>0</v>
      </c>
      <c r="H73" s="19">
        <f>Remaining_balance($B$1,$D$1,A73,$B$3)*'PSA&amp;CPR（function) '!O74</f>
        <v>0</v>
      </c>
    </row>
    <row r="74" spans="1:8">
      <c r="A74">
        <f>'PSA&amp;CPR'!A74</f>
        <v>72</v>
      </c>
      <c r="B74" s="19">
        <f t="shared" si="2"/>
        <v>0</v>
      </c>
      <c r="C74" s="19">
        <f t="shared" si="3"/>
        <v>0</v>
      </c>
      <c r="D74" s="19">
        <f>Monthly_payment($B$1,$D$1,$B$3)*'PSA&amp;CPR（function) '!O74</f>
        <v>0</v>
      </c>
      <c r="E74" s="19">
        <f>Principle_portion_of_payment($B$1,$D$1,A74,$B$3)*'PSA&amp;CPR（function) '!O74</f>
        <v>0</v>
      </c>
      <c r="F74" s="19">
        <f>Interest_portion_of_payment($B$1,$D$1,A74,$B$3)*'PSA&amp;CPR（function) '!O74</f>
        <v>0</v>
      </c>
      <c r="G74" s="19">
        <f>(B74-E74)*'PSA&amp;CPR（function) '!G75</f>
        <v>0</v>
      </c>
      <c r="H74" s="19">
        <f>Remaining_balance($B$1,$D$1,A74,$B$3)*'PSA&amp;CPR（function) '!O75</f>
        <v>0</v>
      </c>
    </row>
    <row r="75" spans="1:8">
      <c r="A75">
        <f>'PSA&amp;CPR'!A75</f>
        <v>73</v>
      </c>
      <c r="B75" s="19">
        <f t="shared" si="2"/>
        <v>0</v>
      </c>
      <c r="C75" s="19">
        <f t="shared" si="3"/>
        <v>0</v>
      </c>
      <c r="D75" s="19">
        <f>Monthly_payment($B$1,$D$1,$B$3)*'PSA&amp;CPR（function) '!O75</f>
        <v>0</v>
      </c>
      <c r="E75" s="19">
        <f>Principle_portion_of_payment($B$1,$D$1,A75,$B$3)*'PSA&amp;CPR（function) '!O75</f>
        <v>0</v>
      </c>
      <c r="F75" s="19">
        <f>Interest_portion_of_payment($B$1,$D$1,A75,$B$3)*'PSA&amp;CPR（function) '!O75</f>
        <v>0</v>
      </c>
      <c r="G75" s="19">
        <f>(B75-E75)*'PSA&amp;CPR（function) '!G76</f>
        <v>0</v>
      </c>
      <c r="H75" s="19">
        <f>Remaining_balance($B$1,$D$1,A75,$B$3)*'PSA&amp;CPR（function) '!O76</f>
        <v>0</v>
      </c>
    </row>
    <row r="76" spans="1:8">
      <c r="A76">
        <f>'PSA&amp;CPR'!A76</f>
        <v>74</v>
      </c>
      <c r="B76" s="19">
        <f t="shared" si="2"/>
        <v>0</v>
      </c>
      <c r="C76" s="19">
        <f t="shared" si="3"/>
        <v>0</v>
      </c>
      <c r="D76" s="19">
        <f>Monthly_payment($B$1,$D$1,$B$3)*'PSA&amp;CPR（function) '!O76</f>
        <v>0</v>
      </c>
      <c r="E76" s="19">
        <f>Principle_portion_of_payment($B$1,$D$1,A76,$B$3)*'PSA&amp;CPR（function) '!O76</f>
        <v>0</v>
      </c>
      <c r="F76" s="19">
        <f>Interest_portion_of_payment($B$1,$D$1,A76,$B$3)*'PSA&amp;CPR（function) '!O76</f>
        <v>0</v>
      </c>
      <c r="G76" s="19">
        <f>(B76-E76)*'PSA&amp;CPR（function) '!G77</f>
        <v>0</v>
      </c>
      <c r="H76" s="19">
        <f>Remaining_balance($B$1,$D$1,A76,$B$3)*'PSA&amp;CPR（function) '!O77</f>
        <v>0</v>
      </c>
    </row>
    <row r="77" spans="1:8">
      <c r="A77">
        <f>'PSA&amp;CPR'!A77</f>
        <v>75</v>
      </c>
      <c r="B77" s="19">
        <f t="shared" si="2"/>
        <v>0</v>
      </c>
      <c r="C77" s="19">
        <f t="shared" si="3"/>
        <v>0</v>
      </c>
      <c r="D77" s="19">
        <f>Monthly_payment($B$1,$D$1,$B$3)*'PSA&amp;CPR（function) '!O77</f>
        <v>0</v>
      </c>
      <c r="E77" s="19">
        <f>Principle_portion_of_payment($B$1,$D$1,A77,$B$3)*'PSA&amp;CPR（function) '!O77</f>
        <v>0</v>
      </c>
      <c r="F77" s="19">
        <f>Interest_portion_of_payment($B$1,$D$1,A77,$B$3)*'PSA&amp;CPR（function) '!O77</f>
        <v>0</v>
      </c>
      <c r="G77" s="19">
        <f>(B77-E77)*'PSA&amp;CPR（function) '!G78</f>
        <v>0</v>
      </c>
      <c r="H77" s="19">
        <f>Remaining_balance($B$1,$D$1,A77,$B$3)*'PSA&amp;CPR（function) '!O78</f>
        <v>0</v>
      </c>
    </row>
    <row r="78" spans="1:8">
      <c r="A78">
        <f>'PSA&amp;CPR'!A78</f>
        <v>76</v>
      </c>
      <c r="B78" s="19">
        <f t="shared" si="2"/>
        <v>0</v>
      </c>
      <c r="C78" s="19">
        <f t="shared" si="3"/>
        <v>0</v>
      </c>
      <c r="D78" s="19">
        <f>Monthly_payment($B$1,$D$1,$B$3)*'PSA&amp;CPR（function) '!O78</f>
        <v>0</v>
      </c>
      <c r="E78" s="19">
        <f>Principle_portion_of_payment($B$1,$D$1,A78,$B$3)*'PSA&amp;CPR（function) '!O78</f>
        <v>0</v>
      </c>
      <c r="F78" s="19">
        <f>Interest_portion_of_payment($B$1,$D$1,A78,$B$3)*'PSA&amp;CPR（function) '!O78</f>
        <v>0</v>
      </c>
      <c r="G78" s="19">
        <f>(B78-E78)*'PSA&amp;CPR（function) '!G79</f>
        <v>0</v>
      </c>
      <c r="H78" s="19">
        <f>Remaining_balance($B$1,$D$1,A78,$B$3)*'PSA&amp;CPR（function) '!O79</f>
        <v>0</v>
      </c>
    </row>
    <row r="79" spans="1:8">
      <c r="A79">
        <f>'PSA&amp;CPR'!A79</f>
        <v>77</v>
      </c>
      <c r="B79" s="19">
        <f t="shared" si="2"/>
        <v>0</v>
      </c>
      <c r="C79" s="19">
        <f t="shared" si="3"/>
        <v>0</v>
      </c>
      <c r="D79" s="19">
        <f>Monthly_payment($B$1,$D$1,$B$3)*'PSA&amp;CPR（function) '!O79</f>
        <v>0</v>
      </c>
      <c r="E79" s="19">
        <f>Principle_portion_of_payment($B$1,$D$1,A79,$B$3)*'PSA&amp;CPR（function) '!O79</f>
        <v>0</v>
      </c>
      <c r="F79" s="19">
        <f>Interest_portion_of_payment($B$1,$D$1,A79,$B$3)*'PSA&amp;CPR（function) '!O79</f>
        <v>0</v>
      </c>
      <c r="G79" s="19">
        <f>(B79-E79)*'PSA&amp;CPR（function) '!G80</f>
        <v>0</v>
      </c>
      <c r="H79" s="19">
        <f>Remaining_balance($B$1,$D$1,A79,$B$3)*'PSA&amp;CPR（function) '!O80</f>
        <v>0</v>
      </c>
    </row>
    <row r="80" spans="1:8">
      <c r="A80">
        <f>'PSA&amp;CPR'!A80</f>
        <v>78</v>
      </c>
      <c r="B80" s="19">
        <f t="shared" si="2"/>
        <v>0</v>
      </c>
      <c r="C80" s="19">
        <f t="shared" si="3"/>
        <v>0</v>
      </c>
      <c r="D80" s="19">
        <f>Monthly_payment($B$1,$D$1,$B$3)*'PSA&amp;CPR（function) '!O80</f>
        <v>0</v>
      </c>
      <c r="E80" s="19">
        <f>Principle_portion_of_payment($B$1,$D$1,A80,$B$3)*'PSA&amp;CPR（function) '!O80</f>
        <v>0</v>
      </c>
      <c r="F80" s="19">
        <f>Interest_portion_of_payment($B$1,$D$1,A80,$B$3)*'PSA&amp;CPR（function) '!O80</f>
        <v>0</v>
      </c>
      <c r="G80" s="19">
        <f>(B80-E80)*'PSA&amp;CPR（function) '!G81</f>
        <v>0</v>
      </c>
      <c r="H80" s="19">
        <f>Remaining_balance($B$1,$D$1,A80,$B$3)*'PSA&amp;CPR（function) '!O81</f>
        <v>0</v>
      </c>
    </row>
    <row r="81" spans="1:8">
      <c r="A81">
        <f>'PSA&amp;CPR'!A81</f>
        <v>79</v>
      </c>
      <c r="B81" s="19">
        <f t="shared" si="2"/>
        <v>0</v>
      </c>
      <c r="C81" s="19">
        <f t="shared" si="3"/>
        <v>0</v>
      </c>
      <c r="D81" s="19">
        <f>Monthly_payment($B$1,$D$1,$B$3)*'PSA&amp;CPR（function) '!O81</f>
        <v>0</v>
      </c>
      <c r="E81" s="19">
        <f>Principle_portion_of_payment($B$1,$D$1,A81,$B$3)*'PSA&amp;CPR（function) '!O81</f>
        <v>0</v>
      </c>
      <c r="F81" s="19">
        <f>Interest_portion_of_payment($B$1,$D$1,A81,$B$3)*'PSA&amp;CPR（function) '!O81</f>
        <v>0</v>
      </c>
      <c r="G81" s="19">
        <f>(B81-E81)*'PSA&amp;CPR（function) '!G82</f>
        <v>0</v>
      </c>
      <c r="H81" s="19">
        <f>Remaining_balance($B$1,$D$1,A81,$B$3)*'PSA&amp;CPR（function) '!O82</f>
        <v>0</v>
      </c>
    </row>
    <row r="82" spans="1:8">
      <c r="A82">
        <f>'PSA&amp;CPR'!A82</f>
        <v>80</v>
      </c>
      <c r="B82" s="19">
        <f t="shared" si="2"/>
        <v>0</v>
      </c>
      <c r="C82" s="19">
        <f t="shared" si="3"/>
        <v>0</v>
      </c>
      <c r="D82" s="19">
        <f>Monthly_payment($B$1,$D$1,$B$3)*'PSA&amp;CPR（function) '!O82</f>
        <v>0</v>
      </c>
      <c r="E82" s="19">
        <f>Principle_portion_of_payment($B$1,$D$1,A82,$B$3)*'PSA&amp;CPR（function) '!O82</f>
        <v>0</v>
      </c>
      <c r="F82" s="19">
        <f>Interest_portion_of_payment($B$1,$D$1,A82,$B$3)*'PSA&amp;CPR（function) '!O82</f>
        <v>0</v>
      </c>
      <c r="G82" s="19">
        <f>(B82-E82)*'PSA&amp;CPR（function) '!G83</f>
        <v>0</v>
      </c>
      <c r="H82" s="19">
        <f>Remaining_balance($B$1,$D$1,A82,$B$3)*'PSA&amp;CPR（function) '!O83</f>
        <v>0</v>
      </c>
    </row>
    <row r="83" spans="1:8">
      <c r="A83">
        <f>'PSA&amp;CPR'!A83</f>
        <v>81</v>
      </c>
      <c r="B83" s="19">
        <f t="shared" si="2"/>
        <v>0</v>
      </c>
      <c r="C83" s="19">
        <f t="shared" si="3"/>
        <v>0</v>
      </c>
      <c r="D83" s="19">
        <f>Monthly_payment($B$1,$D$1,$B$3)*'PSA&amp;CPR（function) '!O83</f>
        <v>0</v>
      </c>
      <c r="E83" s="19">
        <f>Principle_portion_of_payment($B$1,$D$1,A83,$B$3)*'PSA&amp;CPR（function) '!O83</f>
        <v>0</v>
      </c>
      <c r="F83" s="19">
        <f>Interest_portion_of_payment($B$1,$D$1,A83,$B$3)*'PSA&amp;CPR（function) '!O83</f>
        <v>0</v>
      </c>
      <c r="G83" s="19">
        <f>(B83-E83)*'PSA&amp;CPR（function) '!G84</f>
        <v>0</v>
      </c>
      <c r="H83" s="19">
        <f>Remaining_balance($B$1,$D$1,A83,$B$3)*'PSA&amp;CPR（function) '!O84</f>
        <v>0</v>
      </c>
    </row>
    <row r="84" spans="1:8">
      <c r="A84">
        <f>'PSA&amp;CPR'!A84</f>
        <v>82</v>
      </c>
      <c r="B84" s="19">
        <f t="shared" si="2"/>
        <v>0</v>
      </c>
      <c r="C84" s="19">
        <f t="shared" si="3"/>
        <v>0</v>
      </c>
      <c r="D84" s="19">
        <f>Monthly_payment($B$1,$D$1,$B$3)*'PSA&amp;CPR（function) '!O84</f>
        <v>0</v>
      </c>
      <c r="E84" s="19">
        <f>Principle_portion_of_payment($B$1,$D$1,A84,$B$3)*'PSA&amp;CPR（function) '!O84</f>
        <v>0</v>
      </c>
      <c r="F84" s="19">
        <f>Interest_portion_of_payment($B$1,$D$1,A84,$B$3)*'PSA&amp;CPR（function) '!O84</f>
        <v>0</v>
      </c>
      <c r="G84" s="19">
        <f>(B84-E84)*'PSA&amp;CPR（function) '!G85</f>
        <v>0</v>
      </c>
      <c r="H84" s="19">
        <f>Remaining_balance($B$1,$D$1,A84,$B$3)*'PSA&amp;CPR（function) '!O85</f>
        <v>0</v>
      </c>
    </row>
    <row r="85" spans="1:8">
      <c r="A85">
        <f>'PSA&amp;CPR'!A85</f>
        <v>83</v>
      </c>
      <c r="B85" s="19">
        <f t="shared" si="2"/>
        <v>0</v>
      </c>
      <c r="C85" s="19">
        <f t="shared" si="3"/>
        <v>0</v>
      </c>
      <c r="D85" s="19">
        <f>Monthly_payment($B$1,$D$1,$B$3)*'PSA&amp;CPR（function) '!O85</f>
        <v>0</v>
      </c>
      <c r="E85" s="19">
        <f>Principle_portion_of_payment($B$1,$D$1,A85,$B$3)*'PSA&amp;CPR（function) '!O85</f>
        <v>0</v>
      </c>
      <c r="F85" s="19">
        <f>Interest_portion_of_payment($B$1,$D$1,A85,$B$3)*'PSA&amp;CPR（function) '!O85</f>
        <v>0</v>
      </c>
      <c r="G85" s="19">
        <f>(B85-E85)*'PSA&amp;CPR（function) '!G86</f>
        <v>0</v>
      </c>
      <c r="H85" s="19">
        <f>Remaining_balance($B$1,$D$1,A85,$B$3)*'PSA&amp;CPR（function) '!O86</f>
        <v>0</v>
      </c>
    </row>
    <row r="86" spans="1:8">
      <c r="A86">
        <f>'PSA&amp;CPR'!A86</f>
        <v>84</v>
      </c>
      <c r="B86" s="19">
        <f t="shared" si="2"/>
        <v>0</v>
      </c>
      <c r="C86" s="19">
        <f t="shared" si="3"/>
        <v>0</v>
      </c>
      <c r="D86" s="19">
        <f>Monthly_payment($B$1,$D$1,$B$3)*'PSA&amp;CPR（function) '!O86</f>
        <v>0</v>
      </c>
      <c r="E86" s="19">
        <f>Principle_portion_of_payment($B$1,$D$1,A86,$B$3)*'PSA&amp;CPR（function) '!O86</f>
        <v>0</v>
      </c>
      <c r="F86" s="19">
        <f>Interest_portion_of_payment($B$1,$D$1,A86,$B$3)*'PSA&amp;CPR（function) '!O86</f>
        <v>0</v>
      </c>
      <c r="G86" s="19">
        <f>(B86-E86)*'PSA&amp;CPR（function) '!G87</f>
        <v>0</v>
      </c>
      <c r="H86" s="19">
        <f>Remaining_balance($B$1,$D$1,A86,$B$3)*'PSA&amp;CPR（function) '!O87</f>
        <v>0</v>
      </c>
    </row>
    <row r="87" spans="1:8">
      <c r="A87">
        <f>'PSA&amp;CPR'!A87</f>
        <v>85</v>
      </c>
      <c r="B87" s="19">
        <f t="shared" si="2"/>
        <v>0</v>
      </c>
      <c r="C87" s="19">
        <f t="shared" si="3"/>
        <v>0</v>
      </c>
      <c r="D87" s="19">
        <f>Monthly_payment($B$1,$D$1,$B$3)*'PSA&amp;CPR（function) '!O87</f>
        <v>0</v>
      </c>
      <c r="E87" s="19">
        <f>Principle_portion_of_payment($B$1,$D$1,A87,$B$3)*'PSA&amp;CPR（function) '!O87</f>
        <v>0</v>
      </c>
      <c r="F87" s="19">
        <f>Interest_portion_of_payment($B$1,$D$1,A87,$B$3)*'PSA&amp;CPR（function) '!O87</f>
        <v>0</v>
      </c>
      <c r="G87" s="19">
        <f>(B87-E87)*'PSA&amp;CPR（function) '!G88</f>
        <v>0</v>
      </c>
      <c r="H87" s="19">
        <f>Remaining_balance($B$1,$D$1,A87,$B$3)*'PSA&amp;CPR（function) '!O88</f>
        <v>0</v>
      </c>
    </row>
    <row r="88" spans="1:8">
      <c r="A88">
        <f>'PSA&amp;CPR'!A88</f>
        <v>86</v>
      </c>
      <c r="B88" s="19">
        <f t="shared" si="2"/>
        <v>0</v>
      </c>
      <c r="C88" s="19">
        <f t="shared" si="3"/>
        <v>0</v>
      </c>
      <c r="D88" s="19">
        <f>Monthly_payment($B$1,$D$1,$B$3)*'PSA&amp;CPR（function) '!O88</f>
        <v>0</v>
      </c>
      <c r="E88" s="19">
        <f>Principle_portion_of_payment($B$1,$D$1,A88,$B$3)*'PSA&amp;CPR（function) '!O88</f>
        <v>0</v>
      </c>
      <c r="F88" s="19">
        <f>Interest_portion_of_payment($B$1,$D$1,A88,$B$3)*'PSA&amp;CPR（function) '!O88</f>
        <v>0</v>
      </c>
      <c r="G88" s="19">
        <f>(B88-E88)*'PSA&amp;CPR（function) '!G89</f>
        <v>0</v>
      </c>
      <c r="H88" s="19">
        <f>Remaining_balance($B$1,$D$1,A88,$B$3)*'PSA&amp;CPR（function) '!O89</f>
        <v>0</v>
      </c>
    </row>
    <row r="89" spans="1:8">
      <c r="A89">
        <f>'PSA&amp;CPR'!A89</f>
        <v>87</v>
      </c>
      <c r="B89" s="19">
        <f t="shared" si="2"/>
        <v>0</v>
      </c>
      <c r="C89" s="19">
        <f t="shared" si="3"/>
        <v>0</v>
      </c>
      <c r="D89" s="19">
        <f>Monthly_payment($B$1,$D$1,$B$3)*'PSA&amp;CPR（function) '!O89</f>
        <v>0</v>
      </c>
      <c r="E89" s="19">
        <f>Principle_portion_of_payment($B$1,$D$1,A89,$B$3)*'PSA&amp;CPR（function) '!O89</f>
        <v>0</v>
      </c>
      <c r="F89" s="19">
        <f>Interest_portion_of_payment($B$1,$D$1,A89,$B$3)*'PSA&amp;CPR（function) '!O89</f>
        <v>0</v>
      </c>
      <c r="G89" s="19">
        <f>(B89-E89)*'PSA&amp;CPR（function) '!G90</f>
        <v>0</v>
      </c>
      <c r="H89" s="19">
        <f>Remaining_balance($B$1,$D$1,A89,$B$3)*'PSA&amp;CPR（function) '!O90</f>
        <v>0</v>
      </c>
    </row>
    <row r="90" spans="1:8">
      <c r="A90">
        <f>'PSA&amp;CPR'!A90</f>
        <v>88</v>
      </c>
      <c r="B90" s="19">
        <f t="shared" si="2"/>
        <v>0</v>
      </c>
      <c r="C90" s="19">
        <f t="shared" si="3"/>
        <v>0</v>
      </c>
      <c r="D90" s="19">
        <f>Monthly_payment($B$1,$D$1,$B$3)*'PSA&amp;CPR（function) '!O90</f>
        <v>0</v>
      </c>
      <c r="E90" s="19">
        <f>Principle_portion_of_payment($B$1,$D$1,A90,$B$3)*'PSA&amp;CPR（function) '!O90</f>
        <v>0</v>
      </c>
      <c r="F90" s="19">
        <f>Interest_portion_of_payment($B$1,$D$1,A90,$B$3)*'PSA&amp;CPR（function) '!O90</f>
        <v>0</v>
      </c>
      <c r="G90" s="19">
        <f>(B90-E90)*'PSA&amp;CPR（function) '!G91</f>
        <v>0</v>
      </c>
      <c r="H90" s="19">
        <f>Remaining_balance($B$1,$D$1,A90,$B$3)*'PSA&amp;CPR（function) '!O91</f>
        <v>0</v>
      </c>
    </row>
    <row r="91" spans="1:8">
      <c r="A91">
        <f>'PSA&amp;CPR'!A91</f>
        <v>89</v>
      </c>
      <c r="B91" s="19">
        <f t="shared" si="2"/>
        <v>0</v>
      </c>
      <c r="C91" s="19">
        <f t="shared" si="3"/>
        <v>0</v>
      </c>
      <c r="D91" s="19">
        <f>Monthly_payment($B$1,$D$1,$B$3)*'PSA&amp;CPR（function) '!O91</f>
        <v>0</v>
      </c>
      <c r="E91" s="19">
        <f>Principle_portion_of_payment($B$1,$D$1,A91,$B$3)*'PSA&amp;CPR（function) '!O91</f>
        <v>0</v>
      </c>
      <c r="F91" s="19">
        <f>Interest_portion_of_payment($B$1,$D$1,A91,$B$3)*'PSA&amp;CPR（function) '!O91</f>
        <v>0</v>
      </c>
      <c r="G91" s="19">
        <f>(B91-E91)*'PSA&amp;CPR（function) '!G92</f>
        <v>0</v>
      </c>
      <c r="H91" s="19">
        <f>Remaining_balance($B$1,$D$1,A91,$B$3)*'PSA&amp;CPR（function) '!O92</f>
        <v>0</v>
      </c>
    </row>
    <row r="92" spans="1:8">
      <c r="A92">
        <f>'PSA&amp;CPR'!A92</f>
        <v>90</v>
      </c>
      <c r="B92" s="19">
        <f t="shared" si="2"/>
        <v>0</v>
      </c>
      <c r="C92" s="19">
        <f t="shared" si="3"/>
        <v>0</v>
      </c>
      <c r="D92" s="19">
        <f>Monthly_payment($B$1,$D$1,$B$3)*'PSA&amp;CPR（function) '!O92</f>
        <v>0</v>
      </c>
      <c r="E92" s="19">
        <f>Principle_portion_of_payment($B$1,$D$1,A92,$B$3)*'PSA&amp;CPR（function) '!O92</f>
        <v>0</v>
      </c>
      <c r="F92" s="19">
        <f>Interest_portion_of_payment($B$1,$D$1,A92,$B$3)*'PSA&amp;CPR（function) '!O92</f>
        <v>0</v>
      </c>
      <c r="G92" s="19">
        <f>(B92-E92)*'PSA&amp;CPR（function) '!G93</f>
        <v>0</v>
      </c>
      <c r="H92" s="19">
        <f>Remaining_balance($B$1,$D$1,A92,$B$3)*'PSA&amp;CPR（function) '!O93</f>
        <v>0</v>
      </c>
    </row>
    <row r="93" spans="1:8">
      <c r="A93">
        <f>'PSA&amp;CPR'!A93</f>
        <v>91</v>
      </c>
      <c r="B93" s="19">
        <f t="shared" si="2"/>
        <v>0</v>
      </c>
      <c r="C93" s="19">
        <f t="shared" si="3"/>
        <v>0</v>
      </c>
      <c r="D93" s="19">
        <f>Monthly_payment($B$1,$D$1,$B$3)*'PSA&amp;CPR（function) '!O93</f>
        <v>0</v>
      </c>
      <c r="E93" s="19">
        <f>Principle_portion_of_payment($B$1,$D$1,A93,$B$3)*'PSA&amp;CPR（function) '!O93</f>
        <v>0</v>
      </c>
      <c r="F93" s="19">
        <f>Interest_portion_of_payment($B$1,$D$1,A93,$B$3)*'PSA&amp;CPR（function) '!O93</f>
        <v>0</v>
      </c>
      <c r="G93" s="19">
        <f>(B93-E93)*'PSA&amp;CPR（function) '!G94</f>
        <v>0</v>
      </c>
      <c r="H93" s="19">
        <f>Remaining_balance($B$1,$D$1,A93,$B$3)*'PSA&amp;CPR（function) '!O94</f>
        <v>0</v>
      </c>
    </row>
    <row r="94" spans="1:8">
      <c r="A94">
        <f>'PSA&amp;CPR'!A94</f>
        <v>92</v>
      </c>
      <c r="B94" s="19">
        <f t="shared" si="2"/>
        <v>0</v>
      </c>
      <c r="C94" s="19">
        <f t="shared" si="3"/>
        <v>0</v>
      </c>
      <c r="D94" s="19">
        <f>Monthly_payment($B$1,$D$1,$B$3)*'PSA&amp;CPR（function) '!O94</f>
        <v>0</v>
      </c>
      <c r="E94" s="19">
        <f>Principle_portion_of_payment($B$1,$D$1,A94,$B$3)*'PSA&amp;CPR（function) '!O94</f>
        <v>0</v>
      </c>
      <c r="F94" s="19">
        <f>Interest_portion_of_payment($B$1,$D$1,A94,$B$3)*'PSA&amp;CPR（function) '!O94</f>
        <v>0</v>
      </c>
      <c r="G94" s="19">
        <f>(B94-E94)*'PSA&amp;CPR（function) '!G95</f>
        <v>0</v>
      </c>
      <c r="H94" s="19">
        <f>Remaining_balance($B$1,$D$1,A94,$B$3)*'PSA&amp;CPR（function) '!O95</f>
        <v>0</v>
      </c>
    </row>
    <row r="95" spans="1:8">
      <c r="A95">
        <f>'PSA&amp;CPR'!A95</f>
        <v>93</v>
      </c>
      <c r="B95" s="19">
        <f t="shared" si="2"/>
        <v>0</v>
      </c>
      <c r="C95" s="19">
        <f t="shared" si="3"/>
        <v>0</v>
      </c>
      <c r="D95" s="19">
        <f>Monthly_payment($B$1,$D$1,$B$3)*'PSA&amp;CPR（function) '!O95</f>
        <v>0</v>
      </c>
      <c r="E95" s="19">
        <f>Principle_portion_of_payment($B$1,$D$1,A95,$B$3)*'PSA&amp;CPR（function) '!O95</f>
        <v>0</v>
      </c>
      <c r="F95" s="19">
        <f>Interest_portion_of_payment($B$1,$D$1,A95,$B$3)*'PSA&amp;CPR（function) '!O95</f>
        <v>0</v>
      </c>
      <c r="G95" s="19">
        <f>(B95-E95)*'PSA&amp;CPR（function) '!G96</f>
        <v>0</v>
      </c>
      <c r="H95" s="19">
        <f>Remaining_balance($B$1,$D$1,A95,$B$3)*'PSA&amp;CPR（function) '!O96</f>
        <v>0</v>
      </c>
    </row>
    <row r="96" spans="1:8">
      <c r="A96">
        <f>'PSA&amp;CPR'!A96</f>
        <v>94</v>
      </c>
      <c r="B96" s="19">
        <f t="shared" si="2"/>
        <v>0</v>
      </c>
      <c r="C96" s="19">
        <f t="shared" si="3"/>
        <v>0</v>
      </c>
      <c r="D96" s="19">
        <f>Monthly_payment($B$1,$D$1,$B$3)*'PSA&amp;CPR（function) '!O96</f>
        <v>0</v>
      </c>
      <c r="E96" s="19">
        <f>Principle_portion_of_payment($B$1,$D$1,A96,$B$3)*'PSA&amp;CPR（function) '!O96</f>
        <v>0</v>
      </c>
      <c r="F96" s="19">
        <f>Interest_portion_of_payment($B$1,$D$1,A96,$B$3)*'PSA&amp;CPR（function) '!O96</f>
        <v>0</v>
      </c>
      <c r="G96" s="19">
        <f>(B96-E96)*'PSA&amp;CPR（function) '!G97</f>
        <v>0</v>
      </c>
      <c r="H96" s="19">
        <f>Remaining_balance($B$1,$D$1,A96,$B$3)*'PSA&amp;CPR（function) '!O97</f>
        <v>0</v>
      </c>
    </row>
    <row r="97" spans="1:8">
      <c r="A97">
        <f>'PSA&amp;CPR'!A97</f>
        <v>95</v>
      </c>
      <c r="B97" s="19">
        <f t="shared" si="2"/>
        <v>0</v>
      </c>
      <c r="C97" s="19">
        <f t="shared" si="3"/>
        <v>0</v>
      </c>
      <c r="D97" s="19">
        <f>Monthly_payment($B$1,$D$1,$B$3)*'PSA&amp;CPR（function) '!O97</f>
        <v>0</v>
      </c>
      <c r="E97" s="19">
        <f>Principle_portion_of_payment($B$1,$D$1,A97,$B$3)*'PSA&amp;CPR（function) '!O97</f>
        <v>0</v>
      </c>
      <c r="F97" s="19">
        <f>Interest_portion_of_payment($B$1,$D$1,A97,$B$3)*'PSA&amp;CPR（function) '!O97</f>
        <v>0</v>
      </c>
      <c r="G97" s="19">
        <f>(B97-E97)*'PSA&amp;CPR（function) '!G98</f>
        <v>0</v>
      </c>
      <c r="H97" s="19">
        <f>Remaining_balance($B$1,$D$1,A97,$B$3)*'PSA&amp;CPR（function) '!O98</f>
        <v>0</v>
      </c>
    </row>
    <row r="98" spans="1:8">
      <c r="A98">
        <f>'PSA&amp;CPR'!A98</f>
        <v>96</v>
      </c>
      <c r="B98" s="19">
        <f t="shared" si="2"/>
        <v>0</v>
      </c>
      <c r="C98" s="19">
        <f t="shared" si="3"/>
        <v>0</v>
      </c>
      <c r="D98" s="19">
        <f>Monthly_payment($B$1,$D$1,$B$3)*'PSA&amp;CPR（function) '!O98</f>
        <v>0</v>
      </c>
      <c r="E98" s="19">
        <f>Principle_portion_of_payment($B$1,$D$1,A98,$B$3)*'PSA&amp;CPR（function) '!O98</f>
        <v>0</v>
      </c>
      <c r="F98" s="19">
        <f>Interest_portion_of_payment($B$1,$D$1,A98,$B$3)*'PSA&amp;CPR（function) '!O98</f>
        <v>0</v>
      </c>
      <c r="G98" s="19">
        <f>(B98-E98)*'PSA&amp;CPR（function) '!G99</f>
        <v>0</v>
      </c>
      <c r="H98" s="19">
        <f>Remaining_balance($B$1,$D$1,A98,$B$3)*'PSA&amp;CPR（function) '!O99</f>
        <v>0</v>
      </c>
    </row>
    <row r="99" spans="1:8">
      <c r="A99">
        <f>'PSA&amp;CPR'!A99</f>
        <v>97</v>
      </c>
      <c r="B99" s="19">
        <f t="shared" si="2"/>
        <v>0</v>
      </c>
      <c r="C99" s="19">
        <f t="shared" si="3"/>
        <v>0</v>
      </c>
      <c r="D99" s="19">
        <f>Monthly_payment($B$1,$D$1,$B$3)*'PSA&amp;CPR（function) '!O99</f>
        <v>0</v>
      </c>
      <c r="E99" s="19">
        <f>Principle_portion_of_payment($B$1,$D$1,A99,$B$3)*'PSA&amp;CPR（function) '!O99</f>
        <v>0</v>
      </c>
      <c r="F99" s="19">
        <f>Interest_portion_of_payment($B$1,$D$1,A99,$B$3)*'PSA&amp;CPR（function) '!O99</f>
        <v>0</v>
      </c>
      <c r="G99" s="19">
        <f>(B99-E99)*'PSA&amp;CPR（function) '!G100</f>
        <v>0</v>
      </c>
      <c r="H99" s="19">
        <f>Remaining_balance($B$1,$D$1,A99,$B$3)*'PSA&amp;CPR（function) '!O100</f>
        <v>0</v>
      </c>
    </row>
    <row r="100" spans="1:8">
      <c r="A100">
        <f>'PSA&amp;CPR'!A100</f>
        <v>98</v>
      </c>
      <c r="B100" s="19">
        <f t="shared" si="2"/>
        <v>0</v>
      </c>
      <c r="C100" s="19">
        <f t="shared" si="3"/>
        <v>0</v>
      </c>
      <c r="D100" s="19">
        <f>Monthly_payment($B$1,$D$1,$B$3)*'PSA&amp;CPR（function) '!O100</f>
        <v>0</v>
      </c>
      <c r="E100" s="19">
        <f>Principle_portion_of_payment($B$1,$D$1,A100,$B$3)*'PSA&amp;CPR（function) '!O100</f>
        <v>0</v>
      </c>
      <c r="F100" s="19">
        <f>Interest_portion_of_payment($B$1,$D$1,A100,$B$3)*'PSA&amp;CPR（function) '!O100</f>
        <v>0</v>
      </c>
      <c r="G100" s="19">
        <f>(B100-E100)*'PSA&amp;CPR（function) '!G101</f>
        <v>0</v>
      </c>
      <c r="H100" s="19">
        <f>Remaining_balance($B$1,$D$1,A100,$B$3)*'PSA&amp;CPR（function) '!O101</f>
        <v>0</v>
      </c>
    </row>
    <row r="101" spans="1:8">
      <c r="A101">
        <f>'PSA&amp;CPR'!A101</f>
        <v>99</v>
      </c>
      <c r="B101" s="19">
        <f t="shared" si="2"/>
        <v>0</v>
      </c>
      <c r="C101" s="19">
        <f t="shared" si="3"/>
        <v>0</v>
      </c>
      <c r="D101" s="19">
        <f>Monthly_payment($B$1,$D$1,$B$3)*'PSA&amp;CPR（function) '!O101</f>
        <v>0</v>
      </c>
      <c r="E101" s="19">
        <f>Principle_portion_of_payment($B$1,$D$1,A101,$B$3)*'PSA&amp;CPR（function) '!O101</f>
        <v>0</v>
      </c>
      <c r="F101" s="19">
        <f>Interest_portion_of_payment($B$1,$D$1,A101,$B$3)*'PSA&amp;CPR（function) '!O101</f>
        <v>0</v>
      </c>
      <c r="G101" s="19">
        <f>(B101-E101)*'PSA&amp;CPR（function) '!G102</f>
        <v>0</v>
      </c>
      <c r="H101" s="19">
        <f>Remaining_balance($B$1,$D$1,A101,$B$3)*'PSA&amp;CPR（function) '!O102</f>
        <v>0</v>
      </c>
    </row>
    <row r="102" spans="1:8">
      <c r="A102">
        <f>'PSA&amp;CPR'!A102</f>
        <v>100</v>
      </c>
      <c r="B102" s="19">
        <f t="shared" si="2"/>
        <v>0</v>
      </c>
      <c r="C102" s="19">
        <f t="shared" si="3"/>
        <v>0</v>
      </c>
      <c r="D102" s="19">
        <f>Monthly_payment($B$1,$D$1,$B$3)*'PSA&amp;CPR（function) '!O102</f>
        <v>0</v>
      </c>
      <c r="E102" s="19">
        <f>Principle_portion_of_payment($B$1,$D$1,A102,$B$3)*'PSA&amp;CPR（function) '!O102</f>
        <v>0</v>
      </c>
      <c r="F102" s="19">
        <f>Interest_portion_of_payment($B$1,$D$1,A102,$B$3)*'PSA&amp;CPR（function) '!O102</f>
        <v>0</v>
      </c>
      <c r="G102" s="19">
        <f>(B102-E102)*'PSA&amp;CPR（function) '!G103</f>
        <v>0</v>
      </c>
      <c r="H102" s="19">
        <f>Remaining_balance($B$1,$D$1,A102,$B$3)*'PSA&amp;CPR（function) '!O103</f>
        <v>0</v>
      </c>
    </row>
    <row r="103" spans="1:8">
      <c r="A103">
        <f>'PSA&amp;CPR'!A103</f>
        <v>101</v>
      </c>
      <c r="B103" s="19">
        <f t="shared" si="2"/>
        <v>0</v>
      </c>
      <c r="C103" s="19">
        <f t="shared" si="3"/>
        <v>0</v>
      </c>
      <c r="D103" s="19">
        <f>Monthly_payment($B$1,$D$1,$B$3)*'PSA&amp;CPR（function) '!O103</f>
        <v>0</v>
      </c>
      <c r="E103" s="19">
        <f>Principle_portion_of_payment($B$1,$D$1,A103,$B$3)*'PSA&amp;CPR（function) '!O103</f>
        <v>0</v>
      </c>
      <c r="F103" s="19">
        <f>Interest_portion_of_payment($B$1,$D$1,A103,$B$3)*'PSA&amp;CPR（function) '!O103</f>
        <v>0</v>
      </c>
      <c r="G103" s="19">
        <f>(B103-E103)*'PSA&amp;CPR（function) '!G104</f>
        <v>0</v>
      </c>
      <c r="H103" s="19">
        <f>Remaining_balance($B$1,$D$1,A103,$B$3)*'PSA&amp;CPR（function) '!O104</f>
        <v>0</v>
      </c>
    </row>
    <row r="104" spans="1:8">
      <c r="A104">
        <f>'PSA&amp;CPR'!A104</f>
        <v>102</v>
      </c>
      <c r="B104" s="19">
        <f t="shared" si="2"/>
        <v>0</v>
      </c>
      <c r="C104" s="19">
        <f t="shared" si="3"/>
        <v>0</v>
      </c>
      <c r="D104" s="19">
        <f>Monthly_payment($B$1,$D$1,$B$3)*'PSA&amp;CPR（function) '!O104</f>
        <v>0</v>
      </c>
      <c r="E104" s="19">
        <f>Principle_portion_of_payment($B$1,$D$1,A104,$B$3)*'PSA&amp;CPR（function) '!O104</f>
        <v>0</v>
      </c>
      <c r="F104" s="19">
        <f>Interest_portion_of_payment($B$1,$D$1,A104,$B$3)*'PSA&amp;CPR（function) '!O104</f>
        <v>0</v>
      </c>
      <c r="G104" s="19">
        <f>(B104-E104)*'PSA&amp;CPR（function) '!G105</f>
        <v>0</v>
      </c>
      <c r="H104" s="19">
        <f>Remaining_balance($B$1,$D$1,A104,$B$3)*'PSA&amp;CPR（function) '!O105</f>
        <v>0</v>
      </c>
    </row>
    <row r="105" spans="1:8">
      <c r="A105">
        <f>'PSA&amp;CPR'!A105</f>
        <v>103</v>
      </c>
      <c r="B105" s="19">
        <f t="shared" si="2"/>
        <v>0</v>
      </c>
      <c r="C105" s="19">
        <f t="shared" si="3"/>
        <v>0</v>
      </c>
      <c r="D105" s="19">
        <f>Monthly_payment($B$1,$D$1,$B$3)*'PSA&amp;CPR（function) '!O105</f>
        <v>0</v>
      </c>
      <c r="E105" s="19">
        <f>Principle_portion_of_payment($B$1,$D$1,A105,$B$3)*'PSA&amp;CPR（function) '!O105</f>
        <v>0</v>
      </c>
      <c r="F105" s="19">
        <f>Interest_portion_of_payment($B$1,$D$1,A105,$B$3)*'PSA&amp;CPR（function) '!O105</f>
        <v>0</v>
      </c>
      <c r="G105" s="19">
        <f>(B105-E105)*'PSA&amp;CPR（function) '!G106</f>
        <v>0</v>
      </c>
      <c r="H105" s="19">
        <f>Remaining_balance($B$1,$D$1,A105,$B$3)*'PSA&amp;CPR（function) '!O106</f>
        <v>0</v>
      </c>
    </row>
    <row r="106" spans="1:8">
      <c r="A106">
        <f>'PSA&amp;CPR'!A106</f>
        <v>104</v>
      </c>
      <c r="B106" s="19">
        <f t="shared" si="2"/>
        <v>0</v>
      </c>
      <c r="C106" s="19">
        <f t="shared" si="3"/>
        <v>0</v>
      </c>
      <c r="D106" s="19">
        <f>Monthly_payment($B$1,$D$1,$B$3)*'PSA&amp;CPR（function) '!O106</f>
        <v>0</v>
      </c>
      <c r="E106" s="19">
        <f>Principle_portion_of_payment($B$1,$D$1,A106,$B$3)*'PSA&amp;CPR（function) '!O106</f>
        <v>0</v>
      </c>
      <c r="F106" s="19">
        <f>Interest_portion_of_payment($B$1,$D$1,A106,$B$3)*'PSA&amp;CPR（function) '!O106</f>
        <v>0</v>
      </c>
      <c r="G106" s="19">
        <f>(B106-E106)*'PSA&amp;CPR（function) '!G107</f>
        <v>0</v>
      </c>
      <c r="H106" s="19">
        <f>Remaining_balance($B$1,$D$1,A106,$B$3)*'PSA&amp;CPR（function) '!O107</f>
        <v>0</v>
      </c>
    </row>
    <row r="107" spans="1:8">
      <c r="A107">
        <f>'PSA&amp;CPR'!A107</f>
        <v>105</v>
      </c>
      <c r="B107" s="19">
        <f t="shared" si="2"/>
        <v>0</v>
      </c>
      <c r="C107" s="19">
        <f t="shared" si="3"/>
        <v>0</v>
      </c>
      <c r="D107" s="19">
        <f>Monthly_payment($B$1,$D$1,$B$3)*'PSA&amp;CPR（function) '!O107</f>
        <v>0</v>
      </c>
      <c r="E107" s="19">
        <f>Principle_portion_of_payment($B$1,$D$1,A107,$B$3)*'PSA&amp;CPR（function) '!O107</f>
        <v>0</v>
      </c>
      <c r="F107" s="19">
        <f>Interest_portion_of_payment($B$1,$D$1,A107,$B$3)*'PSA&amp;CPR（function) '!O107</f>
        <v>0</v>
      </c>
      <c r="G107" s="19">
        <f>(B107-E107)*'PSA&amp;CPR（function) '!G108</f>
        <v>0</v>
      </c>
      <c r="H107" s="19">
        <f>Remaining_balance($B$1,$D$1,A107,$B$3)*'PSA&amp;CPR（function) '!O108</f>
        <v>0</v>
      </c>
    </row>
    <row r="108" spans="1:8">
      <c r="A108">
        <f>'PSA&amp;CPR'!A108</f>
        <v>106</v>
      </c>
      <c r="B108" s="19">
        <f t="shared" si="2"/>
        <v>0</v>
      </c>
      <c r="C108" s="19">
        <f t="shared" si="3"/>
        <v>0</v>
      </c>
      <c r="D108" s="19">
        <f>Monthly_payment($B$1,$D$1,$B$3)*'PSA&amp;CPR（function) '!O108</f>
        <v>0</v>
      </c>
      <c r="E108" s="19">
        <f>Principle_portion_of_payment($B$1,$D$1,A108,$B$3)*'PSA&amp;CPR（function) '!O108</f>
        <v>0</v>
      </c>
      <c r="F108" s="19">
        <f>Interest_portion_of_payment($B$1,$D$1,A108,$B$3)*'PSA&amp;CPR（function) '!O108</f>
        <v>0</v>
      </c>
      <c r="G108" s="19">
        <f>(B108-E108)*'PSA&amp;CPR（function) '!G109</f>
        <v>0</v>
      </c>
      <c r="H108" s="19">
        <f>Remaining_balance($B$1,$D$1,A108,$B$3)*'PSA&amp;CPR（function) '!O109</f>
        <v>0</v>
      </c>
    </row>
    <row r="109" spans="1:8">
      <c r="A109">
        <f>'PSA&amp;CPR'!A109</f>
        <v>107</v>
      </c>
      <c r="B109" s="19">
        <f t="shared" si="2"/>
        <v>0</v>
      </c>
      <c r="C109" s="19">
        <f t="shared" si="3"/>
        <v>0</v>
      </c>
      <c r="D109" s="19">
        <f>Monthly_payment($B$1,$D$1,$B$3)*'PSA&amp;CPR（function) '!O109</f>
        <v>0</v>
      </c>
      <c r="E109" s="19">
        <f>Principle_portion_of_payment($B$1,$D$1,A109,$B$3)*'PSA&amp;CPR（function) '!O109</f>
        <v>0</v>
      </c>
      <c r="F109" s="19">
        <f>Interest_portion_of_payment($B$1,$D$1,A109,$B$3)*'PSA&amp;CPR（function) '!O109</f>
        <v>0</v>
      </c>
      <c r="G109" s="19">
        <f>(B109-E109)*'PSA&amp;CPR（function) '!G110</f>
        <v>0</v>
      </c>
      <c r="H109" s="19">
        <f>Remaining_balance($B$1,$D$1,A109,$B$3)*'PSA&amp;CPR（function) '!O110</f>
        <v>0</v>
      </c>
    </row>
    <row r="110" spans="1:8">
      <c r="A110">
        <f>'PSA&amp;CPR'!A110</f>
        <v>108</v>
      </c>
      <c r="B110" s="19">
        <f t="shared" si="2"/>
        <v>0</v>
      </c>
      <c r="C110" s="19">
        <f t="shared" si="3"/>
        <v>0</v>
      </c>
      <c r="D110" s="19">
        <f>Monthly_payment($B$1,$D$1,$B$3)*'PSA&amp;CPR（function) '!O110</f>
        <v>0</v>
      </c>
      <c r="E110" s="19">
        <f>Principle_portion_of_payment($B$1,$D$1,A110,$B$3)*'PSA&amp;CPR（function) '!O110</f>
        <v>0</v>
      </c>
      <c r="F110" s="19">
        <f>Interest_portion_of_payment($B$1,$D$1,A110,$B$3)*'PSA&amp;CPR（function) '!O110</f>
        <v>0</v>
      </c>
      <c r="G110" s="19">
        <f>(B110-E110)*'PSA&amp;CPR（function) '!G111</f>
        <v>0</v>
      </c>
      <c r="H110" s="19">
        <f>Remaining_balance($B$1,$D$1,A110,$B$3)*'PSA&amp;CPR（function) '!O111</f>
        <v>0</v>
      </c>
    </row>
    <row r="111" spans="1:8">
      <c r="A111">
        <f>'PSA&amp;CPR'!A111</f>
        <v>109</v>
      </c>
      <c r="B111" s="19">
        <f t="shared" si="2"/>
        <v>0</v>
      </c>
      <c r="C111" s="19">
        <f t="shared" si="3"/>
        <v>0</v>
      </c>
      <c r="D111" s="19">
        <f>Monthly_payment($B$1,$D$1,$B$3)*'PSA&amp;CPR（function) '!O111</f>
        <v>0</v>
      </c>
      <c r="E111" s="19">
        <f>Principle_portion_of_payment($B$1,$D$1,A111,$B$3)*'PSA&amp;CPR（function) '!O111</f>
        <v>0</v>
      </c>
      <c r="F111" s="19">
        <f>Interest_portion_of_payment($B$1,$D$1,A111,$B$3)*'PSA&amp;CPR（function) '!O111</f>
        <v>0</v>
      </c>
      <c r="G111" s="19">
        <f>(B111-E111)*'PSA&amp;CPR（function) '!G112</f>
        <v>0</v>
      </c>
      <c r="H111" s="19">
        <f>Remaining_balance($B$1,$D$1,A111,$B$3)*'PSA&amp;CPR（function) '!O112</f>
        <v>0</v>
      </c>
    </row>
    <row r="112" spans="1:8">
      <c r="A112">
        <f>'PSA&amp;CPR'!A112</f>
        <v>110</v>
      </c>
      <c r="B112" s="19">
        <f t="shared" si="2"/>
        <v>0</v>
      </c>
      <c r="C112" s="19">
        <f t="shared" si="3"/>
        <v>0</v>
      </c>
      <c r="D112" s="19">
        <f>Monthly_payment($B$1,$D$1,$B$3)*'PSA&amp;CPR（function) '!O112</f>
        <v>0</v>
      </c>
      <c r="E112" s="19">
        <f>Principle_portion_of_payment($B$1,$D$1,A112,$B$3)*'PSA&amp;CPR（function) '!O112</f>
        <v>0</v>
      </c>
      <c r="F112" s="19">
        <f>Interest_portion_of_payment($B$1,$D$1,A112,$B$3)*'PSA&amp;CPR（function) '!O112</f>
        <v>0</v>
      </c>
      <c r="G112" s="19">
        <f>(B112-E112)*'PSA&amp;CPR（function) '!G113</f>
        <v>0</v>
      </c>
      <c r="H112" s="19">
        <f>Remaining_balance($B$1,$D$1,A112,$B$3)*'PSA&amp;CPR（function) '!O113</f>
        <v>0</v>
      </c>
    </row>
    <row r="113" spans="1:8">
      <c r="A113">
        <f>'PSA&amp;CPR'!A113</f>
        <v>111</v>
      </c>
      <c r="B113" s="19">
        <f t="shared" si="2"/>
        <v>0</v>
      </c>
      <c r="C113" s="19">
        <f t="shared" si="3"/>
        <v>0</v>
      </c>
      <c r="D113" s="19">
        <f>Monthly_payment($B$1,$D$1,$B$3)*'PSA&amp;CPR（function) '!O113</f>
        <v>0</v>
      </c>
      <c r="E113" s="19">
        <f>Principle_portion_of_payment($B$1,$D$1,A113,$B$3)*'PSA&amp;CPR（function) '!O113</f>
        <v>0</v>
      </c>
      <c r="F113" s="19">
        <f>Interest_portion_of_payment($B$1,$D$1,A113,$B$3)*'PSA&amp;CPR（function) '!O113</f>
        <v>0</v>
      </c>
      <c r="G113" s="19">
        <f>(B113-E113)*'PSA&amp;CPR（function) '!G114</f>
        <v>0</v>
      </c>
      <c r="H113" s="19">
        <f>Remaining_balance($B$1,$D$1,A113,$B$3)*'PSA&amp;CPR（function) '!O114</f>
        <v>0</v>
      </c>
    </row>
    <row r="114" spans="1:8">
      <c r="A114">
        <f>'PSA&amp;CPR'!A114</f>
        <v>112</v>
      </c>
      <c r="B114" s="19">
        <f t="shared" si="2"/>
        <v>0</v>
      </c>
      <c r="C114" s="19">
        <f t="shared" si="3"/>
        <v>0</v>
      </c>
      <c r="D114" s="19">
        <f>Monthly_payment($B$1,$D$1,$B$3)*'PSA&amp;CPR（function) '!O114</f>
        <v>0</v>
      </c>
      <c r="E114" s="19">
        <f>Principle_portion_of_payment($B$1,$D$1,A114,$B$3)*'PSA&amp;CPR（function) '!O114</f>
        <v>0</v>
      </c>
      <c r="F114" s="19">
        <f>Interest_portion_of_payment($B$1,$D$1,A114,$B$3)*'PSA&amp;CPR（function) '!O114</f>
        <v>0</v>
      </c>
      <c r="G114" s="19">
        <f>(B114-E114)*'PSA&amp;CPR（function) '!G115</f>
        <v>0</v>
      </c>
      <c r="H114" s="19">
        <f>Remaining_balance($B$1,$D$1,A114,$B$3)*'PSA&amp;CPR（function) '!O115</f>
        <v>0</v>
      </c>
    </row>
    <row r="115" spans="1:8">
      <c r="A115">
        <f>'PSA&amp;CPR'!A115</f>
        <v>113</v>
      </c>
      <c r="B115" s="19">
        <f t="shared" si="2"/>
        <v>0</v>
      </c>
      <c r="C115" s="19">
        <f t="shared" si="3"/>
        <v>0</v>
      </c>
      <c r="D115" s="19">
        <f>Monthly_payment($B$1,$D$1,$B$3)*'PSA&amp;CPR（function) '!O115</f>
        <v>0</v>
      </c>
      <c r="E115" s="19">
        <f>Principle_portion_of_payment($B$1,$D$1,A115,$B$3)*'PSA&amp;CPR（function) '!O115</f>
        <v>0</v>
      </c>
      <c r="F115" s="19">
        <f>Interest_portion_of_payment($B$1,$D$1,A115,$B$3)*'PSA&amp;CPR（function) '!O115</f>
        <v>0</v>
      </c>
      <c r="G115" s="19">
        <f>(B115-E115)*'PSA&amp;CPR（function) '!G116</f>
        <v>0</v>
      </c>
      <c r="H115" s="19">
        <f>Remaining_balance($B$1,$D$1,A115,$B$3)*'PSA&amp;CPR（function) '!O116</f>
        <v>0</v>
      </c>
    </row>
    <row r="116" spans="1:8">
      <c r="A116">
        <f>'PSA&amp;CPR'!A116</f>
        <v>114</v>
      </c>
      <c r="B116" s="19">
        <f t="shared" si="2"/>
        <v>0</v>
      </c>
      <c r="C116" s="19">
        <f t="shared" si="3"/>
        <v>0</v>
      </c>
      <c r="D116" s="19">
        <f>Monthly_payment($B$1,$D$1,$B$3)*'PSA&amp;CPR（function) '!O116</f>
        <v>0</v>
      </c>
      <c r="E116" s="19">
        <f>Principle_portion_of_payment($B$1,$D$1,A116,$B$3)*'PSA&amp;CPR（function) '!O116</f>
        <v>0</v>
      </c>
      <c r="F116" s="19">
        <f>Interest_portion_of_payment($B$1,$D$1,A116,$B$3)*'PSA&amp;CPR（function) '!O116</f>
        <v>0</v>
      </c>
      <c r="G116" s="19">
        <f>(B116-E116)*'PSA&amp;CPR（function) '!G117</f>
        <v>0</v>
      </c>
      <c r="H116" s="19">
        <f>Remaining_balance($B$1,$D$1,A116,$B$3)*'PSA&amp;CPR（function) '!O117</f>
        <v>0</v>
      </c>
    </row>
    <row r="117" spans="1:8">
      <c r="A117">
        <f>'PSA&amp;CPR'!A117</f>
        <v>115</v>
      </c>
      <c r="B117" s="19">
        <f t="shared" si="2"/>
        <v>0</v>
      </c>
      <c r="C117" s="19">
        <f t="shared" si="3"/>
        <v>0</v>
      </c>
      <c r="D117" s="19">
        <f>Monthly_payment($B$1,$D$1,$B$3)*'PSA&amp;CPR（function) '!O117</f>
        <v>0</v>
      </c>
      <c r="E117" s="19">
        <f>Principle_portion_of_payment($B$1,$D$1,A117,$B$3)*'PSA&amp;CPR（function) '!O117</f>
        <v>0</v>
      </c>
      <c r="F117" s="19">
        <f>Interest_portion_of_payment($B$1,$D$1,A117,$B$3)*'PSA&amp;CPR（function) '!O117</f>
        <v>0</v>
      </c>
      <c r="G117" s="19">
        <f>(B117-E117)*'PSA&amp;CPR（function) '!G118</f>
        <v>0</v>
      </c>
      <c r="H117" s="19">
        <f>Remaining_balance($B$1,$D$1,A117,$B$3)*'PSA&amp;CPR（function) '!O118</f>
        <v>0</v>
      </c>
    </row>
    <row r="118" spans="1:8">
      <c r="A118">
        <f>'PSA&amp;CPR'!A118</f>
        <v>116</v>
      </c>
      <c r="B118" s="19">
        <f t="shared" si="2"/>
        <v>0</v>
      </c>
      <c r="C118" s="19">
        <f t="shared" si="3"/>
        <v>0</v>
      </c>
      <c r="D118" s="19">
        <f>Monthly_payment($B$1,$D$1,$B$3)*'PSA&amp;CPR（function) '!O118</f>
        <v>0</v>
      </c>
      <c r="E118" s="19">
        <f>Principle_portion_of_payment($B$1,$D$1,A118,$B$3)*'PSA&amp;CPR（function) '!O118</f>
        <v>0</v>
      </c>
      <c r="F118" s="19">
        <f>Interest_portion_of_payment($B$1,$D$1,A118,$B$3)*'PSA&amp;CPR（function) '!O118</f>
        <v>0</v>
      </c>
      <c r="G118" s="19">
        <f>(B118-E118)*'PSA&amp;CPR（function) '!G119</f>
        <v>0</v>
      </c>
      <c r="H118" s="19">
        <f>Remaining_balance($B$1,$D$1,A118,$B$3)*'PSA&amp;CPR（function) '!O119</f>
        <v>0</v>
      </c>
    </row>
    <row r="119" spans="1:8">
      <c r="A119">
        <f>'PSA&amp;CPR'!A119</f>
        <v>117</v>
      </c>
      <c r="B119" s="19">
        <f t="shared" si="2"/>
        <v>0</v>
      </c>
      <c r="C119" s="19">
        <f t="shared" si="3"/>
        <v>0</v>
      </c>
      <c r="D119" s="19">
        <f>Monthly_payment($B$1,$D$1,$B$3)*'PSA&amp;CPR（function) '!O119</f>
        <v>0</v>
      </c>
      <c r="E119" s="19">
        <f>Principle_portion_of_payment($B$1,$D$1,A119,$B$3)*'PSA&amp;CPR（function) '!O119</f>
        <v>0</v>
      </c>
      <c r="F119" s="19">
        <f>Interest_portion_of_payment($B$1,$D$1,A119,$B$3)*'PSA&amp;CPR（function) '!O119</f>
        <v>0</v>
      </c>
      <c r="G119" s="19">
        <f>(B119-E119)*'PSA&amp;CPR（function) '!G120</f>
        <v>0</v>
      </c>
      <c r="H119" s="19">
        <f>Remaining_balance($B$1,$D$1,A119,$B$3)*'PSA&amp;CPR（function) '!O120</f>
        <v>0</v>
      </c>
    </row>
    <row r="120" spans="1:8">
      <c r="A120">
        <f>'PSA&amp;CPR'!A120</f>
        <v>118</v>
      </c>
      <c r="B120" s="19">
        <f t="shared" si="2"/>
        <v>0</v>
      </c>
      <c r="C120" s="19">
        <f t="shared" si="3"/>
        <v>0</v>
      </c>
      <c r="D120" s="19">
        <f>Monthly_payment($B$1,$D$1,$B$3)*'PSA&amp;CPR（function) '!O120</f>
        <v>0</v>
      </c>
      <c r="E120" s="19">
        <f>Principle_portion_of_payment($B$1,$D$1,A120,$B$3)*'PSA&amp;CPR（function) '!O120</f>
        <v>0</v>
      </c>
      <c r="F120" s="19">
        <f>Interest_portion_of_payment($B$1,$D$1,A120,$B$3)*'PSA&amp;CPR（function) '!O120</f>
        <v>0</v>
      </c>
      <c r="G120" s="19">
        <f>(B120-E120)*'PSA&amp;CPR（function) '!G121</f>
        <v>0</v>
      </c>
      <c r="H120" s="19">
        <f>Remaining_balance($B$1,$D$1,A120,$B$3)*'PSA&amp;CPR（function) '!O121</f>
        <v>0</v>
      </c>
    </row>
    <row r="121" spans="1:8">
      <c r="A121">
        <f>'PSA&amp;CPR'!A121</f>
        <v>119</v>
      </c>
      <c r="B121" s="19">
        <f t="shared" si="2"/>
        <v>0</v>
      </c>
      <c r="C121" s="19">
        <f t="shared" si="3"/>
        <v>0</v>
      </c>
      <c r="D121" s="19">
        <f>Monthly_payment($B$1,$D$1,$B$3)*'PSA&amp;CPR（function) '!O121</f>
        <v>0</v>
      </c>
      <c r="E121" s="19">
        <f>Principle_portion_of_payment($B$1,$D$1,A121,$B$3)*'PSA&amp;CPR（function) '!O121</f>
        <v>0</v>
      </c>
      <c r="F121" s="19">
        <f>Interest_portion_of_payment($B$1,$D$1,A121,$B$3)*'PSA&amp;CPR（function) '!O121</f>
        <v>0</v>
      </c>
      <c r="G121" s="19">
        <f>(B121-E121)*'PSA&amp;CPR（function) '!G122</f>
        <v>0</v>
      </c>
      <c r="H121" s="19">
        <f>Remaining_balance($B$1,$D$1,A121,$B$3)*'PSA&amp;CPR（function) '!O122</f>
        <v>0</v>
      </c>
    </row>
    <row r="122" spans="1:8">
      <c r="A122">
        <f>'PSA&amp;CPR'!A122</f>
        <v>120</v>
      </c>
      <c r="B122" s="19">
        <f t="shared" si="2"/>
        <v>0</v>
      </c>
      <c r="C122" s="19">
        <f t="shared" si="3"/>
        <v>0</v>
      </c>
      <c r="D122" s="19">
        <f>Monthly_payment($B$1,$D$1,$B$3)*'PSA&amp;CPR（function) '!O122</f>
        <v>0</v>
      </c>
      <c r="E122" s="19">
        <f>Principle_portion_of_payment($B$1,$D$1,A122,$B$3)*'PSA&amp;CPR（function) '!O122</f>
        <v>0</v>
      </c>
      <c r="F122" s="19">
        <f>Interest_portion_of_payment($B$1,$D$1,A122,$B$3)*'PSA&amp;CPR（function) '!O122</f>
        <v>0</v>
      </c>
      <c r="G122" s="19">
        <f>(B122-E122)*'PSA&amp;CPR（function) '!G123</f>
        <v>0</v>
      </c>
      <c r="H122" s="19">
        <f>Remaining_balance($B$1,$D$1,A122,$B$3)*'PSA&amp;CPR（function) '!O123</f>
        <v>0</v>
      </c>
    </row>
    <row r="123" spans="1:8">
      <c r="A123">
        <f>'PSA&amp;CPR'!A123</f>
        <v>121</v>
      </c>
      <c r="B123" s="19">
        <f t="shared" si="2"/>
        <v>0</v>
      </c>
      <c r="C123" s="19">
        <f t="shared" si="3"/>
        <v>0</v>
      </c>
      <c r="D123" s="19">
        <f>Monthly_payment($B$1,$D$1,$B$3)*'PSA&amp;CPR（function) '!O123</f>
        <v>0</v>
      </c>
      <c r="E123" s="19">
        <f>Principle_portion_of_payment($B$1,$D$1,A123,$B$3)*'PSA&amp;CPR（function) '!O123</f>
        <v>0</v>
      </c>
      <c r="F123" s="19">
        <f>Interest_portion_of_payment($B$1,$D$1,A123,$B$3)*'PSA&amp;CPR（function) '!O123</f>
        <v>0</v>
      </c>
      <c r="G123" s="19">
        <f>(B123-E123)*'PSA&amp;CPR（function) '!G124</f>
        <v>0</v>
      </c>
      <c r="H123" s="19">
        <f>Remaining_balance($B$1,$D$1,A123,$B$3)*'PSA&amp;CPR（function) '!O124</f>
        <v>0</v>
      </c>
    </row>
    <row r="124" spans="1:8">
      <c r="A124">
        <f>'PSA&amp;CPR'!A124</f>
        <v>122</v>
      </c>
      <c r="B124" s="19">
        <f t="shared" si="2"/>
        <v>0</v>
      </c>
      <c r="C124" s="19">
        <f t="shared" si="3"/>
        <v>0</v>
      </c>
      <c r="D124" s="19">
        <f>Monthly_payment($B$1,$D$1,$B$3)*'PSA&amp;CPR（function) '!O124</f>
        <v>0</v>
      </c>
      <c r="E124" s="19">
        <f>Principle_portion_of_payment($B$1,$D$1,A124,$B$3)*'PSA&amp;CPR（function) '!O124</f>
        <v>0</v>
      </c>
      <c r="F124" s="19">
        <f>Interest_portion_of_payment($B$1,$D$1,A124,$B$3)*'PSA&amp;CPR（function) '!O124</f>
        <v>0</v>
      </c>
      <c r="G124" s="19">
        <f>(B124-E124)*'PSA&amp;CPR（function) '!G125</f>
        <v>0</v>
      </c>
      <c r="H124" s="19">
        <f>Remaining_balance($B$1,$D$1,A124,$B$3)*'PSA&amp;CPR（function) '!O125</f>
        <v>0</v>
      </c>
    </row>
    <row r="125" spans="1:8">
      <c r="A125">
        <f>'PSA&amp;CPR'!A125</f>
        <v>123</v>
      </c>
      <c r="B125" s="19">
        <f t="shared" si="2"/>
        <v>0</v>
      </c>
      <c r="C125" s="19">
        <f t="shared" si="3"/>
        <v>0</v>
      </c>
      <c r="D125" s="19">
        <f>Monthly_payment($B$1,$D$1,$B$3)*'PSA&amp;CPR（function) '!O125</f>
        <v>0</v>
      </c>
      <c r="E125" s="19">
        <f>Principle_portion_of_payment($B$1,$D$1,A125,$B$3)*'PSA&amp;CPR（function) '!O125</f>
        <v>0</v>
      </c>
      <c r="F125" s="19">
        <f>Interest_portion_of_payment($B$1,$D$1,A125,$B$3)*'PSA&amp;CPR（function) '!O125</f>
        <v>0</v>
      </c>
      <c r="G125" s="19">
        <f>(B125-E125)*'PSA&amp;CPR（function) '!G126</f>
        <v>0</v>
      </c>
      <c r="H125" s="19">
        <f>Remaining_balance($B$1,$D$1,A125,$B$3)*'PSA&amp;CPR（function) '!O126</f>
        <v>0</v>
      </c>
    </row>
    <row r="126" spans="1:8">
      <c r="A126">
        <f>'PSA&amp;CPR'!A126</f>
        <v>124</v>
      </c>
      <c r="B126" s="19">
        <f t="shared" si="2"/>
        <v>0</v>
      </c>
      <c r="C126" s="19">
        <f t="shared" si="3"/>
        <v>0</v>
      </c>
      <c r="D126" s="19">
        <f>Monthly_payment($B$1,$D$1,$B$3)*'PSA&amp;CPR（function) '!O126</f>
        <v>0</v>
      </c>
      <c r="E126" s="19">
        <f>Principle_portion_of_payment($B$1,$D$1,A126,$B$3)*'PSA&amp;CPR（function) '!O126</f>
        <v>0</v>
      </c>
      <c r="F126" s="19">
        <f>Interest_portion_of_payment($B$1,$D$1,A126,$B$3)*'PSA&amp;CPR（function) '!O126</f>
        <v>0</v>
      </c>
      <c r="G126" s="19">
        <f>(B126-E126)*'PSA&amp;CPR（function) '!G127</f>
        <v>0</v>
      </c>
      <c r="H126" s="19">
        <f>Remaining_balance($B$1,$D$1,A126,$B$3)*'PSA&amp;CPR（function) '!O127</f>
        <v>0</v>
      </c>
    </row>
    <row r="127" spans="1:8">
      <c r="A127">
        <f>'PSA&amp;CPR'!A127</f>
        <v>125</v>
      </c>
      <c r="B127" s="19">
        <f t="shared" si="2"/>
        <v>0</v>
      </c>
      <c r="C127" s="19">
        <f t="shared" si="3"/>
        <v>0</v>
      </c>
      <c r="D127" s="19">
        <f>Monthly_payment($B$1,$D$1,$B$3)*'PSA&amp;CPR（function) '!O127</f>
        <v>0</v>
      </c>
      <c r="E127" s="19">
        <f>Principle_portion_of_payment($B$1,$D$1,A127,$B$3)*'PSA&amp;CPR（function) '!O127</f>
        <v>0</v>
      </c>
      <c r="F127" s="19">
        <f>Interest_portion_of_payment($B$1,$D$1,A127,$B$3)*'PSA&amp;CPR（function) '!O127</f>
        <v>0</v>
      </c>
      <c r="G127" s="19">
        <f>(B127-E127)*'PSA&amp;CPR（function) '!G128</f>
        <v>0</v>
      </c>
      <c r="H127" s="19">
        <f>Remaining_balance($B$1,$D$1,A127,$B$3)*'PSA&amp;CPR（function) '!O128</f>
        <v>0</v>
      </c>
    </row>
    <row r="128" spans="1:8">
      <c r="A128">
        <f>'PSA&amp;CPR'!A128</f>
        <v>126</v>
      </c>
      <c r="B128" s="19">
        <f t="shared" si="2"/>
        <v>0</v>
      </c>
      <c r="C128" s="19">
        <f t="shared" si="3"/>
        <v>0</v>
      </c>
      <c r="D128" s="19">
        <f>Monthly_payment($B$1,$D$1,$B$3)*'PSA&amp;CPR（function) '!O128</f>
        <v>0</v>
      </c>
      <c r="E128" s="19">
        <f>Principle_portion_of_payment($B$1,$D$1,A128,$B$3)*'PSA&amp;CPR（function) '!O128</f>
        <v>0</v>
      </c>
      <c r="F128" s="19">
        <f>Interest_portion_of_payment($B$1,$D$1,A128,$B$3)*'PSA&amp;CPR（function) '!O128</f>
        <v>0</v>
      </c>
      <c r="G128" s="19">
        <f>(B128-E128)*'PSA&amp;CPR（function) '!G129</f>
        <v>0</v>
      </c>
      <c r="H128" s="19">
        <f>Remaining_balance($B$1,$D$1,A128,$B$3)*'PSA&amp;CPR（function) '!O129</f>
        <v>0</v>
      </c>
    </row>
    <row r="129" spans="1:8">
      <c r="A129">
        <f>'PSA&amp;CPR'!A129</f>
        <v>127</v>
      </c>
      <c r="B129" s="19">
        <f t="shared" si="2"/>
        <v>0</v>
      </c>
      <c r="C129" s="19">
        <f t="shared" si="3"/>
        <v>0</v>
      </c>
      <c r="D129" s="19">
        <f>Monthly_payment($B$1,$D$1,$B$3)*'PSA&amp;CPR（function) '!O129</f>
        <v>0</v>
      </c>
      <c r="E129" s="19">
        <f>Principle_portion_of_payment($B$1,$D$1,A129,$B$3)*'PSA&amp;CPR（function) '!O129</f>
        <v>0</v>
      </c>
      <c r="F129" s="19">
        <f>Interest_portion_of_payment($B$1,$D$1,A129,$B$3)*'PSA&amp;CPR（function) '!O129</f>
        <v>0</v>
      </c>
      <c r="G129" s="19">
        <f>(B129-E129)*'PSA&amp;CPR（function) '!G130</f>
        <v>0</v>
      </c>
      <c r="H129" s="19">
        <f>Remaining_balance($B$1,$D$1,A129,$B$3)*'PSA&amp;CPR（function) '!O130</f>
        <v>0</v>
      </c>
    </row>
    <row r="130" spans="1:8">
      <c r="A130">
        <f>'PSA&amp;CPR'!A130</f>
        <v>128</v>
      </c>
      <c r="B130" s="19">
        <f t="shared" si="2"/>
        <v>0</v>
      </c>
      <c r="C130" s="19">
        <f t="shared" si="3"/>
        <v>0</v>
      </c>
      <c r="D130" s="19">
        <f>Monthly_payment($B$1,$D$1,$B$3)*'PSA&amp;CPR（function) '!O130</f>
        <v>0</v>
      </c>
      <c r="E130" s="19">
        <f>Principle_portion_of_payment($B$1,$D$1,A130,$B$3)*'PSA&amp;CPR（function) '!O130</f>
        <v>0</v>
      </c>
      <c r="F130" s="19">
        <f>Interest_portion_of_payment($B$1,$D$1,A130,$B$3)*'PSA&amp;CPR（function) '!O130</f>
        <v>0</v>
      </c>
      <c r="G130" s="19">
        <f>(B130-E130)*'PSA&amp;CPR（function) '!G131</f>
        <v>0</v>
      </c>
      <c r="H130" s="19">
        <f>Remaining_balance($B$1,$D$1,A130,$B$3)*'PSA&amp;CPR（function) '!O131</f>
        <v>0</v>
      </c>
    </row>
    <row r="131" spans="1:8">
      <c r="A131">
        <f>'PSA&amp;CPR'!A131</f>
        <v>129</v>
      </c>
      <c r="B131" s="19">
        <f t="shared" si="2"/>
        <v>0</v>
      </c>
      <c r="C131" s="19">
        <f t="shared" si="3"/>
        <v>0</v>
      </c>
      <c r="D131" s="19">
        <f>Monthly_payment($B$1,$D$1,$B$3)*'PSA&amp;CPR（function) '!O131</f>
        <v>0</v>
      </c>
      <c r="E131" s="19">
        <f>Principle_portion_of_payment($B$1,$D$1,A131,$B$3)*'PSA&amp;CPR（function) '!O131</f>
        <v>0</v>
      </c>
      <c r="F131" s="19">
        <f>Interest_portion_of_payment($B$1,$D$1,A131,$B$3)*'PSA&amp;CPR（function) '!O131</f>
        <v>0</v>
      </c>
      <c r="G131" s="19">
        <f>(B131-E131)*'PSA&amp;CPR（function) '!G132</f>
        <v>0</v>
      </c>
      <c r="H131" s="19">
        <f>Remaining_balance($B$1,$D$1,A131,$B$3)*'PSA&amp;CPR（function) '!O132</f>
        <v>0</v>
      </c>
    </row>
    <row r="132" spans="1:8">
      <c r="A132">
        <f>'PSA&amp;CPR'!A132</f>
        <v>130</v>
      </c>
      <c r="B132" s="19">
        <f t="shared" si="2"/>
        <v>0</v>
      </c>
      <c r="C132" s="19">
        <f t="shared" si="3"/>
        <v>0</v>
      </c>
      <c r="D132" s="19">
        <f>Monthly_payment($B$1,$D$1,$B$3)*'PSA&amp;CPR（function) '!O132</f>
        <v>0</v>
      </c>
      <c r="E132" s="19">
        <f>Principle_portion_of_payment($B$1,$D$1,A132,$B$3)*'PSA&amp;CPR（function) '!O132</f>
        <v>0</v>
      </c>
      <c r="F132" s="19">
        <f>Interest_portion_of_payment($B$1,$D$1,A132,$B$3)*'PSA&amp;CPR（function) '!O132</f>
        <v>0</v>
      </c>
      <c r="G132" s="19">
        <f>(B132-E132)*'PSA&amp;CPR（function) '!G133</f>
        <v>0</v>
      </c>
      <c r="H132" s="19">
        <f>Remaining_balance($B$1,$D$1,A132,$B$3)*'PSA&amp;CPR（function) '!O133</f>
        <v>0</v>
      </c>
    </row>
    <row r="133" spans="1:8">
      <c r="A133">
        <f>'PSA&amp;CPR'!A133</f>
        <v>131</v>
      </c>
      <c r="B133" s="19">
        <f t="shared" ref="B133:B196" si="4">H132</f>
        <v>0</v>
      </c>
      <c r="C133" s="19">
        <f t="shared" ref="C133:C196" si="5">B133*($B$1/1200)</f>
        <v>0</v>
      </c>
      <c r="D133" s="19">
        <f>Monthly_payment($B$1,$D$1,$B$3)*'PSA&amp;CPR（function) '!O133</f>
        <v>0</v>
      </c>
      <c r="E133" s="19">
        <f>Principle_portion_of_payment($B$1,$D$1,A133,$B$3)*'PSA&amp;CPR（function) '!O133</f>
        <v>0</v>
      </c>
      <c r="F133" s="19">
        <f>Interest_portion_of_payment($B$1,$D$1,A133,$B$3)*'PSA&amp;CPR（function) '!O133</f>
        <v>0</v>
      </c>
      <c r="G133" s="19">
        <f>(B133-E133)*'PSA&amp;CPR（function) '!G134</f>
        <v>0</v>
      </c>
      <c r="H133" s="19">
        <f>Remaining_balance($B$1,$D$1,A133,$B$3)*'PSA&amp;CPR（function) '!O134</f>
        <v>0</v>
      </c>
    </row>
    <row r="134" spans="1:8">
      <c r="A134">
        <f>'PSA&amp;CPR'!A134</f>
        <v>132</v>
      </c>
      <c r="B134" s="19">
        <f t="shared" si="4"/>
        <v>0</v>
      </c>
      <c r="C134" s="19">
        <f t="shared" si="5"/>
        <v>0</v>
      </c>
      <c r="D134" s="19">
        <f>Monthly_payment($B$1,$D$1,$B$3)*'PSA&amp;CPR（function) '!O134</f>
        <v>0</v>
      </c>
      <c r="E134" s="19">
        <f>Principle_portion_of_payment($B$1,$D$1,A134,$B$3)*'PSA&amp;CPR（function) '!O134</f>
        <v>0</v>
      </c>
      <c r="F134" s="19">
        <f>Interest_portion_of_payment($B$1,$D$1,A134,$B$3)*'PSA&amp;CPR（function) '!O134</f>
        <v>0</v>
      </c>
      <c r="G134" s="19">
        <f>(B134-E134)*'PSA&amp;CPR（function) '!G135</f>
        <v>0</v>
      </c>
      <c r="H134" s="19">
        <f>Remaining_balance($B$1,$D$1,A134,$B$3)*'PSA&amp;CPR（function) '!O135</f>
        <v>0</v>
      </c>
    </row>
    <row r="135" spans="1:8">
      <c r="A135">
        <f>'PSA&amp;CPR'!A135</f>
        <v>133</v>
      </c>
      <c r="B135" s="19">
        <f t="shared" si="4"/>
        <v>0</v>
      </c>
      <c r="C135" s="19">
        <f t="shared" si="5"/>
        <v>0</v>
      </c>
      <c r="D135" s="19">
        <f>Monthly_payment($B$1,$D$1,$B$3)*'PSA&amp;CPR（function) '!O135</f>
        <v>0</v>
      </c>
      <c r="E135" s="19">
        <f>Principle_portion_of_payment($B$1,$D$1,A135,$B$3)*'PSA&amp;CPR（function) '!O135</f>
        <v>0</v>
      </c>
      <c r="F135" s="19">
        <f>Interest_portion_of_payment($B$1,$D$1,A135,$B$3)*'PSA&amp;CPR（function) '!O135</f>
        <v>0</v>
      </c>
      <c r="G135" s="19">
        <f>(B135-E135)*'PSA&amp;CPR（function) '!G136</f>
        <v>0</v>
      </c>
      <c r="H135" s="19">
        <f>Remaining_balance($B$1,$D$1,A135,$B$3)*'PSA&amp;CPR（function) '!O136</f>
        <v>0</v>
      </c>
    </row>
    <row r="136" spans="1:8">
      <c r="A136">
        <f>'PSA&amp;CPR'!A136</f>
        <v>134</v>
      </c>
      <c r="B136" s="19">
        <f t="shared" si="4"/>
        <v>0</v>
      </c>
      <c r="C136" s="19">
        <f t="shared" si="5"/>
        <v>0</v>
      </c>
      <c r="D136" s="19">
        <f>Monthly_payment($B$1,$D$1,$B$3)*'PSA&amp;CPR（function) '!O136</f>
        <v>0</v>
      </c>
      <c r="E136" s="19">
        <f>Principle_portion_of_payment($B$1,$D$1,A136,$B$3)*'PSA&amp;CPR（function) '!O136</f>
        <v>0</v>
      </c>
      <c r="F136" s="19">
        <f>Interest_portion_of_payment($B$1,$D$1,A136,$B$3)*'PSA&amp;CPR（function) '!O136</f>
        <v>0</v>
      </c>
      <c r="G136" s="19">
        <f>(B136-E136)*'PSA&amp;CPR（function) '!G137</f>
        <v>0</v>
      </c>
      <c r="H136" s="19">
        <f>Remaining_balance($B$1,$D$1,A136,$B$3)*'PSA&amp;CPR（function) '!O137</f>
        <v>0</v>
      </c>
    </row>
    <row r="137" spans="1:8">
      <c r="A137">
        <f>'PSA&amp;CPR'!A137</f>
        <v>135</v>
      </c>
      <c r="B137" s="19">
        <f t="shared" si="4"/>
        <v>0</v>
      </c>
      <c r="C137" s="19">
        <f t="shared" si="5"/>
        <v>0</v>
      </c>
      <c r="D137" s="19">
        <f>Monthly_payment($B$1,$D$1,$B$3)*'PSA&amp;CPR（function) '!O137</f>
        <v>0</v>
      </c>
      <c r="E137" s="19">
        <f>Principle_portion_of_payment($B$1,$D$1,A137,$B$3)*'PSA&amp;CPR（function) '!O137</f>
        <v>0</v>
      </c>
      <c r="F137" s="19">
        <f>Interest_portion_of_payment($B$1,$D$1,A137,$B$3)*'PSA&amp;CPR（function) '!O137</f>
        <v>0</v>
      </c>
      <c r="G137" s="19">
        <f>(B137-E137)*'PSA&amp;CPR（function) '!G138</f>
        <v>0</v>
      </c>
      <c r="H137" s="19">
        <f>Remaining_balance($B$1,$D$1,A137,$B$3)*'PSA&amp;CPR（function) '!O138</f>
        <v>0</v>
      </c>
    </row>
    <row r="138" spans="1:8">
      <c r="A138">
        <f>'PSA&amp;CPR'!A138</f>
        <v>136</v>
      </c>
      <c r="B138" s="19">
        <f t="shared" si="4"/>
        <v>0</v>
      </c>
      <c r="C138" s="19">
        <f t="shared" si="5"/>
        <v>0</v>
      </c>
      <c r="D138" s="19">
        <f>Monthly_payment($B$1,$D$1,$B$3)*'PSA&amp;CPR（function) '!O138</f>
        <v>0</v>
      </c>
      <c r="E138" s="19">
        <f>Principle_portion_of_payment($B$1,$D$1,A138,$B$3)*'PSA&amp;CPR（function) '!O138</f>
        <v>0</v>
      </c>
      <c r="F138" s="19">
        <f>Interest_portion_of_payment($B$1,$D$1,A138,$B$3)*'PSA&amp;CPR（function) '!O138</f>
        <v>0</v>
      </c>
      <c r="G138" s="19">
        <f>(B138-E138)*'PSA&amp;CPR（function) '!G139</f>
        <v>0</v>
      </c>
      <c r="H138" s="19">
        <f>Remaining_balance($B$1,$D$1,A138,$B$3)*'PSA&amp;CPR（function) '!O139</f>
        <v>0</v>
      </c>
    </row>
    <row r="139" spans="1:8">
      <c r="A139">
        <f>'PSA&amp;CPR'!A139</f>
        <v>137</v>
      </c>
      <c r="B139" s="19">
        <f t="shared" si="4"/>
        <v>0</v>
      </c>
      <c r="C139" s="19">
        <f t="shared" si="5"/>
        <v>0</v>
      </c>
      <c r="D139" s="19">
        <f>Monthly_payment($B$1,$D$1,$B$3)*'PSA&amp;CPR（function) '!O139</f>
        <v>0</v>
      </c>
      <c r="E139" s="19">
        <f>Principle_portion_of_payment($B$1,$D$1,A139,$B$3)*'PSA&amp;CPR（function) '!O139</f>
        <v>0</v>
      </c>
      <c r="F139" s="19">
        <f>Interest_portion_of_payment($B$1,$D$1,A139,$B$3)*'PSA&amp;CPR（function) '!O139</f>
        <v>0</v>
      </c>
      <c r="G139" s="19">
        <f>(B139-E139)*'PSA&amp;CPR（function) '!G140</f>
        <v>0</v>
      </c>
      <c r="H139" s="19">
        <f>Remaining_balance($B$1,$D$1,A139,$B$3)*'PSA&amp;CPR（function) '!O140</f>
        <v>0</v>
      </c>
    </row>
    <row r="140" spans="1:8">
      <c r="A140">
        <f>'PSA&amp;CPR'!A140</f>
        <v>138</v>
      </c>
      <c r="B140" s="19">
        <f t="shared" si="4"/>
        <v>0</v>
      </c>
      <c r="C140" s="19">
        <f t="shared" si="5"/>
        <v>0</v>
      </c>
      <c r="D140" s="19">
        <f>Monthly_payment($B$1,$D$1,$B$3)*'PSA&amp;CPR（function) '!O140</f>
        <v>0</v>
      </c>
      <c r="E140" s="19">
        <f>Principle_portion_of_payment($B$1,$D$1,A140,$B$3)*'PSA&amp;CPR（function) '!O140</f>
        <v>0</v>
      </c>
      <c r="F140" s="19">
        <f>Interest_portion_of_payment($B$1,$D$1,A140,$B$3)*'PSA&amp;CPR（function) '!O140</f>
        <v>0</v>
      </c>
      <c r="G140" s="19">
        <f>(B140-E140)*'PSA&amp;CPR（function) '!G141</f>
        <v>0</v>
      </c>
      <c r="H140" s="19">
        <f>Remaining_balance($B$1,$D$1,A140,$B$3)*'PSA&amp;CPR（function) '!O141</f>
        <v>0</v>
      </c>
    </row>
    <row r="141" spans="1:8">
      <c r="A141">
        <f>'PSA&amp;CPR'!A141</f>
        <v>139</v>
      </c>
      <c r="B141" s="19">
        <f t="shared" si="4"/>
        <v>0</v>
      </c>
      <c r="C141" s="19">
        <f t="shared" si="5"/>
        <v>0</v>
      </c>
      <c r="D141" s="19">
        <f>Monthly_payment($B$1,$D$1,$B$3)*'PSA&amp;CPR（function) '!O141</f>
        <v>0</v>
      </c>
      <c r="E141" s="19">
        <f>Principle_portion_of_payment($B$1,$D$1,A141,$B$3)*'PSA&amp;CPR（function) '!O141</f>
        <v>0</v>
      </c>
      <c r="F141" s="19">
        <f>Interest_portion_of_payment($B$1,$D$1,A141,$B$3)*'PSA&amp;CPR（function) '!O141</f>
        <v>0</v>
      </c>
      <c r="G141" s="19">
        <f>(B141-E141)*'PSA&amp;CPR（function) '!G142</f>
        <v>0</v>
      </c>
      <c r="H141" s="19">
        <f>Remaining_balance($B$1,$D$1,A141,$B$3)*'PSA&amp;CPR（function) '!O142</f>
        <v>0</v>
      </c>
    </row>
    <row r="142" spans="1:8">
      <c r="A142">
        <f>'PSA&amp;CPR'!A142</f>
        <v>140</v>
      </c>
      <c r="B142" s="19">
        <f t="shared" si="4"/>
        <v>0</v>
      </c>
      <c r="C142" s="19">
        <f t="shared" si="5"/>
        <v>0</v>
      </c>
      <c r="D142" s="19">
        <f>Monthly_payment($B$1,$D$1,$B$3)*'PSA&amp;CPR（function) '!O142</f>
        <v>0</v>
      </c>
      <c r="E142" s="19">
        <f>Principle_portion_of_payment($B$1,$D$1,A142,$B$3)*'PSA&amp;CPR（function) '!O142</f>
        <v>0</v>
      </c>
      <c r="F142" s="19">
        <f>Interest_portion_of_payment($B$1,$D$1,A142,$B$3)*'PSA&amp;CPR（function) '!O142</f>
        <v>0</v>
      </c>
      <c r="G142" s="19">
        <f>(B142-E142)*'PSA&amp;CPR（function) '!G143</f>
        <v>0</v>
      </c>
      <c r="H142" s="19">
        <f>Remaining_balance($B$1,$D$1,A142,$B$3)*'PSA&amp;CPR（function) '!O143</f>
        <v>0</v>
      </c>
    </row>
    <row r="143" spans="1:8">
      <c r="A143">
        <f>'PSA&amp;CPR'!A143</f>
        <v>141</v>
      </c>
      <c r="B143" s="19">
        <f t="shared" si="4"/>
        <v>0</v>
      </c>
      <c r="C143" s="19">
        <f t="shared" si="5"/>
        <v>0</v>
      </c>
      <c r="D143" s="19">
        <f>Monthly_payment($B$1,$D$1,$B$3)*'PSA&amp;CPR（function) '!O143</f>
        <v>0</v>
      </c>
      <c r="E143" s="19">
        <f>Principle_portion_of_payment($B$1,$D$1,A143,$B$3)*'PSA&amp;CPR（function) '!O143</f>
        <v>0</v>
      </c>
      <c r="F143" s="19">
        <f>Interest_portion_of_payment($B$1,$D$1,A143,$B$3)*'PSA&amp;CPR（function) '!O143</f>
        <v>0</v>
      </c>
      <c r="G143" s="19">
        <f>(B143-E143)*'PSA&amp;CPR（function) '!G144</f>
        <v>0</v>
      </c>
      <c r="H143" s="19">
        <f>Remaining_balance($B$1,$D$1,A143,$B$3)*'PSA&amp;CPR（function) '!O144</f>
        <v>0</v>
      </c>
    </row>
    <row r="144" spans="1:8">
      <c r="A144">
        <f>'PSA&amp;CPR'!A144</f>
        <v>142</v>
      </c>
      <c r="B144" s="19">
        <f t="shared" si="4"/>
        <v>0</v>
      </c>
      <c r="C144" s="19">
        <f t="shared" si="5"/>
        <v>0</v>
      </c>
      <c r="D144" s="19">
        <f>Monthly_payment($B$1,$D$1,$B$3)*'PSA&amp;CPR（function) '!O144</f>
        <v>0</v>
      </c>
      <c r="E144" s="19">
        <f>Principle_portion_of_payment($B$1,$D$1,A144,$B$3)*'PSA&amp;CPR（function) '!O144</f>
        <v>0</v>
      </c>
      <c r="F144" s="19">
        <f>Interest_portion_of_payment($B$1,$D$1,A144,$B$3)*'PSA&amp;CPR（function) '!O144</f>
        <v>0</v>
      </c>
      <c r="G144" s="19">
        <f>(B144-E144)*'PSA&amp;CPR（function) '!G145</f>
        <v>0</v>
      </c>
      <c r="H144" s="19">
        <f>Remaining_balance($B$1,$D$1,A144,$B$3)*'PSA&amp;CPR（function) '!O145</f>
        <v>0</v>
      </c>
    </row>
    <row r="145" spans="1:8">
      <c r="A145">
        <f>'PSA&amp;CPR'!A145</f>
        <v>143</v>
      </c>
      <c r="B145" s="19">
        <f t="shared" si="4"/>
        <v>0</v>
      </c>
      <c r="C145" s="19">
        <f t="shared" si="5"/>
        <v>0</v>
      </c>
      <c r="D145" s="19">
        <f>Monthly_payment($B$1,$D$1,$B$3)*'PSA&amp;CPR（function) '!O145</f>
        <v>0</v>
      </c>
      <c r="E145" s="19">
        <f>Principle_portion_of_payment($B$1,$D$1,A145,$B$3)*'PSA&amp;CPR（function) '!O145</f>
        <v>0</v>
      </c>
      <c r="F145" s="19">
        <f>Interest_portion_of_payment($B$1,$D$1,A145,$B$3)*'PSA&amp;CPR（function) '!O145</f>
        <v>0</v>
      </c>
      <c r="G145" s="19">
        <f>(B145-E145)*'PSA&amp;CPR（function) '!G146</f>
        <v>0</v>
      </c>
      <c r="H145" s="19">
        <f>Remaining_balance($B$1,$D$1,A145,$B$3)*'PSA&amp;CPR（function) '!O146</f>
        <v>0</v>
      </c>
    </row>
    <row r="146" spans="1:8">
      <c r="A146">
        <f>'PSA&amp;CPR'!A146</f>
        <v>144</v>
      </c>
      <c r="B146" s="19">
        <f t="shared" si="4"/>
        <v>0</v>
      </c>
      <c r="C146" s="19">
        <f t="shared" si="5"/>
        <v>0</v>
      </c>
      <c r="D146" s="19">
        <f>Monthly_payment($B$1,$D$1,$B$3)*'PSA&amp;CPR（function) '!O146</f>
        <v>0</v>
      </c>
      <c r="E146" s="19">
        <f>Principle_portion_of_payment($B$1,$D$1,A146,$B$3)*'PSA&amp;CPR（function) '!O146</f>
        <v>0</v>
      </c>
      <c r="F146" s="19">
        <f>Interest_portion_of_payment($B$1,$D$1,A146,$B$3)*'PSA&amp;CPR（function) '!O146</f>
        <v>0</v>
      </c>
      <c r="G146" s="19">
        <f>(B146-E146)*'PSA&amp;CPR（function) '!G147</f>
        <v>0</v>
      </c>
      <c r="H146" s="19">
        <f>Remaining_balance($B$1,$D$1,A146,$B$3)*'PSA&amp;CPR（function) '!O147</f>
        <v>0</v>
      </c>
    </row>
    <row r="147" spans="1:8">
      <c r="A147">
        <f>'PSA&amp;CPR'!A147</f>
        <v>145</v>
      </c>
      <c r="B147" s="19">
        <f t="shared" si="4"/>
        <v>0</v>
      </c>
      <c r="C147" s="19">
        <f t="shared" si="5"/>
        <v>0</v>
      </c>
      <c r="D147" s="19">
        <f>Monthly_payment($B$1,$D$1,$B$3)*'PSA&amp;CPR（function) '!O147</f>
        <v>0</v>
      </c>
      <c r="E147" s="19">
        <f>Principle_portion_of_payment($B$1,$D$1,A147,$B$3)*'PSA&amp;CPR（function) '!O147</f>
        <v>0</v>
      </c>
      <c r="F147" s="19">
        <f>Interest_portion_of_payment($B$1,$D$1,A147,$B$3)*'PSA&amp;CPR（function) '!O147</f>
        <v>0</v>
      </c>
      <c r="G147" s="19">
        <f>(B147-E147)*'PSA&amp;CPR（function) '!G148</f>
        <v>0</v>
      </c>
      <c r="H147" s="19">
        <f>Remaining_balance($B$1,$D$1,A147,$B$3)*'PSA&amp;CPR（function) '!O148</f>
        <v>0</v>
      </c>
    </row>
    <row r="148" spans="1:8">
      <c r="A148">
        <f>'PSA&amp;CPR'!A148</f>
        <v>146</v>
      </c>
      <c r="B148" s="19">
        <f t="shared" si="4"/>
        <v>0</v>
      </c>
      <c r="C148" s="19">
        <f t="shared" si="5"/>
        <v>0</v>
      </c>
      <c r="D148" s="19">
        <f>Monthly_payment($B$1,$D$1,$B$3)*'PSA&amp;CPR（function) '!O148</f>
        <v>0</v>
      </c>
      <c r="E148" s="19">
        <f>Principle_portion_of_payment($B$1,$D$1,A148,$B$3)*'PSA&amp;CPR（function) '!O148</f>
        <v>0</v>
      </c>
      <c r="F148" s="19">
        <f>Interest_portion_of_payment($B$1,$D$1,A148,$B$3)*'PSA&amp;CPR（function) '!O148</f>
        <v>0</v>
      </c>
      <c r="G148" s="19">
        <f>(B148-E148)*'PSA&amp;CPR（function) '!G149</f>
        <v>0</v>
      </c>
      <c r="H148" s="19">
        <f>Remaining_balance($B$1,$D$1,A148,$B$3)*'PSA&amp;CPR（function) '!O149</f>
        <v>0</v>
      </c>
    </row>
    <row r="149" spans="1:8">
      <c r="A149">
        <f>'PSA&amp;CPR'!A149</f>
        <v>147</v>
      </c>
      <c r="B149" s="19">
        <f t="shared" si="4"/>
        <v>0</v>
      </c>
      <c r="C149" s="19">
        <f t="shared" si="5"/>
        <v>0</v>
      </c>
      <c r="D149" s="19">
        <f>Monthly_payment($B$1,$D$1,$B$3)*'PSA&amp;CPR（function) '!O149</f>
        <v>0</v>
      </c>
      <c r="E149" s="19">
        <f>Principle_portion_of_payment($B$1,$D$1,A149,$B$3)*'PSA&amp;CPR（function) '!O149</f>
        <v>0</v>
      </c>
      <c r="F149" s="19">
        <f>Interest_portion_of_payment($B$1,$D$1,A149,$B$3)*'PSA&amp;CPR（function) '!O149</f>
        <v>0</v>
      </c>
      <c r="G149" s="19">
        <f>(B149-E149)*'PSA&amp;CPR（function) '!G150</f>
        <v>0</v>
      </c>
      <c r="H149" s="19">
        <f>Remaining_balance($B$1,$D$1,A149,$B$3)*'PSA&amp;CPR（function) '!O150</f>
        <v>0</v>
      </c>
    </row>
    <row r="150" spans="1:8">
      <c r="A150">
        <f>'PSA&amp;CPR'!A150</f>
        <v>148</v>
      </c>
      <c r="B150" s="19">
        <f t="shared" si="4"/>
        <v>0</v>
      </c>
      <c r="C150" s="19">
        <f t="shared" si="5"/>
        <v>0</v>
      </c>
      <c r="D150" s="19">
        <f>Monthly_payment($B$1,$D$1,$B$3)*'PSA&amp;CPR（function) '!O150</f>
        <v>0</v>
      </c>
      <c r="E150" s="19">
        <f>Principle_portion_of_payment($B$1,$D$1,A150,$B$3)*'PSA&amp;CPR（function) '!O150</f>
        <v>0</v>
      </c>
      <c r="F150" s="19">
        <f>Interest_portion_of_payment($B$1,$D$1,A150,$B$3)*'PSA&amp;CPR（function) '!O150</f>
        <v>0</v>
      </c>
      <c r="G150" s="19">
        <f>(B150-E150)*'PSA&amp;CPR（function) '!G151</f>
        <v>0</v>
      </c>
      <c r="H150" s="19">
        <f>Remaining_balance($B$1,$D$1,A150,$B$3)*'PSA&amp;CPR（function) '!O151</f>
        <v>0</v>
      </c>
    </row>
    <row r="151" spans="1:8">
      <c r="A151">
        <f>'PSA&amp;CPR'!A151</f>
        <v>149</v>
      </c>
      <c r="B151" s="19">
        <f t="shared" si="4"/>
        <v>0</v>
      </c>
      <c r="C151" s="19">
        <f t="shared" si="5"/>
        <v>0</v>
      </c>
      <c r="D151" s="19">
        <f>Monthly_payment($B$1,$D$1,$B$3)*'PSA&amp;CPR（function) '!O151</f>
        <v>0</v>
      </c>
      <c r="E151" s="19">
        <f>Principle_portion_of_payment($B$1,$D$1,A151,$B$3)*'PSA&amp;CPR（function) '!O151</f>
        <v>0</v>
      </c>
      <c r="F151" s="19">
        <f>Interest_portion_of_payment($B$1,$D$1,A151,$B$3)*'PSA&amp;CPR（function) '!O151</f>
        <v>0</v>
      </c>
      <c r="G151" s="19">
        <f>(B151-E151)*'PSA&amp;CPR（function) '!G152</f>
        <v>0</v>
      </c>
      <c r="H151" s="19">
        <f>Remaining_balance($B$1,$D$1,A151,$B$3)*'PSA&amp;CPR（function) '!O152</f>
        <v>0</v>
      </c>
    </row>
    <row r="152" spans="1:8">
      <c r="A152">
        <f>'PSA&amp;CPR'!A152</f>
        <v>150</v>
      </c>
      <c r="B152" s="19">
        <f t="shared" si="4"/>
        <v>0</v>
      </c>
      <c r="C152" s="19">
        <f t="shared" si="5"/>
        <v>0</v>
      </c>
      <c r="D152" s="19">
        <f>Monthly_payment($B$1,$D$1,$B$3)*'PSA&amp;CPR（function) '!O152</f>
        <v>0</v>
      </c>
      <c r="E152" s="19">
        <f>Principle_portion_of_payment($B$1,$D$1,A152,$B$3)*'PSA&amp;CPR（function) '!O152</f>
        <v>0</v>
      </c>
      <c r="F152" s="19">
        <f>Interest_portion_of_payment($B$1,$D$1,A152,$B$3)*'PSA&amp;CPR（function) '!O152</f>
        <v>0</v>
      </c>
      <c r="G152" s="19">
        <f>(B152-E152)*'PSA&amp;CPR（function) '!G153</f>
        <v>0</v>
      </c>
      <c r="H152" s="19">
        <f>Remaining_balance($B$1,$D$1,A152,$B$3)*'PSA&amp;CPR（function) '!O153</f>
        <v>0</v>
      </c>
    </row>
    <row r="153" spans="1:8">
      <c r="A153">
        <f>'PSA&amp;CPR'!A153</f>
        <v>151</v>
      </c>
      <c r="B153" s="19">
        <f t="shared" si="4"/>
        <v>0</v>
      </c>
      <c r="C153" s="19">
        <f t="shared" si="5"/>
        <v>0</v>
      </c>
      <c r="D153" s="19">
        <f>Monthly_payment($B$1,$D$1,$B$3)*'PSA&amp;CPR（function) '!O153</f>
        <v>0</v>
      </c>
      <c r="E153" s="19">
        <f>Principle_portion_of_payment($B$1,$D$1,A153,$B$3)*'PSA&amp;CPR（function) '!O153</f>
        <v>0</v>
      </c>
      <c r="F153" s="19">
        <f>Interest_portion_of_payment($B$1,$D$1,A153,$B$3)*'PSA&amp;CPR（function) '!O153</f>
        <v>0</v>
      </c>
      <c r="G153" s="19">
        <f>(B153-E153)*'PSA&amp;CPR（function) '!G154</f>
        <v>0</v>
      </c>
      <c r="H153" s="19">
        <f>Remaining_balance($B$1,$D$1,A153,$B$3)*'PSA&amp;CPR（function) '!O154</f>
        <v>0</v>
      </c>
    </row>
    <row r="154" spans="1:8">
      <c r="A154">
        <f>'PSA&amp;CPR'!A154</f>
        <v>152</v>
      </c>
      <c r="B154" s="19">
        <f t="shared" si="4"/>
        <v>0</v>
      </c>
      <c r="C154" s="19">
        <f t="shared" si="5"/>
        <v>0</v>
      </c>
      <c r="D154" s="19">
        <f>Monthly_payment($B$1,$D$1,$B$3)*'PSA&amp;CPR（function) '!O154</f>
        <v>0</v>
      </c>
      <c r="E154" s="19">
        <f>Principle_portion_of_payment($B$1,$D$1,A154,$B$3)*'PSA&amp;CPR（function) '!O154</f>
        <v>0</v>
      </c>
      <c r="F154" s="19">
        <f>Interest_portion_of_payment($B$1,$D$1,A154,$B$3)*'PSA&amp;CPR（function) '!O154</f>
        <v>0</v>
      </c>
      <c r="G154" s="19">
        <f>(B154-E154)*'PSA&amp;CPR（function) '!G155</f>
        <v>0</v>
      </c>
      <c r="H154" s="19">
        <f>Remaining_balance($B$1,$D$1,A154,$B$3)*'PSA&amp;CPR（function) '!O155</f>
        <v>0</v>
      </c>
    </row>
    <row r="155" spans="1:8">
      <c r="A155">
        <f>'PSA&amp;CPR'!A155</f>
        <v>153</v>
      </c>
      <c r="B155" s="19">
        <f t="shared" si="4"/>
        <v>0</v>
      </c>
      <c r="C155" s="19">
        <f t="shared" si="5"/>
        <v>0</v>
      </c>
      <c r="D155" s="19">
        <f>Monthly_payment($B$1,$D$1,$B$3)*'PSA&amp;CPR（function) '!O155</f>
        <v>0</v>
      </c>
      <c r="E155" s="19">
        <f>Principle_portion_of_payment($B$1,$D$1,A155,$B$3)*'PSA&amp;CPR（function) '!O155</f>
        <v>0</v>
      </c>
      <c r="F155" s="19">
        <f>Interest_portion_of_payment($B$1,$D$1,A155,$B$3)*'PSA&amp;CPR（function) '!O155</f>
        <v>0</v>
      </c>
      <c r="G155" s="19">
        <f>(B155-E155)*'PSA&amp;CPR（function) '!G156</f>
        <v>0</v>
      </c>
      <c r="H155" s="19">
        <f>Remaining_balance($B$1,$D$1,A155,$B$3)*'PSA&amp;CPR（function) '!O156</f>
        <v>0</v>
      </c>
    </row>
    <row r="156" spans="1:8">
      <c r="A156">
        <f>'PSA&amp;CPR'!A156</f>
        <v>154</v>
      </c>
      <c r="B156" s="19">
        <f t="shared" si="4"/>
        <v>0</v>
      </c>
      <c r="C156" s="19">
        <f t="shared" si="5"/>
        <v>0</v>
      </c>
      <c r="D156" s="19">
        <f>Monthly_payment($B$1,$D$1,$B$3)*'PSA&amp;CPR（function) '!O156</f>
        <v>0</v>
      </c>
      <c r="E156" s="19">
        <f>Principle_portion_of_payment($B$1,$D$1,A156,$B$3)*'PSA&amp;CPR（function) '!O156</f>
        <v>0</v>
      </c>
      <c r="F156" s="19">
        <f>Interest_portion_of_payment($B$1,$D$1,A156,$B$3)*'PSA&amp;CPR（function) '!O156</f>
        <v>0</v>
      </c>
      <c r="G156" s="19">
        <f>(B156-E156)*'PSA&amp;CPR（function) '!G157</f>
        <v>0</v>
      </c>
      <c r="H156" s="19">
        <f>Remaining_balance($B$1,$D$1,A156,$B$3)*'PSA&amp;CPR（function) '!O157</f>
        <v>0</v>
      </c>
    </row>
    <row r="157" spans="1:8">
      <c r="A157">
        <f>'PSA&amp;CPR'!A157</f>
        <v>155</v>
      </c>
      <c r="B157" s="19">
        <f t="shared" si="4"/>
        <v>0</v>
      </c>
      <c r="C157" s="19">
        <f t="shared" si="5"/>
        <v>0</v>
      </c>
      <c r="D157" s="19">
        <f>Monthly_payment($B$1,$D$1,$B$3)*'PSA&amp;CPR（function) '!O157</f>
        <v>0</v>
      </c>
      <c r="E157" s="19">
        <f>Principle_portion_of_payment($B$1,$D$1,A157,$B$3)*'PSA&amp;CPR（function) '!O157</f>
        <v>0</v>
      </c>
      <c r="F157" s="19">
        <f>Interest_portion_of_payment($B$1,$D$1,A157,$B$3)*'PSA&amp;CPR（function) '!O157</f>
        <v>0</v>
      </c>
      <c r="G157" s="19">
        <f>(B157-E157)*'PSA&amp;CPR（function) '!G158</f>
        <v>0</v>
      </c>
      <c r="H157" s="19">
        <f>Remaining_balance($B$1,$D$1,A157,$B$3)*'PSA&amp;CPR（function) '!O158</f>
        <v>0</v>
      </c>
    </row>
    <row r="158" spans="1:8">
      <c r="A158">
        <f>'PSA&amp;CPR'!A158</f>
        <v>156</v>
      </c>
      <c r="B158" s="19">
        <f t="shared" si="4"/>
        <v>0</v>
      </c>
      <c r="C158" s="19">
        <f t="shared" si="5"/>
        <v>0</v>
      </c>
      <c r="D158" s="19">
        <f>Monthly_payment($B$1,$D$1,$B$3)*'PSA&amp;CPR（function) '!O158</f>
        <v>0</v>
      </c>
      <c r="E158" s="19">
        <f>Principle_portion_of_payment($B$1,$D$1,A158,$B$3)*'PSA&amp;CPR（function) '!O158</f>
        <v>0</v>
      </c>
      <c r="F158" s="19">
        <f>Interest_portion_of_payment($B$1,$D$1,A158,$B$3)*'PSA&amp;CPR（function) '!O158</f>
        <v>0</v>
      </c>
      <c r="G158" s="19">
        <f>(B158-E158)*'PSA&amp;CPR（function) '!G159</f>
        <v>0</v>
      </c>
      <c r="H158" s="19">
        <f>Remaining_balance($B$1,$D$1,A158,$B$3)*'PSA&amp;CPR（function) '!O159</f>
        <v>0</v>
      </c>
    </row>
    <row r="159" spans="1:8">
      <c r="A159">
        <f>'PSA&amp;CPR'!A159</f>
        <v>157</v>
      </c>
      <c r="B159" s="19">
        <f t="shared" si="4"/>
        <v>0</v>
      </c>
      <c r="C159" s="19">
        <f t="shared" si="5"/>
        <v>0</v>
      </c>
      <c r="D159" s="19">
        <f>Monthly_payment($B$1,$D$1,$B$3)*'PSA&amp;CPR（function) '!O159</f>
        <v>0</v>
      </c>
      <c r="E159" s="19">
        <f>Principle_portion_of_payment($B$1,$D$1,A159,$B$3)*'PSA&amp;CPR（function) '!O159</f>
        <v>0</v>
      </c>
      <c r="F159" s="19">
        <f>Interest_portion_of_payment($B$1,$D$1,A159,$B$3)*'PSA&amp;CPR（function) '!O159</f>
        <v>0</v>
      </c>
      <c r="G159" s="19">
        <f>(B159-E159)*'PSA&amp;CPR（function) '!G160</f>
        <v>0</v>
      </c>
      <c r="H159" s="19">
        <f>Remaining_balance($B$1,$D$1,A159,$B$3)*'PSA&amp;CPR（function) '!O160</f>
        <v>0</v>
      </c>
    </row>
    <row r="160" spans="1:8">
      <c r="A160">
        <f>'PSA&amp;CPR'!A160</f>
        <v>158</v>
      </c>
      <c r="B160" s="19">
        <f t="shared" si="4"/>
        <v>0</v>
      </c>
      <c r="C160" s="19">
        <f t="shared" si="5"/>
        <v>0</v>
      </c>
      <c r="D160" s="19">
        <f>Monthly_payment($B$1,$D$1,$B$3)*'PSA&amp;CPR（function) '!O160</f>
        <v>0</v>
      </c>
      <c r="E160" s="19">
        <f>Principle_portion_of_payment($B$1,$D$1,A160,$B$3)*'PSA&amp;CPR（function) '!O160</f>
        <v>0</v>
      </c>
      <c r="F160" s="19">
        <f>Interest_portion_of_payment($B$1,$D$1,A160,$B$3)*'PSA&amp;CPR（function) '!O160</f>
        <v>0</v>
      </c>
      <c r="G160" s="19">
        <f>(B160-E160)*'PSA&amp;CPR（function) '!G161</f>
        <v>0</v>
      </c>
      <c r="H160" s="19">
        <f>Remaining_balance($B$1,$D$1,A160,$B$3)*'PSA&amp;CPR（function) '!O161</f>
        <v>0</v>
      </c>
    </row>
    <row r="161" spans="1:8">
      <c r="A161">
        <f>'PSA&amp;CPR'!A161</f>
        <v>159</v>
      </c>
      <c r="B161" s="19">
        <f t="shared" si="4"/>
        <v>0</v>
      </c>
      <c r="C161" s="19">
        <f t="shared" si="5"/>
        <v>0</v>
      </c>
      <c r="D161" s="19">
        <f>Monthly_payment($B$1,$D$1,$B$3)*'PSA&amp;CPR（function) '!O161</f>
        <v>0</v>
      </c>
      <c r="E161" s="19">
        <f>Principle_portion_of_payment($B$1,$D$1,A161,$B$3)*'PSA&amp;CPR（function) '!O161</f>
        <v>0</v>
      </c>
      <c r="F161" s="19">
        <f>Interest_portion_of_payment($B$1,$D$1,A161,$B$3)*'PSA&amp;CPR（function) '!O161</f>
        <v>0</v>
      </c>
      <c r="G161" s="19">
        <f>(B161-E161)*'PSA&amp;CPR（function) '!G162</f>
        <v>0</v>
      </c>
      <c r="H161" s="19">
        <f>Remaining_balance($B$1,$D$1,A161,$B$3)*'PSA&amp;CPR（function) '!O162</f>
        <v>0</v>
      </c>
    </row>
    <row r="162" spans="1:8">
      <c r="A162">
        <f>'PSA&amp;CPR'!A162</f>
        <v>160</v>
      </c>
      <c r="B162" s="19">
        <f t="shared" si="4"/>
        <v>0</v>
      </c>
      <c r="C162" s="19">
        <f t="shared" si="5"/>
        <v>0</v>
      </c>
      <c r="D162" s="19">
        <f>Monthly_payment($B$1,$D$1,$B$3)*'PSA&amp;CPR（function) '!O162</f>
        <v>0</v>
      </c>
      <c r="E162" s="19">
        <f>Principle_portion_of_payment($B$1,$D$1,A162,$B$3)*'PSA&amp;CPR（function) '!O162</f>
        <v>0</v>
      </c>
      <c r="F162" s="19">
        <f>Interest_portion_of_payment($B$1,$D$1,A162,$B$3)*'PSA&amp;CPR（function) '!O162</f>
        <v>0</v>
      </c>
      <c r="G162" s="19">
        <f>(B162-E162)*'PSA&amp;CPR（function) '!G163</f>
        <v>0</v>
      </c>
      <c r="H162" s="19">
        <f>Remaining_balance($B$1,$D$1,A162,$B$3)*'PSA&amp;CPR（function) '!O163</f>
        <v>0</v>
      </c>
    </row>
    <row r="163" spans="1:8">
      <c r="A163">
        <f>'PSA&amp;CPR'!A163</f>
        <v>161</v>
      </c>
      <c r="B163" s="19">
        <f t="shared" si="4"/>
        <v>0</v>
      </c>
      <c r="C163" s="19">
        <f t="shared" si="5"/>
        <v>0</v>
      </c>
      <c r="D163" s="19">
        <f>Monthly_payment($B$1,$D$1,$B$3)*'PSA&amp;CPR（function) '!O163</f>
        <v>0</v>
      </c>
      <c r="E163" s="19">
        <f>Principle_portion_of_payment($B$1,$D$1,A163,$B$3)*'PSA&amp;CPR（function) '!O163</f>
        <v>0</v>
      </c>
      <c r="F163" s="19">
        <f>Interest_portion_of_payment($B$1,$D$1,A163,$B$3)*'PSA&amp;CPR（function) '!O163</f>
        <v>0</v>
      </c>
      <c r="G163" s="19">
        <f>(B163-E163)*'PSA&amp;CPR（function) '!G164</f>
        <v>0</v>
      </c>
      <c r="H163" s="19">
        <f>Remaining_balance($B$1,$D$1,A163,$B$3)*'PSA&amp;CPR（function) '!O164</f>
        <v>0</v>
      </c>
    </row>
    <row r="164" spans="1:8">
      <c r="A164">
        <f>'PSA&amp;CPR'!A164</f>
        <v>162</v>
      </c>
      <c r="B164" s="19">
        <f t="shared" si="4"/>
        <v>0</v>
      </c>
      <c r="C164" s="19">
        <f t="shared" si="5"/>
        <v>0</v>
      </c>
      <c r="D164" s="19">
        <f>Monthly_payment($B$1,$D$1,$B$3)*'PSA&amp;CPR（function) '!O164</f>
        <v>0</v>
      </c>
      <c r="E164" s="19">
        <f>Principle_portion_of_payment($B$1,$D$1,A164,$B$3)*'PSA&amp;CPR（function) '!O164</f>
        <v>0</v>
      </c>
      <c r="F164" s="19">
        <f>Interest_portion_of_payment($B$1,$D$1,A164,$B$3)*'PSA&amp;CPR（function) '!O164</f>
        <v>0</v>
      </c>
      <c r="G164" s="19">
        <f>(B164-E164)*'PSA&amp;CPR（function) '!G165</f>
        <v>0</v>
      </c>
      <c r="H164" s="19">
        <f>Remaining_balance($B$1,$D$1,A164,$B$3)*'PSA&amp;CPR（function) '!O165</f>
        <v>0</v>
      </c>
    </row>
    <row r="165" spans="1:8">
      <c r="A165">
        <f>'PSA&amp;CPR'!A165</f>
        <v>163</v>
      </c>
      <c r="B165" s="19">
        <f t="shared" si="4"/>
        <v>0</v>
      </c>
      <c r="C165" s="19">
        <f t="shared" si="5"/>
        <v>0</v>
      </c>
      <c r="D165" s="19">
        <f>Monthly_payment($B$1,$D$1,$B$3)*'PSA&amp;CPR（function) '!O165</f>
        <v>0</v>
      </c>
      <c r="E165" s="19">
        <f>Principle_portion_of_payment($B$1,$D$1,A165,$B$3)*'PSA&amp;CPR（function) '!O165</f>
        <v>0</v>
      </c>
      <c r="F165" s="19">
        <f>Interest_portion_of_payment($B$1,$D$1,A165,$B$3)*'PSA&amp;CPR（function) '!O165</f>
        <v>0</v>
      </c>
      <c r="G165" s="19">
        <f>(B165-E165)*'PSA&amp;CPR（function) '!G166</f>
        <v>0</v>
      </c>
      <c r="H165" s="19">
        <f>Remaining_balance($B$1,$D$1,A165,$B$3)*'PSA&amp;CPR（function) '!O166</f>
        <v>0</v>
      </c>
    </row>
    <row r="166" spans="1:8">
      <c r="A166">
        <f>'PSA&amp;CPR'!A166</f>
        <v>164</v>
      </c>
      <c r="B166" s="19">
        <f t="shared" si="4"/>
        <v>0</v>
      </c>
      <c r="C166" s="19">
        <f t="shared" si="5"/>
        <v>0</v>
      </c>
      <c r="D166" s="19">
        <f>Monthly_payment($B$1,$D$1,$B$3)*'PSA&amp;CPR（function) '!O166</f>
        <v>0</v>
      </c>
      <c r="E166" s="19">
        <f>Principle_portion_of_payment($B$1,$D$1,A166,$B$3)*'PSA&amp;CPR（function) '!O166</f>
        <v>0</v>
      </c>
      <c r="F166" s="19">
        <f>Interest_portion_of_payment($B$1,$D$1,A166,$B$3)*'PSA&amp;CPR（function) '!O166</f>
        <v>0</v>
      </c>
      <c r="G166" s="19">
        <f>(B166-E166)*'PSA&amp;CPR（function) '!G167</f>
        <v>0</v>
      </c>
      <c r="H166" s="19">
        <f>Remaining_balance($B$1,$D$1,A166,$B$3)*'PSA&amp;CPR（function) '!O167</f>
        <v>0</v>
      </c>
    </row>
    <row r="167" spans="1:8">
      <c r="A167">
        <f>'PSA&amp;CPR'!A167</f>
        <v>165</v>
      </c>
      <c r="B167" s="19">
        <f t="shared" si="4"/>
        <v>0</v>
      </c>
      <c r="C167" s="19">
        <f t="shared" si="5"/>
        <v>0</v>
      </c>
      <c r="D167" s="19">
        <f>Monthly_payment($B$1,$D$1,$B$3)*'PSA&amp;CPR（function) '!O167</f>
        <v>0</v>
      </c>
      <c r="E167" s="19">
        <f>Principle_portion_of_payment($B$1,$D$1,A167,$B$3)*'PSA&amp;CPR（function) '!O167</f>
        <v>0</v>
      </c>
      <c r="F167" s="19">
        <f>Interest_portion_of_payment($B$1,$D$1,A167,$B$3)*'PSA&amp;CPR（function) '!O167</f>
        <v>0</v>
      </c>
      <c r="G167" s="19">
        <f>(B167-E167)*'PSA&amp;CPR（function) '!G168</f>
        <v>0</v>
      </c>
      <c r="H167" s="19">
        <f>Remaining_balance($B$1,$D$1,A167,$B$3)*'PSA&amp;CPR（function) '!O168</f>
        <v>0</v>
      </c>
    </row>
    <row r="168" spans="1:8">
      <c r="A168">
        <f>'PSA&amp;CPR'!A168</f>
        <v>166</v>
      </c>
      <c r="B168" s="19">
        <f t="shared" si="4"/>
        <v>0</v>
      </c>
      <c r="C168" s="19">
        <f t="shared" si="5"/>
        <v>0</v>
      </c>
      <c r="D168" s="19">
        <f>Monthly_payment($B$1,$D$1,$B$3)*'PSA&amp;CPR（function) '!O168</f>
        <v>0</v>
      </c>
      <c r="E168" s="19">
        <f>Principle_portion_of_payment($B$1,$D$1,A168,$B$3)*'PSA&amp;CPR（function) '!O168</f>
        <v>0</v>
      </c>
      <c r="F168" s="19">
        <f>Interest_portion_of_payment($B$1,$D$1,A168,$B$3)*'PSA&amp;CPR（function) '!O168</f>
        <v>0</v>
      </c>
      <c r="G168" s="19">
        <f>(B168-E168)*'PSA&amp;CPR（function) '!G169</f>
        <v>0</v>
      </c>
      <c r="H168" s="19">
        <f>Remaining_balance($B$1,$D$1,A168,$B$3)*'PSA&amp;CPR（function) '!O169</f>
        <v>0</v>
      </c>
    </row>
    <row r="169" spans="1:8">
      <c r="A169">
        <f>'PSA&amp;CPR'!A169</f>
        <v>167</v>
      </c>
      <c r="B169" s="19">
        <f t="shared" si="4"/>
        <v>0</v>
      </c>
      <c r="C169" s="19">
        <f t="shared" si="5"/>
        <v>0</v>
      </c>
      <c r="D169" s="19">
        <f>Monthly_payment($B$1,$D$1,$B$3)*'PSA&amp;CPR（function) '!O169</f>
        <v>0</v>
      </c>
      <c r="E169" s="19">
        <f>Principle_portion_of_payment($B$1,$D$1,A169,$B$3)*'PSA&amp;CPR（function) '!O169</f>
        <v>0</v>
      </c>
      <c r="F169" s="19">
        <f>Interest_portion_of_payment($B$1,$D$1,A169,$B$3)*'PSA&amp;CPR（function) '!O169</f>
        <v>0</v>
      </c>
      <c r="G169" s="19">
        <f>(B169-E169)*'PSA&amp;CPR（function) '!G170</f>
        <v>0</v>
      </c>
      <c r="H169" s="19">
        <f>Remaining_balance($B$1,$D$1,A169,$B$3)*'PSA&amp;CPR（function) '!O170</f>
        <v>0</v>
      </c>
    </row>
    <row r="170" spans="1:8">
      <c r="A170">
        <f>'PSA&amp;CPR'!A170</f>
        <v>168</v>
      </c>
      <c r="B170" s="19">
        <f t="shared" si="4"/>
        <v>0</v>
      </c>
      <c r="C170" s="19">
        <f t="shared" si="5"/>
        <v>0</v>
      </c>
      <c r="D170" s="19">
        <f>Monthly_payment($B$1,$D$1,$B$3)*'PSA&amp;CPR（function) '!O170</f>
        <v>0</v>
      </c>
      <c r="E170" s="19">
        <f>Principle_portion_of_payment($B$1,$D$1,A170,$B$3)*'PSA&amp;CPR（function) '!O170</f>
        <v>0</v>
      </c>
      <c r="F170" s="19">
        <f>Interest_portion_of_payment($B$1,$D$1,A170,$B$3)*'PSA&amp;CPR（function) '!O170</f>
        <v>0</v>
      </c>
      <c r="G170" s="19">
        <f>(B170-E170)*'PSA&amp;CPR（function) '!G171</f>
        <v>0</v>
      </c>
      <c r="H170" s="19">
        <f>Remaining_balance($B$1,$D$1,A170,$B$3)*'PSA&amp;CPR（function) '!O171</f>
        <v>0</v>
      </c>
    </row>
    <row r="171" spans="1:8">
      <c r="A171">
        <f>'PSA&amp;CPR'!A171</f>
        <v>169</v>
      </c>
      <c r="B171" s="19">
        <f t="shared" si="4"/>
        <v>0</v>
      </c>
      <c r="C171" s="19">
        <f t="shared" si="5"/>
        <v>0</v>
      </c>
      <c r="D171" s="19">
        <f>Monthly_payment($B$1,$D$1,$B$3)*'PSA&amp;CPR（function) '!O171</f>
        <v>0</v>
      </c>
      <c r="E171" s="19">
        <f>Principle_portion_of_payment($B$1,$D$1,A171,$B$3)*'PSA&amp;CPR（function) '!O171</f>
        <v>0</v>
      </c>
      <c r="F171" s="19">
        <f>Interest_portion_of_payment($B$1,$D$1,A171,$B$3)*'PSA&amp;CPR（function) '!O171</f>
        <v>0</v>
      </c>
      <c r="G171" s="19">
        <f>(B171-E171)*'PSA&amp;CPR（function) '!G172</f>
        <v>0</v>
      </c>
      <c r="H171" s="19">
        <f>Remaining_balance($B$1,$D$1,A171,$B$3)*'PSA&amp;CPR（function) '!O172</f>
        <v>0</v>
      </c>
    </row>
    <row r="172" spans="1:8">
      <c r="A172">
        <f>'PSA&amp;CPR'!A172</f>
        <v>170</v>
      </c>
      <c r="B172" s="19">
        <f t="shared" si="4"/>
        <v>0</v>
      </c>
      <c r="C172" s="19">
        <f t="shared" si="5"/>
        <v>0</v>
      </c>
      <c r="D172" s="19">
        <f>Monthly_payment($B$1,$D$1,$B$3)*'PSA&amp;CPR（function) '!O172</f>
        <v>0</v>
      </c>
      <c r="E172" s="19">
        <f>Principle_portion_of_payment($B$1,$D$1,A172,$B$3)*'PSA&amp;CPR（function) '!O172</f>
        <v>0</v>
      </c>
      <c r="F172" s="19">
        <f>Interest_portion_of_payment($B$1,$D$1,A172,$B$3)*'PSA&amp;CPR（function) '!O172</f>
        <v>0</v>
      </c>
      <c r="G172" s="19">
        <f>(B172-E172)*'PSA&amp;CPR（function) '!G173</f>
        <v>0</v>
      </c>
      <c r="H172" s="19">
        <f>Remaining_balance($B$1,$D$1,A172,$B$3)*'PSA&amp;CPR（function) '!O173</f>
        <v>0</v>
      </c>
    </row>
    <row r="173" spans="1:8">
      <c r="A173">
        <f>'PSA&amp;CPR'!A173</f>
        <v>171</v>
      </c>
      <c r="B173" s="19">
        <f t="shared" si="4"/>
        <v>0</v>
      </c>
      <c r="C173" s="19">
        <f t="shared" si="5"/>
        <v>0</v>
      </c>
      <c r="D173" s="19">
        <f>Monthly_payment($B$1,$D$1,$B$3)*'PSA&amp;CPR（function) '!O173</f>
        <v>0</v>
      </c>
      <c r="E173" s="19">
        <f>Principle_portion_of_payment($B$1,$D$1,A173,$B$3)*'PSA&amp;CPR（function) '!O173</f>
        <v>0</v>
      </c>
      <c r="F173" s="19">
        <f>Interest_portion_of_payment($B$1,$D$1,A173,$B$3)*'PSA&amp;CPR（function) '!O173</f>
        <v>0</v>
      </c>
      <c r="G173" s="19">
        <f>(B173-E173)*'PSA&amp;CPR（function) '!G174</f>
        <v>0</v>
      </c>
      <c r="H173" s="19">
        <f>Remaining_balance($B$1,$D$1,A173,$B$3)*'PSA&amp;CPR（function) '!O174</f>
        <v>0</v>
      </c>
    </row>
    <row r="174" spans="1:8">
      <c r="A174">
        <f>'PSA&amp;CPR'!A174</f>
        <v>172</v>
      </c>
      <c r="B174" s="19">
        <f t="shared" si="4"/>
        <v>0</v>
      </c>
      <c r="C174" s="19">
        <f t="shared" si="5"/>
        <v>0</v>
      </c>
      <c r="D174" s="19">
        <f>Monthly_payment($B$1,$D$1,$B$3)*'PSA&amp;CPR（function) '!O174</f>
        <v>0</v>
      </c>
      <c r="E174" s="19">
        <f>Principle_portion_of_payment($B$1,$D$1,A174,$B$3)*'PSA&amp;CPR（function) '!O174</f>
        <v>0</v>
      </c>
      <c r="F174" s="19">
        <f>Interest_portion_of_payment($B$1,$D$1,A174,$B$3)*'PSA&amp;CPR（function) '!O174</f>
        <v>0</v>
      </c>
      <c r="G174" s="19">
        <f>(B174-E174)*'PSA&amp;CPR（function) '!G175</f>
        <v>0</v>
      </c>
      <c r="H174" s="19">
        <f>Remaining_balance($B$1,$D$1,A174,$B$3)*'PSA&amp;CPR（function) '!O175</f>
        <v>0</v>
      </c>
    </row>
    <row r="175" spans="1:8">
      <c r="A175">
        <f>'PSA&amp;CPR'!A175</f>
        <v>173</v>
      </c>
      <c r="B175" s="19">
        <f t="shared" si="4"/>
        <v>0</v>
      </c>
      <c r="C175" s="19">
        <f t="shared" si="5"/>
        <v>0</v>
      </c>
      <c r="D175" s="19">
        <f>Monthly_payment($B$1,$D$1,$B$3)*'PSA&amp;CPR（function) '!O175</f>
        <v>0</v>
      </c>
      <c r="E175" s="19">
        <f>Principle_portion_of_payment($B$1,$D$1,A175,$B$3)*'PSA&amp;CPR（function) '!O175</f>
        <v>0</v>
      </c>
      <c r="F175" s="19">
        <f>Interest_portion_of_payment($B$1,$D$1,A175,$B$3)*'PSA&amp;CPR（function) '!O175</f>
        <v>0</v>
      </c>
      <c r="G175" s="19">
        <f>(B175-E175)*'PSA&amp;CPR（function) '!G176</f>
        <v>0</v>
      </c>
      <c r="H175" s="19">
        <f>Remaining_balance($B$1,$D$1,A175,$B$3)*'PSA&amp;CPR（function) '!O176</f>
        <v>0</v>
      </c>
    </row>
    <row r="176" spans="1:8">
      <c r="A176">
        <f>'PSA&amp;CPR'!A176</f>
        <v>174</v>
      </c>
      <c r="B176" s="19">
        <f t="shared" si="4"/>
        <v>0</v>
      </c>
      <c r="C176" s="19">
        <f t="shared" si="5"/>
        <v>0</v>
      </c>
      <c r="D176" s="19">
        <f>Monthly_payment($B$1,$D$1,$B$3)*'PSA&amp;CPR（function) '!O176</f>
        <v>0</v>
      </c>
      <c r="E176" s="19">
        <f>Principle_portion_of_payment($B$1,$D$1,A176,$B$3)*'PSA&amp;CPR（function) '!O176</f>
        <v>0</v>
      </c>
      <c r="F176" s="19">
        <f>Interest_portion_of_payment($B$1,$D$1,A176,$B$3)*'PSA&amp;CPR（function) '!O176</f>
        <v>0</v>
      </c>
      <c r="G176" s="19">
        <f>(B176-E176)*'PSA&amp;CPR（function) '!G177</f>
        <v>0</v>
      </c>
      <c r="H176" s="19">
        <f>Remaining_balance($B$1,$D$1,A176,$B$3)*'PSA&amp;CPR（function) '!O177</f>
        <v>0</v>
      </c>
    </row>
    <row r="177" spans="1:8">
      <c r="A177">
        <f>'PSA&amp;CPR'!A177</f>
        <v>175</v>
      </c>
      <c r="B177" s="19">
        <f t="shared" si="4"/>
        <v>0</v>
      </c>
      <c r="C177" s="19">
        <f t="shared" si="5"/>
        <v>0</v>
      </c>
      <c r="D177" s="19">
        <f>Monthly_payment($B$1,$D$1,$B$3)*'PSA&amp;CPR（function) '!O177</f>
        <v>0</v>
      </c>
      <c r="E177" s="19">
        <f>Principle_portion_of_payment($B$1,$D$1,A177,$B$3)*'PSA&amp;CPR（function) '!O177</f>
        <v>0</v>
      </c>
      <c r="F177" s="19">
        <f>Interest_portion_of_payment($B$1,$D$1,A177,$B$3)*'PSA&amp;CPR（function) '!O177</f>
        <v>0</v>
      </c>
      <c r="G177" s="19">
        <f>(B177-E177)*'PSA&amp;CPR（function) '!G178</f>
        <v>0</v>
      </c>
      <c r="H177" s="19">
        <f>Remaining_balance($B$1,$D$1,A177,$B$3)*'PSA&amp;CPR（function) '!O178</f>
        <v>0</v>
      </c>
    </row>
    <row r="178" spans="1:8">
      <c r="A178">
        <f>'PSA&amp;CPR'!A178</f>
        <v>176</v>
      </c>
      <c r="B178" s="19">
        <f t="shared" si="4"/>
        <v>0</v>
      </c>
      <c r="C178" s="19">
        <f t="shared" si="5"/>
        <v>0</v>
      </c>
      <c r="D178" s="19">
        <f>Monthly_payment($B$1,$D$1,$B$3)*'PSA&amp;CPR（function) '!O178</f>
        <v>0</v>
      </c>
      <c r="E178" s="19">
        <f>Principle_portion_of_payment($B$1,$D$1,A178,$B$3)*'PSA&amp;CPR（function) '!O178</f>
        <v>0</v>
      </c>
      <c r="F178" s="19">
        <f>Interest_portion_of_payment($B$1,$D$1,A178,$B$3)*'PSA&amp;CPR（function) '!O178</f>
        <v>0</v>
      </c>
      <c r="G178" s="19">
        <f>(B178-E178)*'PSA&amp;CPR（function) '!G179</f>
        <v>0</v>
      </c>
      <c r="H178" s="19">
        <f>Remaining_balance($B$1,$D$1,A178,$B$3)*'PSA&amp;CPR（function) '!O179</f>
        <v>0</v>
      </c>
    </row>
    <row r="179" spans="1:8">
      <c r="A179">
        <f>'PSA&amp;CPR'!A179</f>
        <v>177</v>
      </c>
      <c r="B179" s="19">
        <f t="shared" si="4"/>
        <v>0</v>
      </c>
      <c r="C179" s="19">
        <f t="shared" si="5"/>
        <v>0</v>
      </c>
      <c r="D179" s="19">
        <f>Monthly_payment($B$1,$D$1,$B$3)*'PSA&amp;CPR（function) '!O179</f>
        <v>0</v>
      </c>
      <c r="E179" s="19">
        <f>Principle_portion_of_payment($B$1,$D$1,A179,$B$3)*'PSA&amp;CPR（function) '!O179</f>
        <v>0</v>
      </c>
      <c r="F179" s="19">
        <f>Interest_portion_of_payment($B$1,$D$1,A179,$B$3)*'PSA&amp;CPR（function) '!O179</f>
        <v>0</v>
      </c>
      <c r="G179" s="19">
        <f>(B179-E179)*'PSA&amp;CPR（function) '!G180</f>
        <v>0</v>
      </c>
      <c r="H179" s="19">
        <f>Remaining_balance($B$1,$D$1,A179,$B$3)*'PSA&amp;CPR（function) '!O180</f>
        <v>0</v>
      </c>
    </row>
    <row r="180" spans="1:8">
      <c r="A180">
        <f>'PSA&amp;CPR'!A180</f>
        <v>178</v>
      </c>
      <c r="B180" s="19">
        <f t="shared" si="4"/>
        <v>0</v>
      </c>
      <c r="C180" s="19">
        <f t="shared" si="5"/>
        <v>0</v>
      </c>
      <c r="D180" s="19">
        <f>Monthly_payment($B$1,$D$1,$B$3)*'PSA&amp;CPR（function) '!O180</f>
        <v>0</v>
      </c>
      <c r="E180" s="19">
        <f>Principle_portion_of_payment($B$1,$D$1,A180,$B$3)*'PSA&amp;CPR（function) '!O180</f>
        <v>0</v>
      </c>
      <c r="F180" s="19">
        <f>Interest_portion_of_payment($B$1,$D$1,A180,$B$3)*'PSA&amp;CPR（function) '!O180</f>
        <v>0</v>
      </c>
      <c r="G180" s="19">
        <f>(B180-E180)*'PSA&amp;CPR（function) '!G181</f>
        <v>0</v>
      </c>
      <c r="H180" s="19">
        <f>Remaining_balance($B$1,$D$1,A180,$B$3)*'PSA&amp;CPR（function) '!O181</f>
        <v>0</v>
      </c>
    </row>
    <row r="181" spans="1:8">
      <c r="A181">
        <f>'PSA&amp;CPR'!A181</f>
        <v>179</v>
      </c>
      <c r="B181" s="19">
        <f t="shared" si="4"/>
        <v>0</v>
      </c>
      <c r="C181" s="19">
        <f t="shared" si="5"/>
        <v>0</v>
      </c>
      <c r="D181" s="19">
        <f>Monthly_payment($B$1,$D$1,$B$3)*'PSA&amp;CPR（function) '!O181</f>
        <v>0</v>
      </c>
      <c r="E181" s="19">
        <f>Principle_portion_of_payment($B$1,$D$1,A181,$B$3)*'PSA&amp;CPR（function) '!O181</f>
        <v>0</v>
      </c>
      <c r="F181" s="19">
        <f>Interest_portion_of_payment($B$1,$D$1,A181,$B$3)*'PSA&amp;CPR（function) '!O181</f>
        <v>0</v>
      </c>
      <c r="G181" s="19">
        <f>(B181-E181)*'PSA&amp;CPR（function) '!G182</f>
        <v>0</v>
      </c>
      <c r="H181" s="19">
        <f>Remaining_balance($B$1,$D$1,A181,$B$3)*'PSA&amp;CPR（function) '!O182</f>
        <v>0</v>
      </c>
    </row>
    <row r="182" spans="1:8">
      <c r="A182">
        <f>'PSA&amp;CPR'!A182</f>
        <v>180</v>
      </c>
      <c r="B182" s="19">
        <f t="shared" si="4"/>
        <v>0</v>
      </c>
      <c r="C182" s="19">
        <f t="shared" si="5"/>
        <v>0</v>
      </c>
      <c r="D182" s="19">
        <f>Monthly_payment($B$1,$D$1,$B$3)*'PSA&amp;CPR（function) '!O182</f>
        <v>0</v>
      </c>
      <c r="E182" s="19">
        <f>Principle_portion_of_payment($B$1,$D$1,A182,$B$3)*'PSA&amp;CPR（function) '!O182</f>
        <v>0</v>
      </c>
      <c r="F182" s="19">
        <f>Interest_portion_of_payment($B$1,$D$1,A182,$B$3)*'PSA&amp;CPR（function) '!O182</f>
        <v>0</v>
      </c>
      <c r="G182" s="19">
        <f>(B182-E182)*'PSA&amp;CPR（function) '!G183</f>
        <v>0</v>
      </c>
      <c r="H182" s="19">
        <f>Remaining_balance($B$1,$D$1,A182,$B$3)*'PSA&amp;CPR（function) '!O183</f>
        <v>0</v>
      </c>
    </row>
    <row r="183" spans="1:8">
      <c r="A183">
        <f>'PSA&amp;CPR'!A183</f>
        <v>181</v>
      </c>
      <c r="B183" s="19">
        <f t="shared" si="4"/>
        <v>0</v>
      </c>
      <c r="C183" s="19">
        <f t="shared" si="5"/>
        <v>0</v>
      </c>
      <c r="D183" s="19">
        <f>Monthly_payment($B$1,$D$1,$B$3)*'PSA&amp;CPR（function) '!O183</f>
        <v>0</v>
      </c>
      <c r="E183" s="19">
        <f>Principle_portion_of_payment($B$1,$D$1,A183,$B$3)*'PSA&amp;CPR（function) '!O183</f>
        <v>0</v>
      </c>
      <c r="F183" s="19">
        <f>Interest_portion_of_payment($B$1,$D$1,A183,$B$3)*'PSA&amp;CPR（function) '!O183</f>
        <v>0</v>
      </c>
      <c r="G183" s="19">
        <f>(B183-E183)*'PSA&amp;CPR（function) '!G184</f>
        <v>0</v>
      </c>
      <c r="H183" s="19">
        <f>Remaining_balance($B$1,$D$1,A183,$B$3)*'PSA&amp;CPR（function) '!O184</f>
        <v>0</v>
      </c>
    </row>
    <row r="184" spans="1:8">
      <c r="A184">
        <f>'PSA&amp;CPR'!A184</f>
        <v>182</v>
      </c>
      <c r="B184" s="19">
        <f t="shared" si="4"/>
        <v>0</v>
      </c>
      <c r="C184" s="19">
        <f t="shared" si="5"/>
        <v>0</v>
      </c>
      <c r="D184" s="19">
        <f>Monthly_payment($B$1,$D$1,$B$3)*'PSA&amp;CPR（function) '!O184</f>
        <v>0</v>
      </c>
      <c r="E184" s="19">
        <f>Principle_portion_of_payment($B$1,$D$1,A184,$B$3)*'PSA&amp;CPR（function) '!O184</f>
        <v>0</v>
      </c>
      <c r="F184" s="19">
        <f>Interest_portion_of_payment($B$1,$D$1,A184,$B$3)*'PSA&amp;CPR（function) '!O184</f>
        <v>0</v>
      </c>
      <c r="G184" s="19">
        <f>(B184-E184)*'PSA&amp;CPR（function) '!G185</f>
        <v>0</v>
      </c>
      <c r="H184" s="19">
        <f>Remaining_balance($B$1,$D$1,A184,$B$3)*'PSA&amp;CPR（function) '!O185</f>
        <v>0</v>
      </c>
    </row>
    <row r="185" spans="1:8">
      <c r="A185">
        <f>'PSA&amp;CPR'!A185</f>
        <v>183</v>
      </c>
      <c r="B185" s="19">
        <f t="shared" si="4"/>
        <v>0</v>
      </c>
      <c r="C185" s="19">
        <f t="shared" si="5"/>
        <v>0</v>
      </c>
      <c r="D185" s="19">
        <f>Monthly_payment($B$1,$D$1,$B$3)*'PSA&amp;CPR（function) '!O185</f>
        <v>0</v>
      </c>
      <c r="E185" s="19">
        <f>Principle_portion_of_payment($B$1,$D$1,A185,$B$3)*'PSA&amp;CPR（function) '!O185</f>
        <v>0</v>
      </c>
      <c r="F185" s="19">
        <f>Interest_portion_of_payment($B$1,$D$1,A185,$B$3)*'PSA&amp;CPR（function) '!O185</f>
        <v>0</v>
      </c>
      <c r="G185" s="19">
        <f>(B185-E185)*'PSA&amp;CPR（function) '!G186</f>
        <v>0</v>
      </c>
      <c r="H185" s="19">
        <f>Remaining_balance($B$1,$D$1,A185,$B$3)*'PSA&amp;CPR（function) '!O186</f>
        <v>0</v>
      </c>
    </row>
    <row r="186" spans="1:8">
      <c r="A186">
        <f>'PSA&amp;CPR'!A186</f>
        <v>184</v>
      </c>
      <c r="B186" s="19">
        <f t="shared" si="4"/>
        <v>0</v>
      </c>
      <c r="C186" s="19">
        <f t="shared" si="5"/>
        <v>0</v>
      </c>
      <c r="D186" s="19">
        <f>Monthly_payment($B$1,$D$1,$B$3)*'PSA&amp;CPR（function) '!O186</f>
        <v>0</v>
      </c>
      <c r="E186" s="19">
        <f>Principle_portion_of_payment($B$1,$D$1,A186,$B$3)*'PSA&amp;CPR（function) '!O186</f>
        <v>0</v>
      </c>
      <c r="F186" s="19">
        <f>Interest_portion_of_payment($B$1,$D$1,A186,$B$3)*'PSA&amp;CPR（function) '!O186</f>
        <v>0</v>
      </c>
      <c r="G186" s="19">
        <f>(B186-E186)*'PSA&amp;CPR（function) '!G187</f>
        <v>0</v>
      </c>
      <c r="H186" s="19">
        <f>Remaining_balance($B$1,$D$1,A186,$B$3)*'PSA&amp;CPR（function) '!O187</f>
        <v>0</v>
      </c>
    </row>
    <row r="187" spans="1:8">
      <c r="A187">
        <f>'PSA&amp;CPR'!A187</f>
        <v>185</v>
      </c>
      <c r="B187" s="19">
        <f t="shared" si="4"/>
        <v>0</v>
      </c>
      <c r="C187" s="19">
        <f t="shared" si="5"/>
        <v>0</v>
      </c>
      <c r="D187" s="19">
        <f>Monthly_payment($B$1,$D$1,$B$3)*'PSA&amp;CPR（function) '!O187</f>
        <v>0</v>
      </c>
      <c r="E187" s="19">
        <f>Principle_portion_of_payment($B$1,$D$1,A187,$B$3)*'PSA&amp;CPR（function) '!O187</f>
        <v>0</v>
      </c>
      <c r="F187" s="19">
        <f>Interest_portion_of_payment($B$1,$D$1,A187,$B$3)*'PSA&amp;CPR（function) '!O187</f>
        <v>0</v>
      </c>
      <c r="G187" s="19">
        <f>(B187-E187)*'PSA&amp;CPR（function) '!G188</f>
        <v>0</v>
      </c>
      <c r="H187" s="19">
        <f>Remaining_balance($B$1,$D$1,A187,$B$3)*'PSA&amp;CPR（function) '!O188</f>
        <v>0</v>
      </c>
    </row>
    <row r="188" spans="1:8">
      <c r="A188">
        <f>'PSA&amp;CPR'!A188</f>
        <v>186</v>
      </c>
      <c r="B188" s="19">
        <f t="shared" si="4"/>
        <v>0</v>
      </c>
      <c r="C188" s="19">
        <f t="shared" si="5"/>
        <v>0</v>
      </c>
      <c r="D188" s="19">
        <f>Monthly_payment($B$1,$D$1,$B$3)*'PSA&amp;CPR（function) '!O188</f>
        <v>0</v>
      </c>
      <c r="E188" s="19">
        <f>Principle_portion_of_payment($B$1,$D$1,A188,$B$3)*'PSA&amp;CPR（function) '!O188</f>
        <v>0</v>
      </c>
      <c r="F188" s="19">
        <f>Interest_portion_of_payment($B$1,$D$1,A188,$B$3)*'PSA&amp;CPR（function) '!O188</f>
        <v>0</v>
      </c>
      <c r="G188" s="19">
        <f>(B188-E188)*'PSA&amp;CPR（function) '!G189</f>
        <v>0</v>
      </c>
      <c r="H188" s="19">
        <f>Remaining_balance($B$1,$D$1,A188,$B$3)*'PSA&amp;CPR（function) '!O189</f>
        <v>0</v>
      </c>
    </row>
    <row r="189" spans="1:8">
      <c r="A189">
        <f>'PSA&amp;CPR'!A189</f>
        <v>187</v>
      </c>
      <c r="B189" s="19">
        <f t="shared" si="4"/>
        <v>0</v>
      </c>
      <c r="C189" s="19">
        <f t="shared" si="5"/>
        <v>0</v>
      </c>
      <c r="D189" s="19">
        <f>Monthly_payment($B$1,$D$1,$B$3)*'PSA&amp;CPR（function) '!O189</f>
        <v>0</v>
      </c>
      <c r="E189" s="19">
        <f>Principle_portion_of_payment($B$1,$D$1,A189,$B$3)*'PSA&amp;CPR（function) '!O189</f>
        <v>0</v>
      </c>
      <c r="F189" s="19">
        <f>Interest_portion_of_payment($B$1,$D$1,A189,$B$3)*'PSA&amp;CPR（function) '!O189</f>
        <v>0</v>
      </c>
      <c r="G189" s="19">
        <f>(B189-E189)*'PSA&amp;CPR（function) '!G190</f>
        <v>0</v>
      </c>
      <c r="H189" s="19">
        <f>Remaining_balance($B$1,$D$1,A189,$B$3)*'PSA&amp;CPR（function) '!O190</f>
        <v>0</v>
      </c>
    </row>
    <row r="190" spans="1:8">
      <c r="A190">
        <f>'PSA&amp;CPR'!A190</f>
        <v>188</v>
      </c>
      <c r="B190" s="19">
        <f t="shared" si="4"/>
        <v>0</v>
      </c>
      <c r="C190" s="19">
        <f t="shared" si="5"/>
        <v>0</v>
      </c>
      <c r="D190" s="19">
        <f>Monthly_payment($B$1,$D$1,$B$3)*'PSA&amp;CPR（function) '!O190</f>
        <v>0</v>
      </c>
      <c r="E190" s="19">
        <f>Principle_portion_of_payment($B$1,$D$1,A190,$B$3)*'PSA&amp;CPR（function) '!O190</f>
        <v>0</v>
      </c>
      <c r="F190" s="19">
        <f>Interest_portion_of_payment($B$1,$D$1,A190,$B$3)*'PSA&amp;CPR（function) '!O190</f>
        <v>0</v>
      </c>
      <c r="G190" s="19">
        <f>(B190-E190)*'PSA&amp;CPR（function) '!G191</f>
        <v>0</v>
      </c>
      <c r="H190" s="19">
        <f>Remaining_balance($B$1,$D$1,A190,$B$3)*'PSA&amp;CPR（function) '!O191</f>
        <v>0</v>
      </c>
    </row>
    <row r="191" spans="1:8">
      <c r="A191">
        <f>'PSA&amp;CPR'!A191</f>
        <v>189</v>
      </c>
      <c r="B191" s="19">
        <f t="shared" si="4"/>
        <v>0</v>
      </c>
      <c r="C191" s="19">
        <f t="shared" si="5"/>
        <v>0</v>
      </c>
      <c r="D191" s="19">
        <f>Monthly_payment($B$1,$D$1,$B$3)*'PSA&amp;CPR（function) '!O191</f>
        <v>0</v>
      </c>
      <c r="E191" s="19">
        <f>Principle_portion_of_payment($B$1,$D$1,A191,$B$3)*'PSA&amp;CPR（function) '!O191</f>
        <v>0</v>
      </c>
      <c r="F191" s="19">
        <f>Interest_portion_of_payment($B$1,$D$1,A191,$B$3)*'PSA&amp;CPR（function) '!O191</f>
        <v>0</v>
      </c>
      <c r="G191" s="19">
        <f>(B191-E191)*'PSA&amp;CPR（function) '!G192</f>
        <v>0</v>
      </c>
      <c r="H191" s="19">
        <f>Remaining_balance($B$1,$D$1,A191,$B$3)*'PSA&amp;CPR（function) '!O192</f>
        <v>0</v>
      </c>
    </row>
    <row r="192" spans="1:8">
      <c r="A192">
        <f>'PSA&amp;CPR'!A192</f>
        <v>190</v>
      </c>
      <c r="B192" s="19">
        <f t="shared" si="4"/>
        <v>0</v>
      </c>
      <c r="C192" s="19">
        <f t="shared" si="5"/>
        <v>0</v>
      </c>
      <c r="D192" s="19">
        <f>Monthly_payment($B$1,$D$1,$B$3)*'PSA&amp;CPR（function) '!O192</f>
        <v>0</v>
      </c>
      <c r="E192" s="19">
        <f>Principle_portion_of_payment($B$1,$D$1,A192,$B$3)*'PSA&amp;CPR（function) '!O192</f>
        <v>0</v>
      </c>
      <c r="F192" s="19">
        <f>Interest_portion_of_payment($B$1,$D$1,A192,$B$3)*'PSA&amp;CPR（function) '!O192</f>
        <v>0</v>
      </c>
      <c r="G192" s="19">
        <f>(B192-E192)*'PSA&amp;CPR（function) '!G193</f>
        <v>0</v>
      </c>
      <c r="H192" s="19">
        <f>Remaining_balance($B$1,$D$1,A192,$B$3)*'PSA&amp;CPR（function) '!O193</f>
        <v>0</v>
      </c>
    </row>
    <row r="193" spans="1:8">
      <c r="A193">
        <f>'PSA&amp;CPR'!A193</f>
        <v>191</v>
      </c>
      <c r="B193" s="19">
        <f t="shared" si="4"/>
        <v>0</v>
      </c>
      <c r="C193" s="19">
        <f t="shared" si="5"/>
        <v>0</v>
      </c>
      <c r="D193" s="19">
        <f>Monthly_payment($B$1,$D$1,$B$3)*'PSA&amp;CPR（function) '!O193</f>
        <v>0</v>
      </c>
      <c r="E193" s="19">
        <f>Principle_portion_of_payment($B$1,$D$1,A193,$B$3)*'PSA&amp;CPR（function) '!O193</f>
        <v>0</v>
      </c>
      <c r="F193" s="19">
        <f>Interest_portion_of_payment($B$1,$D$1,A193,$B$3)*'PSA&amp;CPR（function) '!O193</f>
        <v>0</v>
      </c>
      <c r="G193" s="19">
        <f>(B193-E193)*'PSA&amp;CPR（function) '!G194</f>
        <v>0</v>
      </c>
      <c r="H193" s="19">
        <f>Remaining_balance($B$1,$D$1,A193,$B$3)*'PSA&amp;CPR（function) '!O194</f>
        <v>0</v>
      </c>
    </row>
    <row r="194" spans="1:8">
      <c r="A194">
        <f>'PSA&amp;CPR'!A194</f>
        <v>192</v>
      </c>
      <c r="B194" s="19">
        <f t="shared" si="4"/>
        <v>0</v>
      </c>
      <c r="C194" s="19">
        <f t="shared" si="5"/>
        <v>0</v>
      </c>
      <c r="D194" s="19">
        <f>Monthly_payment($B$1,$D$1,$B$3)*'PSA&amp;CPR（function) '!O194</f>
        <v>0</v>
      </c>
      <c r="E194" s="19">
        <f>Principle_portion_of_payment($B$1,$D$1,A194,$B$3)*'PSA&amp;CPR（function) '!O194</f>
        <v>0</v>
      </c>
      <c r="F194" s="19">
        <f>Interest_portion_of_payment($B$1,$D$1,A194,$B$3)*'PSA&amp;CPR（function) '!O194</f>
        <v>0</v>
      </c>
      <c r="G194" s="19">
        <f>(B194-E194)*'PSA&amp;CPR（function) '!G195</f>
        <v>0</v>
      </c>
      <c r="H194" s="19">
        <f>Remaining_balance($B$1,$D$1,A194,$B$3)*'PSA&amp;CPR（function) '!O195</f>
        <v>0</v>
      </c>
    </row>
    <row r="195" spans="1:8">
      <c r="A195">
        <f>'PSA&amp;CPR'!A195</f>
        <v>193</v>
      </c>
      <c r="B195" s="19">
        <f t="shared" si="4"/>
        <v>0</v>
      </c>
      <c r="C195" s="19">
        <f t="shared" si="5"/>
        <v>0</v>
      </c>
      <c r="D195" s="19">
        <f>Monthly_payment($B$1,$D$1,$B$3)*'PSA&amp;CPR（function) '!O195</f>
        <v>0</v>
      </c>
      <c r="E195" s="19">
        <f>Principle_portion_of_payment($B$1,$D$1,A195,$B$3)*'PSA&amp;CPR（function) '!O195</f>
        <v>0</v>
      </c>
      <c r="F195" s="19">
        <f>Interest_portion_of_payment($B$1,$D$1,A195,$B$3)*'PSA&amp;CPR（function) '!O195</f>
        <v>0</v>
      </c>
      <c r="G195" s="19">
        <f>(B195-E195)*'PSA&amp;CPR（function) '!G196</f>
        <v>0</v>
      </c>
      <c r="H195" s="19">
        <f>Remaining_balance($B$1,$D$1,A195,$B$3)*'PSA&amp;CPR（function) '!O196</f>
        <v>0</v>
      </c>
    </row>
    <row r="196" spans="1:8">
      <c r="A196">
        <f>'PSA&amp;CPR'!A196</f>
        <v>194</v>
      </c>
      <c r="B196" s="19">
        <f t="shared" si="4"/>
        <v>0</v>
      </c>
      <c r="C196" s="19">
        <f t="shared" si="5"/>
        <v>0</v>
      </c>
      <c r="D196" s="19">
        <f>Monthly_payment($B$1,$D$1,$B$3)*'PSA&amp;CPR（function) '!O196</f>
        <v>0</v>
      </c>
      <c r="E196" s="19">
        <f>Principle_portion_of_payment($B$1,$D$1,A196,$B$3)*'PSA&amp;CPR（function) '!O196</f>
        <v>0</v>
      </c>
      <c r="F196" s="19">
        <f>Interest_portion_of_payment($B$1,$D$1,A196,$B$3)*'PSA&amp;CPR（function) '!O196</f>
        <v>0</v>
      </c>
      <c r="G196" s="19">
        <f>(B196-E196)*'PSA&amp;CPR（function) '!G197</f>
        <v>0</v>
      </c>
      <c r="H196" s="19">
        <f>Remaining_balance($B$1,$D$1,A196,$B$3)*'PSA&amp;CPR（function) '!O197</f>
        <v>0</v>
      </c>
    </row>
    <row r="197" spans="1:8">
      <c r="A197">
        <f>'PSA&amp;CPR'!A197</f>
        <v>195</v>
      </c>
      <c r="B197" s="19">
        <f t="shared" ref="B197:B260" si="6">H196</f>
        <v>0</v>
      </c>
      <c r="C197" s="19">
        <f t="shared" ref="C197:C260" si="7">B197*($B$1/1200)</f>
        <v>0</v>
      </c>
      <c r="D197" s="19">
        <f>Monthly_payment($B$1,$D$1,$B$3)*'PSA&amp;CPR（function) '!O197</f>
        <v>0</v>
      </c>
      <c r="E197" s="19">
        <f>Principle_portion_of_payment($B$1,$D$1,A197,$B$3)*'PSA&amp;CPR（function) '!O197</f>
        <v>0</v>
      </c>
      <c r="F197" s="19">
        <f>Interest_portion_of_payment($B$1,$D$1,A197,$B$3)*'PSA&amp;CPR（function) '!O197</f>
        <v>0</v>
      </c>
      <c r="G197" s="19">
        <f>(B197-E197)*'PSA&amp;CPR（function) '!G198</f>
        <v>0</v>
      </c>
      <c r="H197" s="19">
        <f>Remaining_balance($B$1,$D$1,A197,$B$3)*'PSA&amp;CPR（function) '!O198</f>
        <v>0</v>
      </c>
    </row>
    <row r="198" spans="1:8">
      <c r="A198">
        <f>'PSA&amp;CPR'!A198</f>
        <v>196</v>
      </c>
      <c r="B198" s="19">
        <f t="shared" si="6"/>
        <v>0</v>
      </c>
      <c r="C198" s="19">
        <f t="shared" si="7"/>
        <v>0</v>
      </c>
      <c r="D198" s="19">
        <f>Monthly_payment($B$1,$D$1,$B$3)*'PSA&amp;CPR（function) '!O198</f>
        <v>0</v>
      </c>
      <c r="E198" s="19">
        <f>Principle_portion_of_payment($B$1,$D$1,A198,$B$3)*'PSA&amp;CPR（function) '!O198</f>
        <v>0</v>
      </c>
      <c r="F198" s="19">
        <f>Interest_portion_of_payment($B$1,$D$1,A198,$B$3)*'PSA&amp;CPR（function) '!O198</f>
        <v>0</v>
      </c>
      <c r="G198" s="19">
        <f>(B198-E198)*'PSA&amp;CPR（function) '!G199</f>
        <v>0</v>
      </c>
      <c r="H198" s="19">
        <f>Remaining_balance($B$1,$D$1,A198,$B$3)*'PSA&amp;CPR（function) '!O199</f>
        <v>0</v>
      </c>
    </row>
    <row r="199" spans="1:8">
      <c r="A199">
        <f>'PSA&amp;CPR'!A199</f>
        <v>197</v>
      </c>
      <c r="B199" s="19">
        <f t="shared" si="6"/>
        <v>0</v>
      </c>
      <c r="C199" s="19">
        <f t="shared" si="7"/>
        <v>0</v>
      </c>
      <c r="D199" s="19">
        <f>Monthly_payment($B$1,$D$1,$B$3)*'PSA&amp;CPR（function) '!O199</f>
        <v>0</v>
      </c>
      <c r="E199" s="19">
        <f>Principle_portion_of_payment($B$1,$D$1,A199,$B$3)*'PSA&amp;CPR（function) '!O199</f>
        <v>0</v>
      </c>
      <c r="F199" s="19">
        <f>Interest_portion_of_payment($B$1,$D$1,A199,$B$3)*'PSA&amp;CPR（function) '!O199</f>
        <v>0</v>
      </c>
      <c r="G199" s="19">
        <f>(B199-E199)*'PSA&amp;CPR（function) '!G200</f>
        <v>0</v>
      </c>
      <c r="H199" s="19">
        <f>Remaining_balance($B$1,$D$1,A199,$B$3)*'PSA&amp;CPR（function) '!O200</f>
        <v>0</v>
      </c>
    </row>
    <row r="200" spans="1:8">
      <c r="A200">
        <f>'PSA&amp;CPR'!A200</f>
        <v>198</v>
      </c>
      <c r="B200" s="19">
        <f t="shared" si="6"/>
        <v>0</v>
      </c>
      <c r="C200" s="19">
        <f t="shared" si="7"/>
        <v>0</v>
      </c>
      <c r="D200" s="19">
        <f>Monthly_payment($B$1,$D$1,$B$3)*'PSA&amp;CPR（function) '!O200</f>
        <v>0</v>
      </c>
      <c r="E200" s="19">
        <f>Principle_portion_of_payment($B$1,$D$1,A200,$B$3)*'PSA&amp;CPR（function) '!O200</f>
        <v>0</v>
      </c>
      <c r="F200" s="19">
        <f>Interest_portion_of_payment($B$1,$D$1,A200,$B$3)*'PSA&amp;CPR（function) '!O200</f>
        <v>0</v>
      </c>
      <c r="G200" s="19">
        <f>(B200-E200)*'PSA&amp;CPR（function) '!G201</f>
        <v>0</v>
      </c>
      <c r="H200" s="19">
        <f>Remaining_balance($B$1,$D$1,A200,$B$3)*'PSA&amp;CPR（function) '!O201</f>
        <v>0</v>
      </c>
    </row>
    <row r="201" spans="1:8">
      <c r="A201">
        <f>'PSA&amp;CPR'!A201</f>
        <v>199</v>
      </c>
      <c r="B201" s="19">
        <f t="shared" si="6"/>
        <v>0</v>
      </c>
      <c r="C201" s="19">
        <f t="shared" si="7"/>
        <v>0</v>
      </c>
      <c r="D201" s="19">
        <f>Monthly_payment($B$1,$D$1,$B$3)*'PSA&amp;CPR（function) '!O201</f>
        <v>0</v>
      </c>
      <c r="E201" s="19">
        <f>Principle_portion_of_payment($B$1,$D$1,A201,$B$3)*'PSA&amp;CPR（function) '!O201</f>
        <v>0</v>
      </c>
      <c r="F201" s="19">
        <f>Interest_portion_of_payment($B$1,$D$1,A201,$B$3)*'PSA&amp;CPR（function) '!O201</f>
        <v>0</v>
      </c>
      <c r="G201" s="19">
        <f>(B201-E201)*'PSA&amp;CPR（function) '!G202</f>
        <v>0</v>
      </c>
      <c r="H201" s="19">
        <f>Remaining_balance($B$1,$D$1,A201,$B$3)*'PSA&amp;CPR（function) '!O202</f>
        <v>0</v>
      </c>
    </row>
    <row r="202" spans="1:8">
      <c r="A202">
        <f>'PSA&amp;CPR'!A202</f>
        <v>200</v>
      </c>
      <c r="B202" s="19">
        <f t="shared" si="6"/>
        <v>0</v>
      </c>
      <c r="C202" s="19">
        <f t="shared" si="7"/>
        <v>0</v>
      </c>
      <c r="D202" s="19">
        <f>Monthly_payment($B$1,$D$1,$B$3)*'PSA&amp;CPR（function) '!O202</f>
        <v>0</v>
      </c>
      <c r="E202" s="19">
        <f>Principle_portion_of_payment($B$1,$D$1,A202,$B$3)*'PSA&amp;CPR（function) '!O202</f>
        <v>0</v>
      </c>
      <c r="F202" s="19">
        <f>Interest_portion_of_payment($B$1,$D$1,A202,$B$3)*'PSA&amp;CPR（function) '!O202</f>
        <v>0</v>
      </c>
      <c r="G202" s="19">
        <f>(B202-E202)*'PSA&amp;CPR（function) '!G203</f>
        <v>0</v>
      </c>
      <c r="H202" s="19">
        <f>Remaining_balance($B$1,$D$1,A202,$B$3)*'PSA&amp;CPR（function) '!O203</f>
        <v>0</v>
      </c>
    </row>
    <row r="203" spans="1:8">
      <c r="A203">
        <f>'PSA&amp;CPR'!A203</f>
        <v>201</v>
      </c>
      <c r="B203" s="19">
        <f t="shared" si="6"/>
        <v>0</v>
      </c>
      <c r="C203" s="19">
        <f t="shared" si="7"/>
        <v>0</v>
      </c>
      <c r="D203" s="19">
        <f>Monthly_payment($B$1,$D$1,$B$3)*'PSA&amp;CPR（function) '!O203</f>
        <v>0</v>
      </c>
      <c r="E203" s="19">
        <f>Principle_portion_of_payment($B$1,$D$1,A203,$B$3)*'PSA&amp;CPR（function) '!O203</f>
        <v>0</v>
      </c>
      <c r="F203" s="19">
        <f>Interest_portion_of_payment($B$1,$D$1,A203,$B$3)*'PSA&amp;CPR（function) '!O203</f>
        <v>0</v>
      </c>
      <c r="G203" s="19">
        <f>(B203-E203)*'PSA&amp;CPR（function) '!G204</f>
        <v>0</v>
      </c>
      <c r="H203" s="19">
        <f>Remaining_balance($B$1,$D$1,A203,$B$3)*'PSA&amp;CPR（function) '!O204</f>
        <v>0</v>
      </c>
    </row>
    <row r="204" spans="1:8">
      <c r="A204">
        <f>'PSA&amp;CPR'!A204</f>
        <v>202</v>
      </c>
      <c r="B204" s="19">
        <f t="shared" si="6"/>
        <v>0</v>
      </c>
      <c r="C204" s="19">
        <f t="shared" si="7"/>
        <v>0</v>
      </c>
      <c r="D204" s="19">
        <f>Monthly_payment($B$1,$D$1,$B$3)*'PSA&amp;CPR（function) '!O204</f>
        <v>0</v>
      </c>
      <c r="E204" s="19">
        <f>Principle_portion_of_payment($B$1,$D$1,A204,$B$3)*'PSA&amp;CPR（function) '!O204</f>
        <v>0</v>
      </c>
      <c r="F204" s="19">
        <f>Interest_portion_of_payment($B$1,$D$1,A204,$B$3)*'PSA&amp;CPR（function) '!O204</f>
        <v>0</v>
      </c>
      <c r="G204" s="19">
        <f>(B204-E204)*'PSA&amp;CPR（function) '!G205</f>
        <v>0</v>
      </c>
      <c r="H204" s="19">
        <f>Remaining_balance($B$1,$D$1,A204,$B$3)*'PSA&amp;CPR（function) '!O205</f>
        <v>0</v>
      </c>
    </row>
    <row r="205" spans="1:8">
      <c r="A205">
        <f>'PSA&amp;CPR'!A205</f>
        <v>203</v>
      </c>
      <c r="B205" s="19">
        <f t="shared" si="6"/>
        <v>0</v>
      </c>
      <c r="C205" s="19">
        <f t="shared" si="7"/>
        <v>0</v>
      </c>
      <c r="D205" s="19">
        <f>Monthly_payment($B$1,$D$1,$B$3)*'PSA&amp;CPR（function) '!O205</f>
        <v>0</v>
      </c>
      <c r="E205" s="19">
        <f>Principle_portion_of_payment($B$1,$D$1,A205,$B$3)*'PSA&amp;CPR（function) '!O205</f>
        <v>0</v>
      </c>
      <c r="F205" s="19">
        <f>Interest_portion_of_payment($B$1,$D$1,A205,$B$3)*'PSA&amp;CPR（function) '!O205</f>
        <v>0</v>
      </c>
      <c r="G205" s="19">
        <f>(B205-E205)*'PSA&amp;CPR（function) '!G206</f>
        <v>0</v>
      </c>
      <c r="H205" s="19">
        <f>Remaining_balance($B$1,$D$1,A205,$B$3)*'PSA&amp;CPR（function) '!O206</f>
        <v>0</v>
      </c>
    </row>
    <row r="206" spans="1:8">
      <c r="A206">
        <f>'PSA&amp;CPR'!A206</f>
        <v>204</v>
      </c>
      <c r="B206" s="19">
        <f t="shared" si="6"/>
        <v>0</v>
      </c>
      <c r="C206" s="19">
        <f t="shared" si="7"/>
        <v>0</v>
      </c>
      <c r="D206" s="19">
        <f>Monthly_payment($B$1,$D$1,$B$3)*'PSA&amp;CPR（function) '!O206</f>
        <v>0</v>
      </c>
      <c r="E206" s="19">
        <f>Principle_portion_of_payment($B$1,$D$1,A206,$B$3)*'PSA&amp;CPR（function) '!O206</f>
        <v>0</v>
      </c>
      <c r="F206" s="19">
        <f>Interest_portion_of_payment($B$1,$D$1,A206,$B$3)*'PSA&amp;CPR（function) '!O206</f>
        <v>0</v>
      </c>
      <c r="G206" s="19">
        <f>(B206-E206)*'PSA&amp;CPR（function) '!G207</f>
        <v>0</v>
      </c>
      <c r="H206" s="19">
        <f>Remaining_balance($B$1,$D$1,A206,$B$3)*'PSA&amp;CPR（function) '!O207</f>
        <v>0</v>
      </c>
    </row>
    <row r="207" spans="1:8">
      <c r="A207">
        <f>'PSA&amp;CPR'!A207</f>
        <v>205</v>
      </c>
      <c r="B207" s="19">
        <f t="shared" si="6"/>
        <v>0</v>
      </c>
      <c r="C207" s="19">
        <f t="shared" si="7"/>
        <v>0</v>
      </c>
      <c r="D207" s="19">
        <f>Monthly_payment($B$1,$D$1,$B$3)*'PSA&amp;CPR（function) '!O207</f>
        <v>0</v>
      </c>
      <c r="E207" s="19">
        <f>Principle_portion_of_payment($B$1,$D$1,A207,$B$3)*'PSA&amp;CPR（function) '!O207</f>
        <v>0</v>
      </c>
      <c r="F207" s="19">
        <f>Interest_portion_of_payment($B$1,$D$1,A207,$B$3)*'PSA&amp;CPR（function) '!O207</f>
        <v>0</v>
      </c>
      <c r="G207" s="19">
        <f>(B207-E207)*'PSA&amp;CPR（function) '!G208</f>
        <v>0</v>
      </c>
      <c r="H207" s="19">
        <f>Remaining_balance($B$1,$D$1,A207,$B$3)*'PSA&amp;CPR（function) '!O208</f>
        <v>0</v>
      </c>
    </row>
    <row r="208" spans="1:8">
      <c r="A208">
        <f>'PSA&amp;CPR'!A208</f>
        <v>206</v>
      </c>
      <c r="B208" s="19">
        <f t="shared" si="6"/>
        <v>0</v>
      </c>
      <c r="C208" s="19">
        <f t="shared" si="7"/>
        <v>0</v>
      </c>
      <c r="D208" s="19">
        <f>Monthly_payment($B$1,$D$1,$B$3)*'PSA&amp;CPR（function) '!O208</f>
        <v>0</v>
      </c>
      <c r="E208" s="19">
        <f>Principle_portion_of_payment($B$1,$D$1,A208,$B$3)*'PSA&amp;CPR（function) '!O208</f>
        <v>0</v>
      </c>
      <c r="F208" s="19">
        <f>Interest_portion_of_payment($B$1,$D$1,A208,$B$3)*'PSA&amp;CPR（function) '!O208</f>
        <v>0</v>
      </c>
      <c r="G208" s="19">
        <f>(B208-E208)*'PSA&amp;CPR（function) '!G209</f>
        <v>0</v>
      </c>
      <c r="H208" s="19">
        <f>Remaining_balance($B$1,$D$1,A208,$B$3)*'PSA&amp;CPR（function) '!O209</f>
        <v>0</v>
      </c>
    </row>
    <row r="209" spans="1:8">
      <c r="A209">
        <f>'PSA&amp;CPR'!A209</f>
        <v>207</v>
      </c>
      <c r="B209" s="19">
        <f t="shared" si="6"/>
        <v>0</v>
      </c>
      <c r="C209" s="19">
        <f t="shared" si="7"/>
        <v>0</v>
      </c>
      <c r="D209" s="19">
        <f>Monthly_payment($B$1,$D$1,$B$3)*'PSA&amp;CPR（function) '!O209</f>
        <v>0</v>
      </c>
      <c r="E209" s="19">
        <f>Principle_portion_of_payment($B$1,$D$1,A209,$B$3)*'PSA&amp;CPR（function) '!O209</f>
        <v>0</v>
      </c>
      <c r="F209" s="19">
        <f>Interest_portion_of_payment($B$1,$D$1,A209,$B$3)*'PSA&amp;CPR（function) '!O209</f>
        <v>0</v>
      </c>
      <c r="G209" s="19">
        <f>(B209-E209)*'PSA&amp;CPR（function) '!G210</f>
        <v>0</v>
      </c>
      <c r="H209" s="19">
        <f>Remaining_balance($B$1,$D$1,A209,$B$3)*'PSA&amp;CPR（function) '!O210</f>
        <v>0</v>
      </c>
    </row>
    <row r="210" spans="1:8">
      <c r="A210">
        <f>'PSA&amp;CPR'!A210</f>
        <v>208</v>
      </c>
      <c r="B210" s="19">
        <f t="shared" si="6"/>
        <v>0</v>
      </c>
      <c r="C210" s="19">
        <f t="shared" si="7"/>
        <v>0</v>
      </c>
      <c r="D210" s="19">
        <f>Monthly_payment($B$1,$D$1,$B$3)*'PSA&amp;CPR（function) '!O210</f>
        <v>0</v>
      </c>
      <c r="E210" s="19">
        <f>Principle_portion_of_payment($B$1,$D$1,A210,$B$3)*'PSA&amp;CPR（function) '!O210</f>
        <v>0</v>
      </c>
      <c r="F210" s="19">
        <f>Interest_portion_of_payment($B$1,$D$1,A210,$B$3)*'PSA&amp;CPR（function) '!O210</f>
        <v>0</v>
      </c>
      <c r="G210" s="19">
        <f>(B210-E210)*'PSA&amp;CPR（function) '!G211</f>
        <v>0</v>
      </c>
      <c r="H210" s="19">
        <f>Remaining_balance($B$1,$D$1,A210,$B$3)*'PSA&amp;CPR（function) '!O211</f>
        <v>0</v>
      </c>
    </row>
    <row r="211" spans="1:8">
      <c r="A211">
        <f>'PSA&amp;CPR'!A211</f>
        <v>209</v>
      </c>
      <c r="B211" s="19">
        <f t="shared" si="6"/>
        <v>0</v>
      </c>
      <c r="C211" s="19">
        <f t="shared" si="7"/>
        <v>0</v>
      </c>
      <c r="D211" s="19">
        <f>Monthly_payment($B$1,$D$1,$B$3)*'PSA&amp;CPR（function) '!O211</f>
        <v>0</v>
      </c>
      <c r="E211" s="19">
        <f>Principle_portion_of_payment($B$1,$D$1,A211,$B$3)*'PSA&amp;CPR（function) '!O211</f>
        <v>0</v>
      </c>
      <c r="F211" s="19">
        <f>Interest_portion_of_payment($B$1,$D$1,A211,$B$3)*'PSA&amp;CPR（function) '!O211</f>
        <v>0</v>
      </c>
      <c r="G211" s="19">
        <f>(B211-E211)*'PSA&amp;CPR（function) '!G212</f>
        <v>0</v>
      </c>
      <c r="H211" s="19">
        <f>Remaining_balance($B$1,$D$1,A211,$B$3)*'PSA&amp;CPR（function) '!O212</f>
        <v>0</v>
      </c>
    </row>
    <row r="212" spans="1:8">
      <c r="A212">
        <f>'PSA&amp;CPR'!A212</f>
        <v>210</v>
      </c>
      <c r="B212" s="19">
        <f t="shared" si="6"/>
        <v>0</v>
      </c>
      <c r="C212" s="19">
        <f t="shared" si="7"/>
        <v>0</v>
      </c>
      <c r="D212" s="19">
        <f>Monthly_payment($B$1,$D$1,$B$3)*'PSA&amp;CPR（function) '!O212</f>
        <v>0</v>
      </c>
      <c r="E212" s="19">
        <f>Principle_portion_of_payment($B$1,$D$1,A212,$B$3)*'PSA&amp;CPR（function) '!O212</f>
        <v>0</v>
      </c>
      <c r="F212" s="19">
        <f>Interest_portion_of_payment($B$1,$D$1,A212,$B$3)*'PSA&amp;CPR（function) '!O212</f>
        <v>0</v>
      </c>
      <c r="G212" s="19">
        <f>(B212-E212)*'PSA&amp;CPR（function) '!G213</f>
        <v>0</v>
      </c>
      <c r="H212" s="19">
        <f>Remaining_balance($B$1,$D$1,A212,$B$3)*'PSA&amp;CPR（function) '!O213</f>
        <v>0</v>
      </c>
    </row>
    <row r="213" spans="1:8">
      <c r="A213">
        <f>'PSA&amp;CPR'!A213</f>
        <v>211</v>
      </c>
      <c r="B213" s="19">
        <f t="shared" si="6"/>
        <v>0</v>
      </c>
      <c r="C213" s="19">
        <f t="shared" si="7"/>
        <v>0</v>
      </c>
      <c r="D213" s="19">
        <f>Monthly_payment($B$1,$D$1,$B$3)*'PSA&amp;CPR（function) '!O213</f>
        <v>0</v>
      </c>
      <c r="E213" s="19">
        <f>Principle_portion_of_payment($B$1,$D$1,A213,$B$3)*'PSA&amp;CPR（function) '!O213</f>
        <v>0</v>
      </c>
      <c r="F213" s="19">
        <f>Interest_portion_of_payment($B$1,$D$1,A213,$B$3)*'PSA&amp;CPR（function) '!O213</f>
        <v>0</v>
      </c>
      <c r="G213" s="19">
        <f>(B213-E213)*'PSA&amp;CPR（function) '!G214</f>
        <v>0</v>
      </c>
      <c r="H213" s="19">
        <f>Remaining_balance($B$1,$D$1,A213,$B$3)*'PSA&amp;CPR（function) '!O214</f>
        <v>0</v>
      </c>
    </row>
    <row r="214" spans="1:8">
      <c r="A214">
        <f>'PSA&amp;CPR'!A214</f>
        <v>212</v>
      </c>
      <c r="B214" s="19">
        <f t="shared" si="6"/>
        <v>0</v>
      </c>
      <c r="C214" s="19">
        <f t="shared" si="7"/>
        <v>0</v>
      </c>
      <c r="D214" s="19">
        <f>Monthly_payment($B$1,$D$1,$B$3)*'PSA&amp;CPR（function) '!O214</f>
        <v>0</v>
      </c>
      <c r="E214" s="19">
        <f>Principle_portion_of_payment($B$1,$D$1,A214,$B$3)*'PSA&amp;CPR（function) '!O214</f>
        <v>0</v>
      </c>
      <c r="F214" s="19">
        <f>Interest_portion_of_payment($B$1,$D$1,A214,$B$3)*'PSA&amp;CPR（function) '!O214</f>
        <v>0</v>
      </c>
      <c r="G214" s="19">
        <f>(B214-E214)*'PSA&amp;CPR（function) '!G215</f>
        <v>0</v>
      </c>
      <c r="H214" s="19">
        <f>Remaining_balance($B$1,$D$1,A214,$B$3)*'PSA&amp;CPR（function) '!O215</f>
        <v>0</v>
      </c>
    </row>
    <row r="215" spans="1:8">
      <c r="A215">
        <f>'PSA&amp;CPR'!A215</f>
        <v>213</v>
      </c>
      <c r="B215" s="19">
        <f t="shared" si="6"/>
        <v>0</v>
      </c>
      <c r="C215" s="19">
        <f t="shared" si="7"/>
        <v>0</v>
      </c>
      <c r="D215" s="19">
        <f>Monthly_payment($B$1,$D$1,$B$3)*'PSA&amp;CPR（function) '!O215</f>
        <v>0</v>
      </c>
      <c r="E215" s="19">
        <f>Principle_portion_of_payment($B$1,$D$1,A215,$B$3)*'PSA&amp;CPR（function) '!O215</f>
        <v>0</v>
      </c>
      <c r="F215" s="19">
        <f>Interest_portion_of_payment($B$1,$D$1,A215,$B$3)*'PSA&amp;CPR（function) '!O215</f>
        <v>0</v>
      </c>
      <c r="G215" s="19">
        <f>(B215-E215)*'PSA&amp;CPR（function) '!G216</f>
        <v>0</v>
      </c>
      <c r="H215" s="19">
        <f>Remaining_balance($B$1,$D$1,A215,$B$3)*'PSA&amp;CPR（function) '!O216</f>
        <v>0</v>
      </c>
    </row>
    <row r="216" spans="1:8">
      <c r="A216">
        <f>'PSA&amp;CPR'!A216</f>
        <v>214</v>
      </c>
      <c r="B216" s="19">
        <f t="shared" si="6"/>
        <v>0</v>
      </c>
      <c r="C216" s="19">
        <f t="shared" si="7"/>
        <v>0</v>
      </c>
      <c r="D216" s="19">
        <f>Monthly_payment($B$1,$D$1,$B$3)*'PSA&amp;CPR（function) '!O216</f>
        <v>0</v>
      </c>
      <c r="E216" s="19">
        <f>Principle_portion_of_payment($B$1,$D$1,A216,$B$3)*'PSA&amp;CPR（function) '!O216</f>
        <v>0</v>
      </c>
      <c r="F216" s="19">
        <f>Interest_portion_of_payment($B$1,$D$1,A216,$B$3)*'PSA&amp;CPR（function) '!O216</f>
        <v>0</v>
      </c>
      <c r="G216" s="19">
        <f>(B216-E216)*'PSA&amp;CPR（function) '!G217</f>
        <v>0</v>
      </c>
      <c r="H216" s="19">
        <f>Remaining_balance($B$1,$D$1,A216,$B$3)*'PSA&amp;CPR（function) '!O217</f>
        <v>0</v>
      </c>
    </row>
    <row r="217" spans="1:8">
      <c r="A217">
        <f>'PSA&amp;CPR'!A217</f>
        <v>215</v>
      </c>
      <c r="B217" s="19">
        <f t="shared" si="6"/>
        <v>0</v>
      </c>
      <c r="C217" s="19">
        <f t="shared" si="7"/>
        <v>0</v>
      </c>
      <c r="D217" s="19">
        <f>Monthly_payment($B$1,$D$1,$B$3)*'PSA&amp;CPR（function) '!O217</f>
        <v>0</v>
      </c>
      <c r="E217" s="19">
        <f>Principle_portion_of_payment($B$1,$D$1,A217,$B$3)*'PSA&amp;CPR（function) '!O217</f>
        <v>0</v>
      </c>
      <c r="F217" s="19">
        <f>Interest_portion_of_payment($B$1,$D$1,A217,$B$3)*'PSA&amp;CPR（function) '!O217</f>
        <v>0</v>
      </c>
      <c r="G217" s="19">
        <f>(B217-E217)*'PSA&amp;CPR（function) '!G218</f>
        <v>0</v>
      </c>
      <c r="H217" s="19">
        <f>Remaining_balance($B$1,$D$1,A217,$B$3)*'PSA&amp;CPR（function) '!O218</f>
        <v>0</v>
      </c>
    </row>
    <row r="218" spans="1:8">
      <c r="A218">
        <f>'PSA&amp;CPR'!A218</f>
        <v>216</v>
      </c>
      <c r="B218" s="19">
        <f t="shared" si="6"/>
        <v>0</v>
      </c>
      <c r="C218" s="19">
        <f t="shared" si="7"/>
        <v>0</v>
      </c>
      <c r="D218" s="19">
        <f>Monthly_payment($B$1,$D$1,$B$3)*'PSA&amp;CPR（function) '!O218</f>
        <v>0</v>
      </c>
      <c r="E218" s="19">
        <f>Principle_portion_of_payment($B$1,$D$1,A218,$B$3)*'PSA&amp;CPR（function) '!O218</f>
        <v>0</v>
      </c>
      <c r="F218" s="19">
        <f>Interest_portion_of_payment($B$1,$D$1,A218,$B$3)*'PSA&amp;CPR（function) '!O218</f>
        <v>0</v>
      </c>
      <c r="G218" s="19">
        <f>(B218-E218)*'PSA&amp;CPR（function) '!G219</f>
        <v>0</v>
      </c>
      <c r="H218" s="19">
        <f>Remaining_balance($B$1,$D$1,A218,$B$3)*'PSA&amp;CPR（function) '!O219</f>
        <v>0</v>
      </c>
    </row>
    <row r="219" spans="1:8">
      <c r="A219">
        <f>'PSA&amp;CPR'!A219</f>
        <v>217</v>
      </c>
      <c r="B219" s="19">
        <f t="shared" si="6"/>
        <v>0</v>
      </c>
      <c r="C219" s="19">
        <f t="shared" si="7"/>
        <v>0</v>
      </c>
      <c r="D219" s="19">
        <f>Monthly_payment($B$1,$D$1,$B$3)*'PSA&amp;CPR（function) '!O219</f>
        <v>0</v>
      </c>
      <c r="E219" s="19">
        <f>Principle_portion_of_payment($B$1,$D$1,A219,$B$3)*'PSA&amp;CPR（function) '!O219</f>
        <v>0</v>
      </c>
      <c r="F219" s="19">
        <f>Interest_portion_of_payment($B$1,$D$1,A219,$B$3)*'PSA&amp;CPR（function) '!O219</f>
        <v>0</v>
      </c>
      <c r="G219" s="19">
        <f>(B219-E219)*'PSA&amp;CPR（function) '!G220</f>
        <v>0</v>
      </c>
      <c r="H219" s="19">
        <f>Remaining_balance($B$1,$D$1,A219,$B$3)*'PSA&amp;CPR（function) '!O220</f>
        <v>0</v>
      </c>
    </row>
    <row r="220" spans="1:8">
      <c r="A220">
        <f>'PSA&amp;CPR'!A220</f>
        <v>218</v>
      </c>
      <c r="B220" s="19">
        <f t="shared" si="6"/>
        <v>0</v>
      </c>
      <c r="C220" s="19">
        <f t="shared" si="7"/>
        <v>0</v>
      </c>
      <c r="D220" s="19">
        <f>Monthly_payment($B$1,$D$1,$B$3)*'PSA&amp;CPR（function) '!O220</f>
        <v>0</v>
      </c>
      <c r="E220" s="19">
        <f>Principle_portion_of_payment($B$1,$D$1,A220,$B$3)*'PSA&amp;CPR（function) '!O220</f>
        <v>0</v>
      </c>
      <c r="F220" s="19">
        <f>Interest_portion_of_payment($B$1,$D$1,A220,$B$3)*'PSA&amp;CPR（function) '!O220</f>
        <v>0</v>
      </c>
      <c r="G220" s="19">
        <f>(B220-E220)*'PSA&amp;CPR（function) '!G221</f>
        <v>0</v>
      </c>
      <c r="H220" s="19">
        <f>Remaining_balance($B$1,$D$1,A220,$B$3)*'PSA&amp;CPR（function) '!O221</f>
        <v>0</v>
      </c>
    </row>
    <row r="221" spans="1:8">
      <c r="A221">
        <f>'PSA&amp;CPR'!A221</f>
        <v>219</v>
      </c>
      <c r="B221" s="19">
        <f t="shared" si="6"/>
        <v>0</v>
      </c>
      <c r="C221" s="19">
        <f t="shared" si="7"/>
        <v>0</v>
      </c>
      <c r="D221" s="19">
        <f>Monthly_payment($B$1,$D$1,$B$3)*'PSA&amp;CPR（function) '!O221</f>
        <v>0</v>
      </c>
      <c r="E221" s="19">
        <f>Principle_portion_of_payment($B$1,$D$1,A221,$B$3)*'PSA&amp;CPR（function) '!O221</f>
        <v>0</v>
      </c>
      <c r="F221" s="19">
        <f>Interest_portion_of_payment($B$1,$D$1,A221,$B$3)*'PSA&amp;CPR（function) '!O221</f>
        <v>0</v>
      </c>
      <c r="G221" s="19">
        <f>(B221-E221)*'PSA&amp;CPR（function) '!G222</f>
        <v>0</v>
      </c>
      <c r="H221" s="19">
        <f>Remaining_balance($B$1,$D$1,A221,$B$3)*'PSA&amp;CPR（function) '!O222</f>
        <v>0</v>
      </c>
    </row>
    <row r="222" spans="1:8">
      <c r="A222">
        <f>'PSA&amp;CPR'!A222</f>
        <v>220</v>
      </c>
      <c r="B222" s="19">
        <f t="shared" si="6"/>
        <v>0</v>
      </c>
      <c r="C222" s="19">
        <f t="shared" si="7"/>
        <v>0</v>
      </c>
      <c r="D222" s="19">
        <f>Monthly_payment($B$1,$D$1,$B$3)*'PSA&amp;CPR（function) '!O222</f>
        <v>0</v>
      </c>
      <c r="E222" s="19">
        <f>Principle_portion_of_payment($B$1,$D$1,A222,$B$3)*'PSA&amp;CPR（function) '!O222</f>
        <v>0</v>
      </c>
      <c r="F222" s="19">
        <f>Interest_portion_of_payment($B$1,$D$1,A222,$B$3)*'PSA&amp;CPR（function) '!O222</f>
        <v>0</v>
      </c>
      <c r="G222" s="19">
        <f>(B222-E222)*'PSA&amp;CPR（function) '!G223</f>
        <v>0</v>
      </c>
      <c r="H222" s="19">
        <f>Remaining_balance($B$1,$D$1,A222,$B$3)*'PSA&amp;CPR（function) '!O223</f>
        <v>0</v>
      </c>
    </row>
    <row r="223" spans="1:8">
      <c r="A223">
        <f>'PSA&amp;CPR'!A223</f>
        <v>221</v>
      </c>
      <c r="B223" s="19">
        <f t="shared" si="6"/>
        <v>0</v>
      </c>
      <c r="C223" s="19">
        <f t="shared" si="7"/>
        <v>0</v>
      </c>
      <c r="D223" s="19">
        <f>Monthly_payment($B$1,$D$1,$B$3)*'PSA&amp;CPR（function) '!O223</f>
        <v>0</v>
      </c>
      <c r="E223" s="19">
        <f>Principle_portion_of_payment($B$1,$D$1,A223,$B$3)*'PSA&amp;CPR（function) '!O223</f>
        <v>0</v>
      </c>
      <c r="F223" s="19">
        <f>Interest_portion_of_payment($B$1,$D$1,A223,$B$3)*'PSA&amp;CPR（function) '!O223</f>
        <v>0</v>
      </c>
      <c r="G223" s="19">
        <f>(B223-E223)*'PSA&amp;CPR（function) '!G224</f>
        <v>0</v>
      </c>
      <c r="H223" s="19">
        <f>Remaining_balance($B$1,$D$1,A223,$B$3)*'PSA&amp;CPR（function) '!O224</f>
        <v>0</v>
      </c>
    </row>
    <row r="224" spans="1:8">
      <c r="A224">
        <f>'PSA&amp;CPR'!A224</f>
        <v>222</v>
      </c>
      <c r="B224" s="19">
        <f t="shared" si="6"/>
        <v>0</v>
      </c>
      <c r="C224" s="19">
        <f t="shared" si="7"/>
        <v>0</v>
      </c>
      <c r="D224" s="19">
        <f>Monthly_payment($B$1,$D$1,$B$3)*'PSA&amp;CPR（function) '!O224</f>
        <v>0</v>
      </c>
      <c r="E224" s="19">
        <f>Principle_portion_of_payment($B$1,$D$1,A224,$B$3)*'PSA&amp;CPR（function) '!O224</f>
        <v>0</v>
      </c>
      <c r="F224" s="19">
        <f>Interest_portion_of_payment($B$1,$D$1,A224,$B$3)*'PSA&amp;CPR（function) '!O224</f>
        <v>0</v>
      </c>
      <c r="G224" s="19">
        <f>(B224-E224)*'PSA&amp;CPR（function) '!G225</f>
        <v>0</v>
      </c>
      <c r="H224" s="19">
        <f>Remaining_balance($B$1,$D$1,A224,$B$3)*'PSA&amp;CPR（function) '!O225</f>
        <v>0</v>
      </c>
    </row>
    <row r="225" spans="1:8">
      <c r="A225">
        <f>'PSA&amp;CPR'!A225</f>
        <v>223</v>
      </c>
      <c r="B225" s="19">
        <f t="shared" si="6"/>
        <v>0</v>
      </c>
      <c r="C225" s="19">
        <f t="shared" si="7"/>
        <v>0</v>
      </c>
      <c r="D225" s="19">
        <f>Monthly_payment($B$1,$D$1,$B$3)*'PSA&amp;CPR（function) '!O225</f>
        <v>0</v>
      </c>
      <c r="E225" s="19">
        <f>Principle_portion_of_payment($B$1,$D$1,A225,$B$3)*'PSA&amp;CPR（function) '!O225</f>
        <v>0</v>
      </c>
      <c r="F225" s="19">
        <f>Interest_portion_of_payment($B$1,$D$1,A225,$B$3)*'PSA&amp;CPR（function) '!O225</f>
        <v>0</v>
      </c>
      <c r="G225" s="19">
        <f>(B225-E225)*'PSA&amp;CPR（function) '!G226</f>
        <v>0</v>
      </c>
      <c r="H225" s="19">
        <f>Remaining_balance($B$1,$D$1,A225,$B$3)*'PSA&amp;CPR（function) '!O226</f>
        <v>0</v>
      </c>
    </row>
    <row r="226" spans="1:8">
      <c r="A226">
        <f>'PSA&amp;CPR'!A226</f>
        <v>224</v>
      </c>
      <c r="B226" s="19">
        <f t="shared" si="6"/>
        <v>0</v>
      </c>
      <c r="C226" s="19">
        <f t="shared" si="7"/>
        <v>0</v>
      </c>
      <c r="D226" s="19">
        <f>Monthly_payment($B$1,$D$1,$B$3)*'PSA&amp;CPR（function) '!O226</f>
        <v>0</v>
      </c>
      <c r="E226" s="19">
        <f>Principle_portion_of_payment($B$1,$D$1,A226,$B$3)*'PSA&amp;CPR（function) '!O226</f>
        <v>0</v>
      </c>
      <c r="F226" s="19">
        <f>Interest_portion_of_payment($B$1,$D$1,A226,$B$3)*'PSA&amp;CPR（function) '!O226</f>
        <v>0</v>
      </c>
      <c r="G226" s="19">
        <f>(B226-E226)*'PSA&amp;CPR（function) '!G227</f>
        <v>0</v>
      </c>
      <c r="H226" s="19">
        <f>Remaining_balance($B$1,$D$1,A226,$B$3)*'PSA&amp;CPR（function) '!O227</f>
        <v>0</v>
      </c>
    </row>
    <row r="227" spans="1:8">
      <c r="A227">
        <f>'PSA&amp;CPR'!A227</f>
        <v>225</v>
      </c>
      <c r="B227" s="19">
        <f t="shared" si="6"/>
        <v>0</v>
      </c>
      <c r="C227" s="19">
        <f t="shared" si="7"/>
        <v>0</v>
      </c>
      <c r="D227" s="19">
        <f>Monthly_payment($B$1,$D$1,$B$3)*'PSA&amp;CPR（function) '!O227</f>
        <v>0</v>
      </c>
      <c r="E227" s="19">
        <f>Principle_portion_of_payment($B$1,$D$1,A227,$B$3)*'PSA&amp;CPR（function) '!O227</f>
        <v>0</v>
      </c>
      <c r="F227" s="19">
        <f>Interest_portion_of_payment($B$1,$D$1,A227,$B$3)*'PSA&amp;CPR（function) '!O227</f>
        <v>0</v>
      </c>
      <c r="G227" s="19">
        <f>(B227-E227)*'PSA&amp;CPR（function) '!G228</f>
        <v>0</v>
      </c>
      <c r="H227" s="19">
        <f>Remaining_balance($B$1,$D$1,A227,$B$3)*'PSA&amp;CPR（function) '!O228</f>
        <v>0</v>
      </c>
    </row>
    <row r="228" spans="1:8">
      <c r="A228">
        <f>'PSA&amp;CPR'!A228</f>
        <v>226</v>
      </c>
      <c r="B228" s="19">
        <f t="shared" si="6"/>
        <v>0</v>
      </c>
      <c r="C228" s="19">
        <f t="shared" si="7"/>
        <v>0</v>
      </c>
      <c r="D228" s="19">
        <f>Monthly_payment($B$1,$D$1,$B$3)*'PSA&amp;CPR（function) '!O228</f>
        <v>0</v>
      </c>
      <c r="E228" s="19">
        <f>Principle_portion_of_payment($B$1,$D$1,A228,$B$3)*'PSA&amp;CPR（function) '!O228</f>
        <v>0</v>
      </c>
      <c r="F228" s="19">
        <f>Interest_portion_of_payment($B$1,$D$1,A228,$B$3)*'PSA&amp;CPR（function) '!O228</f>
        <v>0</v>
      </c>
      <c r="G228" s="19">
        <f>(B228-E228)*'PSA&amp;CPR（function) '!G229</f>
        <v>0</v>
      </c>
      <c r="H228" s="19">
        <f>Remaining_balance($B$1,$D$1,A228,$B$3)*'PSA&amp;CPR（function) '!O229</f>
        <v>0</v>
      </c>
    </row>
    <row r="229" spans="1:8">
      <c r="A229">
        <f>'PSA&amp;CPR'!A229</f>
        <v>227</v>
      </c>
      <c r="B229" s="19">
        <f t="shared" si="6"/>
        <v>0</v>
      </c>
      <c r="C229" s="19">
        <f t="shared" si="7"/>
        <v>0</v>
      </c>
      <c r="D229" s="19">
        <f>Monthly_payment($B$1,$D$1,$B$3)*'PSA&amp;CPR（function) '!O229</f>
        <v>0</v>
      </c>
      <c r="E229" s="19">
        <f>Principle_portion_of_payment($B$1,$D$1,A229,$B$3)*'PSA&amp;CPR（function) '!O229</f>
        <v>0</v>
      </c>
      <c r="F229" s="19">
        <f>Interest_portion_of_payment($B$1,$D$1,A229,$B$3)*'PSA&amp;CPR（function) '!O229</f>
        <v>0</v>
      </c>
      <c r="G229" s="19">
        <f>(B229-E229)*'PSA&amp;CPR（function) '!G230</f>
        <v>0</v>
      </c>
      <c r="H229" s="19">
        <f>Remaining_balance($B$1,$D$1,A229,$B$3)*'PSA&amp;CPR（function) '!O230</f>
        <v>0</v>
      </c>
    </row>
    <row r="230" spans="1:8">
      <c r="A230">
        <f>'PSA&amp;CPR'!A230</f>
        <v>228</v>
      </c>
      <c r="B230" s="19">
        <f t="shared" si="6"/>
        <v>0</v>
      </c>
      <c r="C230" s="19">
        <f t="shared" si="7"/>
        <v>0</v>
      </c>
      <c r="D230" s="19">
        <f>Monthly_payment($B$1,$D$1,$B$3)*'PSA&amp;CPR（function) '!O230</f>
        <v>0</v>
      </c>
      <c r="E230" s="19">
        <f>Principle_portion_of_payment($B$1,$D$1,A230,$B$3)*'PSA&amp;CPR（function) '!O230</f>
        <v>0</v>
      </c>
      <c r="F230" s="19">
        <f>Interest_portion_of_payment($B$1,$D$1,A230,$B$3)*'PSA&amp;CPR（function) '!O230</f>
        <v>0</v>
      </c>
      <c r="G230" s="19">
        <f>(B230-E230)*'PSA&amp;CPR（function) '!G231</f>
        <v>0</v>
      </c>
      <c r="H230" s="19">
        <f>Remaining_balance($B$1,$D$1,A230,$B$3)*'PSA&amp;CPR（function) '!O231</f>
        <v>0</v>
      </c>
    </row>
    <row r="231" spans="1:8">
      <c r="A231">
        <f>'PSA&amp;CPR'!A231</f>
        <v>229</v>
      </c>
      <c r="B231" s="19">
        <f t="shared" si="6"/>
        <v>0</v>
      </c>
      <c r="C231" s="19">
        <f t="shared" si="7"/>
        <v>0</v>
      </c>
      <c r="D231" s="19">
        <f>Monthly_payment($B$1,$D$1,$B$3)*'PSA&amp;CPR（function) '!O231</f>
        <v>0</v>
      </c>
      <c r="E231" s="19">
        <f>Principle_portion_of_payment($B$1,$D$1,A231,$B$3)*'PSA&amp;CPR（function) '!O231</f>
        <v>0</v>
      </c>
      <c r="F231" s="19">
        <f>Interest_portion_of_payment($B$1,$D$1,A231,$B$3)*'PSA&amp;CPR（function) '!O231</f>
        <v>0</v>
      </c>
      <c r="G231" s="19">
        <f>(B231-E231)*'PSA&amp;CPR（function) '!G232</f>
        <v>0</v>
      </c>
      <c r="H231" s="19">
        <f>Remaining_balance($B$1,$D$1,A231,$B$3)*'PSA&amp;CPR（function) '!O232</f>
        <v>0</v>
      </c>
    </row>
    <row r="232" spans="1:8">
      <c r="A232">
        <f>'PSA&amp;CPR'!A232</f>
        <v>230</v>
      </c>
      <c r="B232" s="19">
        <f t="shared" si="6"/>
        <v>0</v>
      </c>
      <c r="C232" s="19">
        <f t="shared" si="7"/>
        <v>0</v>
      </c>
      <c r="D232" s="19">
        <f>Monthly_payment($B$1,$D$1,$B$3)*'PSA&amp;CPR（function) '!O232</f>
        <v>0</v>
      </c>
      <c r="E232" s="19">
        <f>Principle_portion_of_payment($B$1,$D$1,A232,$B$3)*'PSA&amp;CPR（function) '!O232</f>
        <v>0</v>
      </c>
      <c r="F232" s="19">
        <f>Interest_portion_of_payment($B$1,$D$1,A232,$B$3)*'PSA&amp;CPR（function) '!O232</f>
        <v>0</v>
      </c>
      <c r="G232" s="19">
        <f>(B232-E232)*'PSA&amp;CPR（function) '!G233</f>
        <v>0</v>
      </c>
      <c r="H232" s="19">
        <f>Remaining_balance($B$1,$D$1,A232,$B$3)*'PSA&amp;CPR（function) '!O233</f>
        <v>0</v>
      </c>
    </row>
    <row r="233" spans="1:8">
      <c r="A233">
        <f>'PSA&amp;CPR'!A233</f>
        <v>231</v>
      </c>
      <c r="B233" s="19">
        <f t="shared" si="6"/>
        <v>0</v>
      </c>
      <c r="C233" s="19">
        <f t="shared" si="7"/>
        <v>0</v>
      </c>
      <c r="D233" s="19">
        <f>Monthly_payment($B$1,$D$1,$B$3)*'PSA&amp;CPR（function) '!O233</f>
        <v>0</v>
      </c>
      <c r="E233" s="19">
        <f>Principle_portion_of_payment($B$1,$D$1,A233,$B$3)*'PSA&amp;CPR（function) '!O233</f>
        <v>0</v>
      </c>
      <c r="F233" s="19">
        <f>Interest_portion_of_payment($B$1,$D$1,A233,$B$3)*'PSA&amp;CPR（function) '!O233</f>
        <v>0</v>
      </c>
      <c r="G233" s="19">
        <f>(B233-E233)*'PSA&amp;CPR（function) '!G234</f>
        <v>0</v>
      </c>
      <c r="H233" s="19">
        <f>Remaining_balance($B$1,$D$1,A233,$B$3)*'PSA&amp;CPR（function) '!O234</f>
        <v>0</v>
      </c>
    </row>
    <row r="234" spans="1:8">
      <c r="A234">
        <f>'PSA&amp;CPR'!A234</f>
        <v>232</v>
      </c>
      <c r="B234" s="19">
        <f t="shared" si="6"/>
        <v>0</v>
      </c>
      <c r="C234" s="19">
        <f t="shared" si="7"/>
        <v>0</v>
      </c>
      <c r="D234" s="19">
        <f>Monthly_payment($B$1,$D$1,$B$3)*'PSA&amp;CPR（function) '!O234</f>
        <v>0</v>
      </c>
      <c r="E234" s="19">
        <f>Principle_portion_of_payment($B$1,$D$1,A234,$B$3)*'PSA&amp;CPR（function) '!O234</f>
        <v>0</v>
      </c>
      <c r="F234" s="19">
        <f>Interest_portion_of_payment($B$1,$D$1,A234,$B$3)*'PSA&amp;CPR（function) '!O234</f>
        <v>0</v>
      </c>
      <c r="G234" s="19">
        <f>(B234-E234)*'PSA&amp;CPR（function) '!G235</f>
        <v>0</v>
      </c>
      <c r="H234" s="19">
        <f>Remaining_balance($B$1,$D$1,A234,$B$3)*'PSA&amp;CPR（function) '!O235</f>
        <v>0</v>
      </c>
    </row>
    <row r="235" spans="1:8">
      <c r="A235">
        <f>'PSA&amp;CPR'!A235</f>
        <v>233</v>
      </c>
      <c r="B235" s="19">
        <f t="shared" si="6"/>
        <v>0</v>
      </c>
      <c r="C235" s="19">
        <f t="shared" si="7"/>
        <v>0</v>
      </c>
      <c r="D235" s="19">
        <f>Monthly_payment($B$1,$D$1,$B$3)*'PSA&amp;CPR（function) '!O235</f>
        <v>0</v>
      </c>
      <c r="E235" s="19">
        <f>Principle_portion_of_payment($B$1,$D$1,A235,$B$3)*'PSA&amp;CPR（function) '!O235</f>
        <v>0</v>
      </c>
      <c r="F235" s="19">
        <f>Interest_portion_of_payment($B$1,$D$1,A235,$B$3)*'PSA&amp;CPR（function) '!O235</f>
        <v>0</v>
      </c>
      <c r="G235" s="19">
        <f>(B235-E235)*'PSA&amp;CPR（function) '!G236</f>
        <v>0</v>
      </c>
      <c r="H235" s="19">
        <f>Remaining_balance($B$1,$D$1,A235,$B$3)*'PSA&amp;CPR（function) '!O236</f>
        <v>0</v>
      </c>
    </row>
    <row r="236" spans="1:8">
      <c r="A236">
        <f>'PSA&amp;CPR'!A236</f>
        <v>234</v>
      </c>
      <c r="B236" s="19">
        <f t="shared" si="6"/>
        <v>0</v>
      </c>
      <c r="C236" s="19">
        <f t="shared" si="7"/>
        <v>0</v>
      </c>
      <c r="D236" s="19">
        <f>Monthly_payment($B$1,$D$1,$B$3)*'PSA&amp;CPR（function) '!O236</f>
        <v>0</v>
      </c>
      <c r="E236" s="19">
        <f>Principle_portion_of_payment($B$1,$D$1,A236,$B$3)*'PSA&amp;CPR（function) '!O236</f>
        <v>0</v>
      </c>
      <c r="F236" s="19">
        <f>Interest_portion_of_payment($B$1,$D$1,A236,$B$3)*'PSA&amp;CPR（function) '!O236</f>
        <v>0</v>
      </c>
      <c r="G236" s="19">
        <f>(B236-E236)*'PSA&amp;CPR（function) '!G237</f>
        <v>0</v>
      </c>
      <c r="H236" s="19">
        <f>Remaining_balance($B$1,$D$1,A236,$B$3)*'PSA&amp;CPR（function) '!O237</f>
        <v>0</v>
      </c>
    </row>
    <row r="237" spans="1:8">
      <c r="A237">
        <f>'PSA&amp;CPR'!A237</f>
        <v>235</v>
      </c>
      <c r="B237" s="19">
        <f t="shared" si="6"/>
        <v>0</v>
      </c>
      <c r="C237" s="19">
        <f t="shared" si="7"/>
        <v>0</v>
      </c>
      <c r="D237" s="19">
        <f>Monthly_payment($B$1,$D$1,$B$3)*'PSA&amp;CPR（function) '!O237</f>
        <v>0</v>
      </c>
      <c r="E237" s="19">
        <f>Principle_portion_of_payment($B$1,$D$1,A237,$B$3)*'PSA&amp;CPR（function) '!O237</f>
        <v>0</v>
      </c>
      <c r="F237" s="19">
        <f>Interest_portion_of_payment($B$1,$D$1,A237,$B$3)*'PSA&amp;CPR（function) '!O237</f>
        <v>0</v>
      </c>
      <c r="G237" s="19">
        <f>(B237-E237)*'PSA&amp;CPR（function) '!G238</f>
        <v>0</v>
      </c>
      <c r="H237" s="19">
        <f>Remaining_balance($B$1,$D$1,A237,$B$3)*'PSA&amp;CPR（function) '!O238</f>
        <v>0</v>
      </c>
    </row>
    <row r="238" spans="1:8">
      <c r="A238">
        <f>'PSA&amp;CPR'!A238</f>
        <v>236</v>
      </c>
      <c r="B238" s="19">
        <f t="shared" si="6"/>
        <v>0</v>
      </c>
      <c r="C238" s="19">
        <f t="shared" si="7"/>
        <v>0</v>
      </c>
      <c r="D238" s="19">
        <f>Monthly_payment($B$1,$D$1,$B$3)*'PSA&amp;CPR（function) '!O238</f>
        <v>0</v>
      </c>
      <c r="E238" s="19">
        <f>Principle_portion_of_payment($B$1,$D$1,A238,$B$3)*'PSA&amp;CPR（function) '!O238</f>
        <v>0</v>
      </c>
      <c r="F238" s="19">
        <f>Interest_portion_of_payment($B$1,$D$1,A238,$B$3)*'PSA&amp;CPR（function) '!O238</f>
        <v>0</v>
      </c>
      <c r="G238" s="19">
        <f>(B238-E238)*'PSA&amp;CPR（function) '!G239</f>
        <v>0</v>
      </c>
      <c r="H238" s="19">
        <f>Remaining_balance($B$1,$D$1,A238,$B$3)*'PSA&amp;CPR（function) '!O239</f>
        <v>0</v>
      </c>
    </row>
    <row r="239" spans="1:8">
      <c r="A239">
        <f>'PSA&amp;CPR'!A239</f>
        <v>237</v>
      </c>
      <c r="B239" s="19">
        <f t="shared" si="6"/>
        <v>0</v>
      </c>
      <c r="C239" s="19">
        <f t="shared" si="7"/>
        <v>0</v>
      </c>
      <c r="D239" s="19">
        <f>Monthly_payment($B$1,$D$1,$B$3)*'PSA&amp;CPR（function) '!O239</f>
        <v>0</v>
      </c>
      <c r="E239" s="19">
        <f>Principle_portion_of_payment($B$1,$D$1,A239,$B$3)*'PSA&amp;CPR（function) '!O239</f>
        <v>0</v>
      </c>
      <c r="F239" s="19">
        <f>Interest_portion_of_payment($B$1,$D$1,A239,$B$3)*'PSA&amp;CPR（function) '!O239</f>
        <v>0</v>
      </c>
      <c r="G239" s="19">
        <f>(B239-E239)*'PSA&amp;CPR（function) '!G240</f>
        <v>0</v>
      </c>
      <c r="H239" s="19">
        <f>Remaining_balance($B$1,$D$1,A239,$B$3)*'PSA&amp;CPR（function) '!O240</f>
        <v>0</v>
      </c>
    </row>
    <row r="240" spans="1:8">
      <c r="A240">
        <f>'PSA&amp;CPR'!A240</f>
        <v>238</v>
      </c>
      <c r="B240" s="19">
        <f t="shared" si="6"/>
        <v>0</v>
      </c>
      <c r="C240" s="19">
        <f t="shared" si="7"/>
        <v>0</v>
      </c>
      <c r="D240" s="19">
        <f>Monthly_payment($B$1,$D$1,$B$3)*'PSA&amp;CPR（function) '!O240</f>
        <v>0</v>
      </c>
      <c r="E240" s="19">
        <f>Principle_portion_of_payment($B$1,$D$1,A240,$B$3)*'PSA&amp;CPR（function) '!O240</f>
        <v>0</v>
      </c>
      <c r="F240" s="19">
        <f>Interest_portion_of_payment($B$1,$D$1,A240,$B$3)*'PSA&amp;CPR（function) '!O240</f>
        <v>0</v>
      </c>
      <c r="G240" s="19">
        <f>(B240-E240)*'PSA&amp;CPR（function) '!G241</f>
        <v>0</v>
      </c>
      <c r="H240" s="19">
        <f>Remaining_balance($B$1,$D$1,A240,$B$3)*'PSA&amp;CPR（function) '!O241</f>
        <v>0</v>
      </c>
    </row>
    <row r="241" spans="1:8">
      <c r="A241">
        <f>'PSA&amp;CPR'!A241</f>
        <v>239</v>
      </c>
      <c r="B241" s="19">
        <f t="shared" si="6"/>
        <v>0</v>
      </c>
      <c r="C241" s="19">
        <f t="shared" si="7"/>
        <v>0</v>
      </c>
      <c r="D241" s="19">
        <f>Monthly_payment($B$1,$D$1,$B$3)*'PSA&amp;CPR（function) '!O241</f>
        <v>0</v>
      </c>
      <c r="E241" s="19">
        <f>Principle_portion_of_payment($B$1,$D$1,A241,$B$3)*'PSA&amp;CPR（function) '!O241</f>
        <v>0</v>
      </c>
      <c r="F241" s="19">
        <f>Interest_portion_of_payment($B$1,$D$1,A241,$B$3)*'PSA&amp;CPR（function) '!O241</f>
        <v>0</v>
      </c>
      <c r="G241" s="19">
        <f>(B241-E241)*'PSA&amp;CPR（function) '!G242</f>
        <v>0</v>
      </c>
      <c r="H241" s="19">
        <f>Remaining_balance($B$1,$D$1,A241,$B$3)*'PSA&amp;CPR（function) '!O242</f>
        <v>0</v>
      </c>
    </row>
    <row r="242" spans="1:8">
      <c r="A242">
        <f>'PSA&amp;CPR'!A242</f>
        <v>240</v>
      </c>
      <c r="B242" s="19">
        <f t="shared" si="6"/>
        <v>0</v>
      </c>
      <c r="C242" s="19">
        <f t="shared" si="7"/>
        <v>0</v>
      </c>
      <c r="D242" s="19">
        <f>Monthly_payment($B$1,$D$1,$B$3)*'PSA&amp;CPR（function) '!O242</f>
        <v>0</v>
      </c>
      <c r="E242" s="19">
        <f>Principle_portion_of_payment($B$1,$D$1,A242,$B$3)*'PSA&amp;CPR（function) '!O242</f>
        <v>0</v>
      </c>
      <c r="F242" s="19">
        <f>Interest_portion_of_payment($B$1,$D$1,A242,$B$3)*'PSA&amp;CPR（function) '!O242</f>
        <v>0</v>
      </c>
      <c r="G242" s="19">
        <f>(B242-E242)*'PSA&amp;CPR（function) '!G243</f>
        <v>0</v>
      </c>
      <c r="H242" s="19">
        <f>Remaining_balance($B$1,$D$1,A242,$B$3)*'PSA&amp;CPR（function) '!O243</f>
        <v>0</v>
      </c>
    </row>
    <row r="243" spans="1:8">
      <c r="A243">
        <f>'PSA&amp;CPR'!A243</f>
        <v>241</v>
      </c>
      <c r="B243" s="19">
        <f t="shared" si="6"/>
        <v>0</v>
      </c>
      <c r="C243" s="19">
        <f t="shared" si="7"/>
        <v>0</v>
      </c>
      <c r="D243" s="19">
        <f>Monthly_payment($B$1,$D$1,$B$3)*'PSA&amp;CPR（function) '!O243</f>
        <v>0</v>
      </c>
      <c r="E243" s="19">
        <f>Principle_portion_of_payment($B$1,$D$1,A243,$B$3)*'PSA&amp;CPR（function) '!O243</f>
        <v>0</v>
      </c>
      <c r="F243" s="19">
        <f>Interest_portion_of_payment($B$1,$D$1,A243,$B$3)*'PSA&amp;CPR（function) '!O243</f>
        <v>0</v>
      </c>
      <c r="G243" s="19">
        <f>(B243-E243)*'PSA&amp;CPR（function) '!G244</f>
        <v>0</v>
      </c>
      <c r="H243" s="19">
        <f>Remaining_balance($B$1,$D$1,A243,$B$3)*'PSA&amp;CPR（function) '!O244</f>
        <v>0</v>
      </c>
    </row>
    <row r="244" spans="1:8">
      <c r="A244">
        <f>'PSA&amp;CPR'!A244</f>
        <v>242</v>
      </c>
      <c r="B244" s="19">
        <f t="shared" si="6"/>
        <v>0</v>
      </c>
      <c r="C244" s="19">
        <f t="shared" si="7"/>
        <v>0</v>
      </c>
      <c r="D244" s="19">
        <f>Monthly_payment($B$1,$D$1,$B$3)*'PSA&amp;CPR（function) '!O244</f>
        <v>0</v>
      </c>
      <c r="E244" s="19">
        <f>Principle_portion_of_payment($B$1,$D$1,A244,$B$3)*'PSA&amp;CPR（function) '!O244</f>
        <v>0</v>
      </c>
      <c r="F244" s="19">
        <f>Interest_portion_of_payment($B$1,$D$1,A244,$B$3)*'PSA&amp;CPR（function) '!O244</f>
        <v>0</v>
      </c>
      <c r="G244" s="19">
        <f>(B244-E244)*'PSA&amp;CPR（function) '!G245</f>
        <v>0</v>
      </c>
      <c r="H244" s="19">
        <f>Remaining_balance($B$1,$D$1,A244,$B$3)*'PSA&amp;CPR（function) '!O245</f>
        <v>0</v>
      </c>
    </row>
    <row r="245" spans="1:8">
      <c r="A245">
        <f>'PSA&amp;CPR'!A245</f>
        <v>243</v>
      </c>
      <c r="B245" s="19">
        <f t="shared" si="6"/>
        <v>0</v>
      </c>
      <c r="C245" s="19">
        <f t="shared" si="7"/>
        <v>0</v>
      </c>
      <c r="D245" s="19">
        <f>Monthly_payment($B$1,$D$1,$B$3)*'PSA&amp;CPR（function) '!O245</f>
        <v>0</v>
      </c>
      <c r="E245" s="19">
        <f>Principle_portion_of_payment($B$1,$D$1,A245,$B$3)*'PSA&amp;CPR（function) '!O245</f>
        <v>0</v>
      </c>
      <c r="F245" s="19">
        <f>Interest_portion_of_payment($B$1,$D$1,A245,$B$3)*'PSA&amp;CPR（function) '!O245</f>
        <v>0</v>
      </c>
      <c r="G245" s="19">
        <f>(B245-E245)*'PSA&amp;CPR（function) '!G246</f>
        <v>0</v>
      </c>
      <c r="H245" s="19">
        <f>Remaining_balance($B$1,$D$1,A245,$B$3)*'PSA&amp;CPR（function) '!O246</f>
        <v>0</v>
      </c>
    </row>
    <row r="246" spans="1:8">
      <c r="A246">
        <f>'PSA&amp;CPR'!A246</f>
        <v>244</v>
      </c>
      <c r="B246" s="19">
        <f t="shared" si="6"/>
        <v>0</v>
      </c>
      <c r="C246" s="19">
        <f t="shared" si="7"/>
        <v>0</v>
      </c>
      <c r="D246" s="19">
        <f>Monthly_payment($B$1,$D$1,$B$3)*'PSA&amp;CPR（function) '!O246</f>
        <v>0</v>
      </c>
      <c r="E246" s="19">
        <f>Principle_portion_of_payment($B$1,$D$1,A246,$B$3)*'PSA&amp;CPR（function) '!O246</f>
        <v>0</v>
      </c>
      <c r="F246" s="19">
        <f>Interest_portion_of_payment($B$1,$D$1,A246,$B$3)*'PSA&amp;CPR（function) '!O246</f>
        <v>0</v>
      </c>
      <c r="G246" s="19">
        <f>(B246-E246)*'PSA&amp;CPR（function) '!G247</f>
        <v>0</v>
      </c>
      <c r="H246" s="19">
        <f>Remaining_balance($B$1,$D$1,A246,$B$3)*'PSA&amp;CPR（function) '!O247</f>
        <v>0</v>
      </c>
    </row>
    <row r="247" spans="1:8">
      <c r="A247">
        <f>'PSA&amp;CPR'!A247</f>
        <v>245</v>
      </c>
      <c r="B247" s="19">
        <f t="shared" si="6"/>
        <v>0</v>
      </c>
      <c r="C247" s="19">
        <f t="shared" si="7"/>
        <v>0</v>
      </c>
      <c r="D247" s="19">
        <f>Monthly_payment($B$1,$D$1,$B$3)*'PSA&amp;CPR（function) '!O247</f>
        <v>0</v>
      </c>
      <c r="E247" s="19">
        <f>Principle_portion_of_payment($B$1,$D$1,A247,$B$3)*'PSA&amp;CPR（function) '!O247</f>
        <v>0</v>
      </c>
      <c r="F247" s="19">
        <f>Interest_portion_of_payment($B$1,$D$1,A247,$B$3)*'PSA&amp;CPR（function) '!O247</f>
        <v>0</v>
      </c>
      <c r="G247" s="19">
        <f>(B247-E247)*'PSA&amp;CPR（function) '!G248</f>
        <v>0</v>
      </c>
      <c r="H247" s="19">
        <f>Remaining_balance($B$1,$D$1,A247,$B$3)*'PSA&amp;CPR（function) '!O248</f>
        <v>0</v>
      </c>
    </row>
    <row r="248" spans="1:8">
      <c r="A248">
        <f>'PSA&amp;CPR'!A248</f>
        <v>246</v>
      </c>
      <c r="B248" s="19">
        <f t="shared" si="6"/>
        <v>0</v>
      </c>
      <c r="C248" s="19">
        <f t="shared" si="7"/>
        <v>0</v>
      </c>
      <c r="D248" s="19">
        <f>Monthly_payment($B$1,$D$1,$B$3)*'PSA&amp;CPR（function) '!O248</f>
        <v>0</v>
      </c>
      <c r="E248" s="19">
        <f>Principle_portion_of_payment($B$1,$D$1,A248,$B$3)*'PSA&amp;CPR（function) '!O248</f>
        <v>0</v>
      </c>
      <c r="F248" s="19">
        <f>Interest_portion_of_payment($B$1,$D$1,A248,$B$3)*'PSA&amp;CPR（function) '!O248</f>
        <v>0</v>
      </c>
      <c r="G248" s="19">
        <f>(B248-E248)*'PSA&amp;CPR（function) '!G249</f>
        <v>0</v>
      </c>
      <c r="H248" s="19">
        <f>Remaining_balance($B$1,$D$1,A248,$B$3)*'PSA&amp;CPR（function) '!O249</f>
        <v>0</v>
      </c>
    </row>
    <row r="249" spans="1:8">
      <c r="A249">
        <f>'PSA&amp;CPR'!A249</f>
        <v>247</v>
      </c>
      <c r="B249" s="19">
        <f t="shared" si="6"/>
        <v>0</v>
      </c>
      <c r="C249" s="19">
        <f t="shared" si="7"/>
        <v>0</v>
      </c>
      <c r="D249" s="19">
        <f>Monthly_payment($B$1,$D$1,$B$3)*'PSA&amp;CPR（function) '!O249</f>
        <v>0</v>
      </c>
      <c r="E249" s="19">
        <f>Principle_portion_of_payment($B$1,$D$1,A249,$B$3)*'PSA&amp;CPR（function) '!O249</f>
        <v>0</v>
      </c>
      <c r="F249" s="19">
        <f>Interest_portion_of_payment($B$1,$D$1,A249,$B$3)*'PSA&amp;CPR（function) '!O249</f>
        <v>0</v>
      </c>
      <c r="G249" s="19">
        <f>(B249-E249)*'PSA&amp;CPR（function) '!G250</f>
        <v>0</v>
      </c>
      <c r="H249" s="19">
        <f>Remaining_balance($B$1,$D$1,A249,$B$3)*'PSA&amp;CPR（function) '!O250</f>
        <v>0</v>
      </c>
    </row>
    <row r="250" spans="1:8">
      <c r="A250">
        <f>'PSA&amp;CPR'!A250</f>
        <v>248</v>
      </c>
      <c r="B250" s="19">
        <f t="shared" si="6"/>
        <v>0</v>
      </c>
      <c r="C250" s="19">
        <f t="shared" si="7"/>
        <v>0</v>
      </c>
      <c r="D250" s="19">
        <f>Monthly_payment($B$1,$D$1,$B$3)*'PSA&amp;CPR（function) '!O250</f>
        <v>0</v>
      </c>
      <c r="E250" s="19">
        <f>Principle_portion_of_payment($B$1,$D$1,A250,$B$3)*'PSA&amp;CPR（function) '!O250</f>
        <v>0</v>
      </c>
      <c r="F250" s="19">
        <f>Interest_portion_of_payment($B$1,$D$1,A250,$B$3)*'PSA&amp;CPR（function) '!O250</f>
        <v>0</v>
      </c>
      <c r="G250" s="19">
        <f>(B250-E250)*'PSA&amp;CPR（function) '!G251</f>
        <v>0</v>
      </c>
      <c r="H250" s="19">
        <f>Remaining_balance($B$1,$D$1,A250,$B$3)*'PSA&amp;CPR（function) '!O251</f>
        <v>0</v>
      </c>
    </row>
    <row r="251" spans="1:8">
      <c r="A251">
        <f>'PSA&amp;CPR'!A251</f>
        <v>249</v>
      </c>
      <c r="B251" s="19">
        <f t="shared" si="6"/>
        <v>0</v>
      </c>
      <c r="C251" s="19">
        <f t="shared" si="7"/>
        <v>0</v>
      </c>
      <c r="D251" s="19">
        <f>Monthly_payment($B$1,$D$1,$B$3)*'PSA&amp;CPR（function) '!O251</f>
        <v>0</v>
      </c>
      <c r="E251" s="19">
        <f>Principle_portion_of_payment($B$1,$D$1,A251,$B$3)*'PSA&amp;CPR（function) '!O251</f>
        <v>0</v>
      </c>
      <c r="F251" s="19">
        <f>Interest_portion_of_payment($B$1,$D$1,A251,$B$3)*'PSA&amp;CPR（function) '!O251</f>
        <v>0</v>
      </c>
      <c r="G251" s="19">
        <f>(B251-E251)*'PSA&amp;CPR（function) '!G252</f>
        <v>0</v>
      </c>
      <c r="H251" s="19">
        <f>Remaining_balance($B$1,$D$1,A251,$B$3)*'PSA&amp;CPR（function) '!O252</f>
        <v>0</v>
      </c>
    </row>
    <row r="252" spans="1:8">
      <c r="A252">
        <f>'PSA&amp;CPR'!A252</f>
        <v>250</v>
      </c>
      <c r="B252" s="19">
        <f t="shared" si="6"/>
        <v>0</v>
      </c>
      <c r="C252" s="19">
        <f t="shared" si="7"/>
        <v>0</v>
      </c>
      <c r="D252" s="19">
        <f>Monthly_payment($B$1,$D$1,$B$3)*'PSA&amp;CPR（function) '!O252</f>
        <v>0</v>
      </c>
      <c r="E252" s="19">
        <f>Principle_portion_of_payment($B$1,$D$1,A252,$B$3)*'PSA&amp;CPR（function) '!O252</f>
        <v>0</v>
      </c>
      <c r="F252" s="19">
        <f>Interest_portion_of_payment($B$1,$D$1,A252,$B$3)*'PSA&amp;CPR（function) '!O252</f>
        <v>0</v>
      </c>
      <c r="G252" s="19">
        <f>(B252-E252)*'PSA&amp;CPR（function) '!G253</f>
        <v>0</v>
      </c>
      <c r="H252" s="19">
        <f>Remaining_balance($B$1,$D$1,A252,$B$3)*'PSA&amp;CPR（function) '!O253</f>
        <v>0</v>
      </c>
    </row>
    <row r="253" spans="1:8">
      <c r="A253">
        <f>'PSA&amp;CPR'!A253</f>
        <v>251</v>
      </c>
      <c r="B253" s="19">
        <f t="shared" si="6"/>
        <v>0</v>
      </c>
      <c r="C253" s="19">
        <f t="shared" si="7"/>
        <v>0</v>
      </c>
      <c r="D253" s="19">
        <f>Monthly_payment($B$1,$D$1,$B$3)*'PSA&amp;CPR（function) '!O253</f>
        <v>0</v>
      </c>
      <c r="E253" s="19">
        <f>Principle_portion_of_payment($B$1,$D$1,A253,$B$3)*'PSA&amp;CPR（function) '!O253</f>
        <v>0</v>
      </c>
      <c r="F253" s="19">
        <f>Interest_portion_of_payment($B$1,$D$1,A253,$B$3)*'PSA&amp;CPR（function) '!O253</f>
        <v>0</v>
      </c>
      <c r="G253" s="19">
        <f>(B253-E253)*'PSA&amp;CPR（function) '!G254</f>
        <v>0</v>
      </c>
      <c r="H253" s="19">
        <f>Remaining_balance($B$1,$D$1,A253,$B$3)*'PSA&amp;CPR（function) '!O254</f>
        <v>0</v>
      </c>
    </row>
    <row r="254" spans="1:8">
      <c r="A254">
        <f>'PSA&amp;CPR'!A254</f>
        <v>252</v>
      </c>
      <c r="B254" s="19">
        <f t="shared" si="6"/>
        <v>0</v>
      </c>
      <c r="C254" s="19">
        <f t="shared" si="7"/>
        <v>0</v>
      </c>
      <c r="D254" s="19">
        <f>Monthly_payment($B$1,$D$1,$B$3)*'PSA&amp;CPR（function) '!O254</f>
        <v>0</v>
      </c>
      <c r="E254" s="19">
        <f>Principle_portion_of_payment($B$1,$D$1,A254,$B$3)*'PSA&amp;CPR（function) '!O254</f>
        <v>0</v>
      </c>
      <c r="F254" s="19">
        <f>Interest_portion_of_payment($B$1,$D$1,A254,$B$3)*'PSA&amp;CPR（function) '!O254</f>
        <v>0</v>
      </c>
      <c r="G254" s="19">
        <f>(B254-E254)*'PSA&amp;CPR（function) '!G255</f>
        <v>0</v>
      </c>
      <c r="H254" s="19">
        <f>Remaining_balance($B$1,$D$1,A254,$B$3)*'PSA&amp;CPR（function) '!O255</f>
        <v>0</v>
      </c>
    </row>
    <row r="255" spans="1:8">
      <c r="A255">
        <f>'PSA&amp;CPR'!A255</f>
        <v>253</v>
      </c>
      <c r="B255" s="19">
        <f t="shared" si="6"/>
        <v>0</v>
      </c>
      <c r="C255" s="19">
        <f t="shared" si="7"/>
        <v>0</v>
      </c>
      <c r="D255" s="19">
        <f>Monthly_payment($B$1,$D$1,$B$3)*'PSA&amp;CPR（function) '!O255</f>
        <v>0</v>
      </c>
      <c r="E255" s="19">
        <f>Principle_portion_of_payment($B$1,$D$1,A255,$B$3)*'PSA&amp;CPR（function) '!O255</f>
        <v>0</v>
      </c>
      <c r="F255" s="19">
        <f>Interest_portion_of_payment($B$1,$D$1,A255,$B$3)*'PSA&amp;CPR（function) '!O255</f>
        <v>0</v>
      </c>
      <c r="G255" s="19">
        <f>(B255-E255)*'PSA&amp;CPR（function) '!G256</f>
        <v>0</v>
      </c>
      <c r="H255" s="19">
        <f>Remaining_balance($B$1,$D$1,A255,$B$3)*'PSA&amp;CPR（function) '!O256</f>
        <v>0</v>
      </c>
    </row>
    <row r="256" spans="1:8">
      <c r="A256">
        <f>'PSA&amp;CPR'!A256</f>
        <v>254</v>
      </c>
      <c r="B256" s="19">
        <f t="shared" si="6"/>
        <v>0</v>
      </c>
      <c r="C256" s="19">
        <f t="shared" si="7"/>
        <v>0</v>
      </c>
      <c r="D256" s="19">
        <f>Monthly_payment($B$1,$D$1,$B$3)*'PSA&amp;CPR（function) '!O256</f>
        <v>0</v>
      </c>
      <c r="E256" s="19">
        <f>Principle_portion_of_payment($B$1,$D$1,A256,$B$3)*'PSA&amp;CPR（function) '!O256</f>
        <v>0</v>
      </c>
      <c r="F256" s="19">
        <f>Interest_portion_of_payment($B$1,$D$1,A256,$B$3)*'PSA&amp;CPR（function) '!O256</f>
        <v>0</v>
      </c>
      <c r="G256" s="19">
        <f>(B256-E256)*'PSA&amp;CPR（function) '!G257</f>
        <v>0</v>
      </c>
      <c r="H256" s="19">
        <f>Remaining_balance($B$1,$D$1,A256,$B$3)*'PSA&amp;CPR（function) '!O257</f>
        <v>0</v>
      </c>
    </row>
    <row r="257" spans="1:8">
      <c r="A257">
        <f>'PSA&amp;CPR'!A257</f>
        <v>255</v>
      </c>
      <c r="B257" s="19">
        <f t="shared" si="6"/>
        <v>0</v>
      </c>
      <c r="C257" s="19">
        <f t="shared" si="7"/>
        <v>0</v>
      </c>
      <c r="D257" s="19">
        <f>Monthly_payment($B$1,$D$1,$B$3)*'PSA&amp;CPR（function) '!O257</f>
        <v>0</v>
      </c>
      <c r="E257" s="19">
        <f>Principle_portion_of_payment($B$1,$D$1,A257,$B$3)*'PSA&amp;CPR（function) '!O257</f>
        <v>0</v>
      </c>
      <c r="F257" s="19">
        <f>Interest_portion_of_payment($B$1,$D$1,A257,$B$3)*'PSA&amp;CPR（function) '!O257</f>
        <v>0</v>
      </c>
      <c r="G257" s="19">
        <f>(B257-E257)*'PSA&amp;CPR（function) '!G258</f>
        <v>0</v>
      </c>
      <c r="H257" s="19">
        <f>Remaining_balance($B$1,$D$1,A257,$B$3)*'PSA&amp;CPR（function) '!O258</f>
        <v>0</v>
      </c>
    </row>
    <row r="258" spans="1:8">
      <c r="A258">
        <f>'PSA&amp;CPR'!A258</f>
        <v>256</v>
      </c>
      <c r="B258" s="19">
        <f t="shared" si="6"/>
        <v>0</v>
      </c>
      <c r="C258" s="19">
        <f t="shared" si="7"/>
        <v>0</v>
      </c>
      <c r="D258" s="19">
        <f>Monthly_payment($B$1,$D$1,$B$3)*'PSA&amp;CPR（function) '!O258</f>
        <v>0</v>
      </c>
      <c r="E258" s="19">
        <f>Principle_portion_of_payment($B$1,$D$1,A258,$B$3)*'PSA&amp;CPR（function) '!O258</f>
        <v>0</v>
      </c>
      <c r="F258" s="19">
        <f>Interest_portion_of_payment($B$1,$D$1,A258,$B$3)*'PSA&amp;CPR（function) '!O258</f>
        <v>0</v>
      </c>
      <c r="G258" s="19">
        <f>(B258-E258)*'PSA&amp;CPR（function) '!G259</f>
        <v>0</v>
      </c>
      <c r="H258" s="19">
        <f>Remaining_balance($B$1,$D$1,A258,$B$3)*'PSA&amp;CPR（function) '!O259</f>
        <v>0</v>
      </c>
    </row>
    <row r="259" spans="1:8">
      <c r="A259">
        <f>'PSA&amp;CPR'!A259</f>
        <v>257</v>
      </c>
      <c r="B259" s="19">
        <f t="shared" si="6"/>
        <v>0</v>
      </c>
      <c r="C259" s="19">
        <f t="shared" si="7"/>
        <v>0</v>
      </c>
      <c r="D259" s="19">
        <f>Monthly_payment($B$1,$D$1,$B$3)*'PSA&amp;CPR（function) '!O259</f>
        <v>0</v>
      </c>
      <c r="E259" s="19">
        <f>Principle_portion_of_payment($B$1,$D$1,A259,$B$3)*'PSA&amp;CPR（function) '!O259</f>
        <v>0</v>
      </c>
      <c r="F259" s="19">
        <f>Interest_portion_of_payment($B$1,$D$1,A259,$B$3)*'PSA&amp;CPR（function) '!O259</f>
        <v>0</v>
      </c>
      <c r="G259" s="19">
        <f>(B259-E259)*'PSA&amp;CPR（function) '!G260</f>
        <v>0</v>
      </c>
      <c r="H259" s="19">
        <f>Remaining_balance($B$1,$D$1,A259,$B$3)*'PSA&amp;CPR（function) '!O260</f>
        <v>0</v>
      </c>
    </row>
    <row r="260" spans="1:8">
      <c r="A260">
        <f>'PSA&amp;CPR'!A260</f>
        <v>258</v>
      </c>
      <c r="B260" s="19">
        <f t="shared" si="6"/>
        <v>0</v>
      </c>
      <c r="C260" s="19">
        <f t="shared" si="7"/>
        <v>0</v>
      </c>
      <c r="D260" s="19">
        <f>Monthly_payment($B$1,$D$1,$B$3)*'PSA&amp;CPR（function) '!O260</f>
        <v>0</v>
      </c>
      <c r="E260" s="19">
        <f>Principle_portion_of_payment($B$1,$D$1,A260,$B$3)*'PSA&amp;CPR（function) '!O260</f>
        <v>0</v>
      </c>
      <c r="F260" s="19">
        <f>Interest_portion_of_payment($B$1,$D$1,A260,$B$3)*'PSA&amp;CPR（function) '!O260</f>
        <v>0</v>
      </c>
      <c r="G260" s="19">
        <f>(B260-E260)*'PSA&amp;CPR（function) '!G261</f>
        <v>0</v>
      </c>
      <c r="H260" s="19">
        <f>Remaining_balance($B$1,$D$1,A260,$B$3)*'PSA&amp;CPR（function) '!O261</f>
        <v>0</v>
      </c>
    </row>
    <row r="261" spans="1:8">
      <c r="A261">
        <f>'PSA&amp;CPR'!A261</f>
        <v>259</v>
      </c>
      <c r="B261" s="19">
        <f t="shared" ref="B261:B324" si="8">H260</f>
        <v>0</v>
      </c>
      <c r="C261" s="19">
        <f t="shared" ref="C261:C324" si="9">B261*($B$1/1200)</f>
        <v>0</v>
      </c>
      <c r="D261" s="19">
        <f>Monthly_payment($B$1,$D$1,$B$3)*'PSA&amp;CPR（function) '!O261</f>
        <v>0</v>
      </c>
      <c r="E261" s="19">
        <f>Principle_portion_of_payment($B$1,$D$1,A261,$B$3)*'PSA&amp;CPR（function) '!O261</f>
        <v>0</v>
      </c>
      <c r="F261" s="19">
        <f>Interest_portion_of_payment($B$1,$D$1,A261,$B$3)*'PSA&amp;CPR（function) '!O261</f>
        <v>0</v>
      </c>
      <c r="G261" s="19">
        <f>(B261-E261)*'PSA&amp;CPR（function) '!G262</f>
        <v>0</v>
      </c>
      <c r="H261" s="19">
        <f>Remaining_balance($B$1,$D$1,A261,$B$3)*'PSA&amp;CPR（function) '!O262</f>
        <v>0</v>
      </c>
    </row>
    <row r="262" spans="1:8">
      <c r="A262">
        <f>'PSA&amp;CPR'!A262</f>
        <v>260</v>
      </c>
      <c r="B262" s="19">
        <f t="shared" si="8"/>
        <v>0</v>
      </c>
      <c r="C262" s="19">
        <f t="shared" si="9"/>
        <v>0</v>
      </c>
      <c r="D262" s="19">
        <f>Monthly_payment($B$1,$D$1,$B$3)*'PSA&amp;CPR（function) '!O262</f>
        <v>0</v>
      </c>
      <c r="E262" s="19">
        <f>Principle_portion_of_payment($B$1,$D$1,A262,$B$3)*'PSA&amp;CPR（function) '!O262</f>
        <v>0</v>
      </c>
      <c r="F262" s="19">
        <f>Interest_portion_of_payment($B$1,$D$1,A262,$B$3)*'PSA&amp;CPR（function) '!O262</f>
        <v>0</v>
      </c>
      <c r="G262" s="19">
        <f>(B262-E262)*'PSA&amp;CPR（function) '!G263</f>
        <v>0</v>
      </c>
      <c r="H262" s="19">
        <f>Remaining_balance($B$1,$D$1,A262,$B$3)*'PSA&amp;CPR（function) '!O263</f>
        <v>0</v>
      </c>
    </row>
    <row r="263" spans="1:8">
      <c r="A263">
        <f>'PSA&amp;CPR'!A263</f>
        <v>261</v>
      </c>
      <c r="B263" s="19">
        <f t="shared" si="8"/>
        <v>0</v>
      </c>
      <c r="C263" s="19">
        <f t="shared" si="9"/>
        <v>0</v>
      </c>
      <c r="D263" s="19">
        <f>Monthly_payment($B$1,$D$1,$B$3)*'PSA&amp;CPR（function) '!O263</f>
        <v>0</v>
      </c>
      <c r="E263" s="19">
        <f>Principle_portion_of_payment($B$1,$D$1,A263,$B$3)*'PSA&amp;CPR（function) '!O263</f>
        <v>0</v>
      </c>
      <c r="F263" s="19">
        <f>Interest_portion_of_payment($B$1,$D$1,A263,$B$3)*'PSA&amp;CPR（function) '!O263</f>
        <v>0</v>
      </c>
      <c r="G263" s="19">
        <f>(B263-E263)*'PSA&amp;CPR（function) '!G264</f>
        <v>0</v>
      </c>
      <c r="H263" s="19">
        <f>Remaining_balance($B$1,$D$1,A263,$B$3)*'PSA&amp;CPR（function) '!O264</f>
        <v>0</v>
      </c>
    </row>
    <row r="264" spans="1:8">
      <c r="A264">
        <f>'PSA&amp;CPR'!A264</f>
        <v>262</v>
      </c>
      <c r="B264" s="19">
        <f t="shared" si="8"/>
        <v>0</v>
      </c>
      <c r="C264" s="19">
        <f t="shared" si="9"/>
        <v>0</v>
      </c>
      <c r="D264" s="19">
        <f>Monthly_payment($B$1,$D$1,$B$3)*'PSA&amp;CPR（function) '!O264</f>
        <v>0</v>
      </c>
      <c r="E264" s="19">
        <f>Principle_portion_of_payment($B$1,$D$1,A264,$B$3)*'PSA&amp;CPR（function) '!O264</f>
        <v>0</v>
      </c>
      <c r="F264" s="19">
        <f>Interest_portion_of_payment($B$1,$D$1,A264,$B$3)*'PSA&amp;CPR（function) '!O264</f>
        <v>0</v>
      </c>
      <c r="G264" s="19">
        <f>(B264-E264)*'PSA&amp;CPR（function) '!G265</f>
        <v>0</v>
      </c>
      <c r="H264" s="19">
        <f>Remaining_balance($B$1,$D$1,A264,$B$3)*'PSA&amp;CPR（function) '!O265</f>
        <v>0</v>
      </c>
    </row>
    <row r="265" spans="1:8">
      <c r="A265">
        <f>'PSA&amp;CPR'!A265</f>
        <v>263</v>
      </c>
      <c r="B265" s="19">
        <f t="shared" si="8"/>
        <v>0</v>
      </c>
      <c r="C265" s="19">
        <f t="shared" si="9"/>
        <v>0</v>
      </c>
      <c r="D265" s="19">
        <f>Monthly_payment($B$1,$D$1,$B$3)*'PSA&amp;CPR（function) '!O265</f>
        <v>0</v>
      </c>
      <c r="E265" s="19">
        <f>Principle_portion_of_payment($B$1,$D$1,A265,$B$3)*'PSA&amp;CPR（function) '!O265</f>
        <v>0</v>
      </c>
      <c r="F265" s="19">
        <f>Interest_portion_of_payment($B$1,$D$1,A265,$B$3)*'PSA&amp;CPR（function) '!O265</f>
        <v>0</v>
      </c>
      <c r="G265" s="19">
        <f>(B265-E265)*'PSA&amp;CPR（function) '!G266</f>
        <v>0</v>
      </c>
      <c r="H265" s="19">
        <f>Remaining_balance($B$1,$D$1,A265,$B$3)*'PSA&amp;CPR（function) '!O266</f>
        <v>0</v>
      </c>
    </row>
    <row r="266" spans="1:8">
      <c r="A266">
        <f>'PSA&amp;CPR'!A266</f>
        <v>264</v>
      </c>
      <c r="B266" s="19">
        <f t="shared" si="8"/>
        <v>0</v>
      </c>
      <c r="C266" s="19">
        <f t="shared" si="9"/>
        <v>0</v>
      </c>
      <c r="D266" s="19">
        <f>Monthly_payment($B$1,$D$1,$B$3)*'PSA&amp;CPR（function) '!O266</f>
        <v>0</v>
      </c>
      <c r="E266" s="19">
        <f>Principle_portion_of_payment($B$1,$D$1,A266,$B$3)*'PSA&amp;CPR（function) '!O266</f>
        <v>0</v>
      </c>
      <c r="F266" s="19">
        <f>Interest_portion_of_payment($B$1,$D$1,A266,$B$3)*'PSA&amp;CPR（function) '!O266</f>
        <v>0</v>
      </c>
      <c r="G266" s="19">
        <f>(B266-E266)*'PSA&amp;CPR（function) '!G267</f>
        <v>0</v>
      </c>
      <c r="H266" s="19">
        <f>Remaining_balance($B$1,$D$1,A266,$B$3)*'PSA&amp;CPR（function) '!O267</f>
        <v>0</v>
      </c>
    </row>
    <row r="267" spans="1:8">
      <c r="A267">
        <f>'PSA&amp;CPR'!A267</f>
        <v>265</v>
      </c>
      <c r="B267" s="19">
        <f t="shared" si="8"/>
        <v>0</v>
      </c>
      <c r="C267" s="19">
        <f t="shared" si="9"/>
        <v>0</v>
      </c>
      <c r="D267" s="19">
        <f>Monthly_payment($B$1,$D$1,$B$3)*'PSA&amp;CPR（function) '!O267</f>
        <v>0</v>
      </c>
      <c r="E267" s="19">
        <f>Principle_portion_of_payment($B$1,$D$1,A267,$B$3)*'PSA&amp;CPR（function) '!O267</f>
        <v>0</v>
      </c>
      <c r="F267" s="19">
        <f>Interest_portion_of_payment($B$1,$D$1,A267,$B$3)*'PSA&amp;CPR（function) '!O267</f>
        <v>0</v>
      </c>
      <c r="G267" s="19">
        <f>(B267-E267)*'PSA&amp;CPR（function) '!G268</f>
        <v>0</v>
      </c>
      <c r="H267" s="19">
        <f>Remaining_balance($B$1,$D$1,A267,$B$3)*'PSA&amp;CPR（function) '!O268</f>
        <v>0</v>
      </c>
    </row>
    <row r="268" spans="1:8">
      <c r="A268">
        <f>'PSA&amp;CPR'!A268</f>
        <v>266</v>
      </c>
      <c r="B268" s="19">
        <f t="shared" si="8"/>
        <v>0</v>
      </c>
      <c r="C268" s="19">
        <f t="shared" si="9"/>
        <v>0</v>
      </c>
      <c r="D268" s="19">
        <f>Monthly_payment($B$1,$D$1,$B$3)*'PSA&amp;CPR（function) '!O268</f>
        <v>0</v>
      </c>
      <c r="E268" s="19">
        <f>Principle_portion_of_payment($B$1,$D$1,A268,$B$3)*'PSA&amp;CPR（function) '!O268</f>
        <v>0</v>
      </c>
      <c r="F268" s="19">
        <f>Interest_portion_of_payment($B$1,$D$1,A268,$B$3)*'PSA&amp;CPR（function) '!O268</f>
        <v>0</v>
      </c>
      <c r="G268" s="19">
        <f>(B268-E268)*'PSA&amp;CPR（function) '!G269</f>
        <v>0</v>
      </c>
      <c r="H268" s="19">
        <f>Remaining_balance($B$1,$D$1,A268,$B$3)*'PSA&amp;CPR（function) '!O269</f>
        <v>0</v>
      </c>
    </row>
    <row r="269" spans="1:8">
      <c r="A269">
        <f>'PSA&amp;CPR'!A269</f>
        <v>267</v>
      </c>
      <c r="B269" s="19">
        <f t="shared" si="8"/>
        <v>0</v>
      </c>
      <c r="C269" s="19">
        <f t="shared" si="9"/>
        <v>0</v>
      </c>
      <c r="D269" s="19">
        <f>Monthly_payment($B$1,$D$1,$B$3)*'PSA&amp;CPR（function) '!O269</f>
        <v>0</v>
      </c>
      <c r="E269" s="19">
        <f>Principle_portion_of_payment($B$1,$D$1,A269,$B$3)*'PSA&amp;CPR（function) '!O269</f>
        <v>0</v>
      </c>
      <c r="F269" s="19">
        <f>Interest_portion_of_payment($B$1,$D$1,A269,$B$3)*'PSA&amp;CPR（function) '!O269</f>
        <v>0</v>
      </c>
      <c r="G269" s="19">
        <f>(B269-E269)*'PSA&amp;CPR（function) '!G270</f>
        <v>0</v>
      </c>
      <c r="H269" s="19">
        <f>Remaining_balance($B$1,$D$1,A269,$B$3)*'PSA&amp;CPR（function) '!O270</f>
        <v>0</v>
      </c>
    </row>
    <row r="270" spans="1:8">
      <c r="A270">
        <f>'PSA&amp;CPR'!A270</f>
        <v>268</v>
      </c>
      <c r="B270" s="19">
        <f t="shared" si="8"/>
        <v>0</v>
      </c>
      <c r="C270" s="19">
        <f t="shared" si="9"/>
        <v>0</v>
      </c>
      <c r="D270" s="19">
        <f>Monthly_payment($B$1,$D$1,$B$3)*'PSA&amp;CPR（function) '!O270</f>
        <v>0</v>
      </c>
      <c r="E270" s="19">
        <f>Principle_portion_of_payment($B$1,$D$1,A270,$B$3)*'PSA&amp;CPR（function) '!O270</f>
        <v>0</v>
      </c>
      <c r="F270" s="19">
        <f>Interest_portion_of_payment($B$1,$D$1,A270,$B$3)*'PSA&amp;CPR（function) '!O270</f>
        <v>0</v>
      </c>
      <c r="G270" s="19">
        <f>(B270-E270)*'PSA&amp;CPR（function) '!G271</f>
        <v>0</v>
      </c>
      <c r="H270" s="19">
        <f>Remaining_balance($B$1,$D$1,A270,$B$3)*'PSA&amp;CPR（function) '!O271</f>
        <v>0</v>
      </c>
    </row>
    <row r="271" spans="1:8">
      <c r="A271">
        <f>'PSA&amp;CPR'!A271</f>
        <v>269</v>
      </c>
      <c r="B271" s="19">
        <f t="shared" si="8"/>
        <v>0</v>
      </c>
      <c r="C271" s="19">
        <f t="shared" si="9"/>
        <v>0</v>
      </c>
      <c r="D271" s="19">
        <f>Monthly_payment($B$1,$D$1,$B$3)*'PSA&amp;CPR（function) '!O271</f>
        <v>0</v>
      </c>
      <c r="E271" s="19">
        <f>Principle_portion_of_payment($B$1,$D$1,A271,$B$3)*'PSA&amp;CPR（function) '!O271</f>
        <v>0</v>
      </c>
      <c r="F271" s="19">
        <f>Interest_portion_of_payment($B$1,$D$1,A271,$B$3)*'PSA&amp;CPR（function) '!O271</f>
        <v>0</v>
      </c>
      <c r="G271" s="19">
        <f>(B271-E271)*'PSA&amp;CPR（function) '!G272</f>
        <v>0</v>
      </c>
      <c r="H271" s="19">
        <f>Remaining_balance($B$1,$D$1,A271,$B$3)*'PSA&amp;CPR（function) '!O272</f>
        <v>0</v>
      </c>
    </row>
    <row r="272" spans="1:8">
      <c r="A272">
        <f>'PSA&amp;CPR'!A272</f>
        <v>270</v>
      </c>
      <c r="B272" s="19">
        <f t="shared" si="8"/>
        <v>0</v>
      </c>
      <c r="C272" s="19">
        <f t="shared" si="9"/>
        <v>0</v>
      </c>
      <c r="D272" s="19">
        <f>Monthly_payment($B$1,$D$1,$B$3)*'PSA&amp;CPR（function) '!O272</f>
        <v>0</v>
      </c>
      <c r="E272" s="19">
        <f>Principle_portion_of_payment($B$1,$D$1,A272,$B$3)*'PSA&amp;CPR（function) '!O272</f>
        <v>0</v>
      </c>
      <c r="F272" s="19">
        <f>Interest_portion_of_payment($B$1,$D$1,A272,$B$3)*'PSA&amp;CPR（function) '!O272</f>
        <v>0</v>
      </c>
      <c r="G272" s="19">
        <f>(B272-E272)*'PSA&amp;CPR（function) '!G273</f>
        <v>0</v>
      </c>
      <c r="H272" s="19">
        <f>Remaining_balance($B$1,$D$1,A272,$B$3)*'PSA&amp;CPR（function) '!O273</f>
        <v>0</v>
      </c>
    </row>
    <row r="273" spans="1:8">
      <c r="A273">
        <f>'PSA&amp;CPR'!A273</f>
        <v>271</v>
      </c>
      <c r="B273" s="19">
        <f t="shared" si="8"/>
        <v>0</v>
      </c>
      <c r="C273" s="19">
        <f t="shared" si="9"/>
        <v>0</v>
      </c>
      <c r="D273" s="19">
        <f>Monthly_payment($B$1,$D$1,$B$3)*'PSA&amp;CPR（function) '!O273</f>
        <v>0</v>
      </c>
      <c r="E273" s="19">
        <f>Principle_portion_of_payment($B$1,$D$1,A273,$B$3)*'PSA&amp;CPR（function) '!O273</f>
        <v>0</v>
      </c>
      <c r="F273" s="19">
        <f>Interest_portion_of_payment($B$1,$D$1,A273,$B$3)*'PSA&amp;CPR（function) '!O273</f>
        <v>0</v>
      </c>
      <c r="G273" s="19">
        <f>(B273-E273)*'PSA&amp;CPR（function) '!G274</f>
        <v>0</v>
      </c>
      <c r="H273" s="19">
        <f>Remaining_balance($B$1,$D$1,A273,$B$3)*'PSA&amp;CPR（function) '!O274</f>
        <v>0</v>
      </c>
    </row>
    <row r="274" spans="1:8">
      <c r="A274">
        <f>'PSA&amp;CPR'!A274</f>
        <v>272</v>
      </c>
      <c r="B274" s="19">
        <f t="shared" si="8"/>
        <v>0</v>
      </c>
      <c r="C274" s="19">
        <f t="shared" si="9"/>
        <v>0</v>
      </c>
      <c r="D274" s="19">
        <f>Monthly_payment($B$1,$D$1,$B$3)*'PSA&amp;CPR（function) '!O274</f>
        <v>0</v>
      </c>
      <c r="E274" s="19">
        <f>Principle_portion_of_payment($B$1,$D$1,A274,$B$3)*'PSA&amp;CPR（function) '!O274</f>
        <v>0</v>
      </c>
      <c r="F274" s="19">
        <f>Interest_portion_of_payment($B$1,$D$1,A274,$B$3)*'PSA&amp;CPR（function) '!O274</f>
        <v>0</v>
      </c>
      <c r="G274" s="19">
        <f>(B274-E274)*'PSA&amp;CPR（function) '!G275</f>
        <v>0</v>
      </c>
      <c r="H274" s="19">
        <f>Remaining_balance($B$1,$D$1,A274,$B$3)*'PSA&amp;CPR（function) '!O275</f>
        <v>0</v>
      </c>
    </row>
    <row r="275" spans="1:8">
      <c r="A275">
        <f>'PSA&amp;CPR'!A275</f>
        <v>273</v>
      </c>
      <c r="B275" s="19">
        <f t="shared" si="8"/>
        <v>0</v>
      </c>
      <c r="C275" s="19">
        <f t="shared" si="9"/>
        <v>0</v>
      </c>
      <c r="D275" s="19">
        <f>Monthly_payment($B$1,$D$1,$B$3)*'PSA&amp;CPR（function) '!O275</f>
        <v>0</v>
      </c>
      <c r="E275" s="19">
        <f>Principle_portion_of_payment($B$1,$D$1,A275,$B$3)*'PSA&amp;CPR（function) '!O275</f>
        <v>0</v>
      </c>
      <c r="F275" s="19">
        <f>Interest_portion_of_payment($B$1,$D$1,A275,$B$3)*'PSA&amp;CPR（function) '!O275</f>
        <v>0</v>
      </c>
      <c r="G275" s="19">
        <f>(B275-E275)*'PSA&amp;CPR（function) '!G276</f>
        <v>0</v>
      </c>
      <c r="H275" s="19">
        <f>Remaining_balance($B$1,$D$1,A275,$B$3)*'PSA&amp;CPR（function) '!O276</f>
        <v>0</v>
      </c>
    </row>
    <row r="276" spans="1:8">
      <c r="A276">
        <f>'PSA&amp;CPR'!A276</f>
        <v>274</v>
      </c>
      <c r="B276" s="19">
        <f t="shared" si="8"/>
        <v>0</v>
      </c>
      <c r="C276" s="19">
        <f t="shared" si="9"/>
        <v>0</v>
      </c>
      <c r="D276" s="19">
        <f>Monthly_payment($B$1,$D$1,$B$3)*'PSA&amp;CPR（function) '!O276</f>
        <v>0</v>
      </c>
      <c r="E276" s="19">
        <f>Principle_portion_of_payment($B$1,$D$1,A276,$B$3)*'PSA&amp;CPR（function) '!O276</f>
        <v>0</v>
      </c>
      <c r="F276" s="19">
        <f>Interest_portion_of_payment($B$1,$D$1,A276,$B$3)*'PSA&amp;CPR（function) '!O276</f>
        <v>0</v>
      </c>
      <c r="G276" s="19">
        <f>(B276-E276)*'PSA&amp;CPR（function) '!G277</f>
        <v>0</v>
      </c>
      <c r="H276" s="19">
        <f>Remaining_balance($B$1,$D$1,A276,$B$3)*'PSA&amp;CPR（function) '!O277</f>
        <v>0</v>
      </c>
    </row>
    <row r="277" spans="1:8">
      <c r="A277">
        <f>'PSA&amp;CPR'!A277</f>
        <v>275</v>
      </c>
      <c r="B277" s="19">
        <f t="shared" si="8"/>
        <v>0</v>
      </c>
      <c r="C277" s="19">
        <f t="shared" si="9"/>
        <v>0</v>
      </c>
      <c r="D277" s="19">
        <f>Monthly_payment($B$1,$D$1,$B$3)*'PSA&amp;CPR（function) '!O277</f>
        <v>0</v>
      </c>
      <c r="E277" s="19">
        <f>Principle_portion_of_payment($B$1,$D$1,A277,$B$3)*'PSA&amp;CPR（function) '!O277</f>
        <v>0</v>
      </c>
      <c r="F277" s="19">
        <f>Interest_portion_of_payment($B$1,$D$1,A277,$B$3)*'PSA&amp;CPR（function) '!O277</f>
        <v>0</v>
      </c>
      <c r="G277" s="19">
        <f>(B277-E277)*'PSA&amp;CPR（function) '!G278</f>
        <v>0</v>
      </c>
      <c r="H277" s="19">
        <f>Remaining_balance($B$1,$D$1,A277,$B$3)*'PSA&amp;CPR（function) '!O278</f>
        <v>0</v>
      </c>
    </row>
    <row r="278" spans="1:8">
      <c r="A278">
        <f>'PSA&amp;CPR'!A278</f>
        <v>276</v>
      </c>
      <c r="B278" s="19">
        <f t="shared" si="8"/>
        <v>0</v>
      </c>
      <c r="C278" s="19">
        <f t="shared" si="9"/>
        <v>0</v>
      </c>
      <c r="D278" s="19">
        <f>Monthly_payment($B$1,$D$1,$B$3)*'PSA&amp;CPR（function) '!O278</f>
        <v>0</v>
      </c>
      <c r="E278" s="19">
        <f>Principle_portion_of_payment($B$1,$D$1,A278,$B$3)*'PSA&amp;CPR（function) '!O278</f>
        <v>0</v>
      </c>
      <c r="F278" s="19">
        <f>Interest_portion_of_payment($B$1,$D$1,A278,$B$3)*'PSA&amp;CPR（function) '!O278</f>
        <v>0</v>
      </c>
      <c r="G278" s="19">
        <f>(B278-E278)*'PSA&amp;CPR（function) '!G279</f>
        <v>0</v>
      </c>
      <c r="H278" s="19">
        <f>Remaining_balance($B$1,$D$1,A278,$B$3)*'PSA&amp;CPR（function) '!O279</f>
        <v>0</v>
      </c>
    </row>
    <row r="279" spans="1:8">
      <c r="A279">
        <f>'PSA&amp;CPR'!A279</f>
        <v>277</v>
      </c>
      <c r="B279" s="19">
        <f t="shared" si="8"/>
        <v>0</v>
      </c>
      <c r="C279" s="19">
        <f t="shared" si="9"/>
        <v>0</v>
      </c>
      <c r="D279" s="19">
        <f>Monthly_payment($B$1,$D$1,$B$3)*'PSA&amp;CPR（function) '!O279</f>
        <v>0</v>
      </c>
      <c r="E279" s="19">
        <f>Principle_portion_of_payment($B$1,$D$1,A279,$B$3)*'PSA&amp;CPR（function) '!O279</f>
        <v>0</v>
      </c>
      <c r="F279" s="19">
        <f>Interest_portion_of_payment($B$1,$D$1,A279,$B$3)*'PSA&amp;CPR（function) '!O279</f>
        <v>0</v>
      </c>
      <c r="G279" s="19">
        <f>(B279-E279)*'PSA&amp;CPR（function) '!G280</f>
        <v>0</v>
      </c>
      <c r="H279" s="19">
        <f>Remaining_balance($B$1,$D$1,A279,$B$3)*'PSA&amp;CPR（function) '!O280</f>
        <v>0</v>
      </c>
    </row>
    <row r="280" spans="1:8">
      <c r="A280">
        <f>'PSA&amp;CPR'!A280</f>
        <v>278</v>
      </c>
      <c r="B280" s="19">
        <f t="shared" si="8"/>
        <v>0</v>
      </c>
      <c r="C280" s="19">
        <f t="shared" si="9"/>
        <v>0</v>
      </c>
      <c r="D280" s="19">
        <f>Monthly_payment($B$1,$D$1,$B$3)*'PSA&amp;CPR（function) '!O280</f>
        <v>0</v>
      </c>
      <c r="E280" s="19">
        <f>Principle_portion_of_payment($B$1,$D$1,A280,$B$3)*'PSA&amp;CPR（function) '!O280</f>
        <v>0</v>
      </c>
      <c r="F280" s="19">
        <f>Interest_portion_of_payment($B$1,$D$1,A280,$B$3)*'PSA&amp;CPR（function) '!O280</f>
        <v>0</v>
      </c>
      <c r="G280" s="19">
        <f>(B280-E280)*'PSA&amp;CPR（function) '!G281</f>
        <v>0</v>
      </c>
      <c r="H280" s="19">
        <f>Remaining_balance($B$1,$D$1,A280,$B$3)*'PSA&amp;CPR（function) '!O281</f>
        <v>0</v>
      </c>
    </row>
    <row r="281" spans="1:8">
      <c r="A281">
        <f>'PSA&amp;CPR'!A281</f>
        <v>279</v>
      </c>
      <c r="B281" s="19">
        <f t="shared" si="8"/>
        <v>0</v>
      </c>
      <c r="C281" s="19">
        <f t="shared" si="9"/>
        <v>0</v>
      </c>
      <c r="D281" s="19">
        <f>Monthly_payment($B$1,$D$1,$B$3)*'PSA&amp;CPR（function) '!O281</f>
        <v>0</v>
      </c>
      <c r="E281" s="19">
        <f>Principle_portion_of_payment($B$1,$D$1,A281,$B$3)*'PSA&amp;CPR（function) '!O281</f>
        <v>0</v>
      </c>
      <c r="F281" s="19">
        <f>Interest_portion_of_payment($B$1,$D$1,A281,$B$3)*'PSA&amp;CPR（function) '!O281</f>
        <v>0</v>
      </c>
      <c r="G281" s="19">
        <f>(B281-E281)*'PSA&amp;CPR（function) '!G282</f>
        <v>0</v>
      </c>
      <c r="H281" s="19">
        <f>Remaining_balance($B$1,$D$1,A281,$B$3)*'PSA&amp;CPR（function) '!O282</f>
        <v>0</v>
      </c>
    </row>
    <row r="282" spans="1:8">
      <c r="A282">
        <f>'PSA&amp;CPR'!A282</f>
        <v>280</v>
      </c>
      <c r="B282" s="19">
        <f t="shared" si="8"/>
        <v>0</v>
      </c>
      <c r="C282" s="19">
        <f t="shared" si="9"/>
        <v>0</v>
      </c>
      <c r="D282" s="19">
        <f>Monthly_payment($B$1,$D$1,$B$3)*'PSA&amp;CPR（function) '!O282</f>
        <v>0</v>
      </c>
      <c r="E282" s="19">
        <f>Principle_portion_of_payment($B$1,$D$1,A282,$B$3)*'PSA&amp;CPR（function) '!O282</f>
        <v>0</v>
      </c>
      <c r="F282" s="19">
        <f>Interest_portion_of_payment($B$1,$D$1,A282,$B$3)*'PSA&amp;CPR（function) '!O282</f>
        <v>0</v>
      </c>
      <c r="G282" s="19">
        <f>(B282-E282)*'PSA&amp;CPR（function) '!G283</f>
        <v>0</v>
      </c>
      <c r="H282" s="19">
        <f>Remaining_balance($B$1,$D$1,A282,$B$3)*'PSA&amp;CPR（function) '!O283</f>
        <v>0</v>
      </c>
    </row>
    <row r="283" spans="1:8">
      <c r="A283">
        <f>'PSA&amp;CPR'!A283</f>
        <v>281</v>
      </c>
      <c r="B283" s="19">
        <f t="shared" si="8"/>
        <v>0</v>
      </c>
      <c r="C283" s="19">
        <f t="shared" si="9"/>
        <v>0</v>
      </c>
      <c r="D283" s="19">
        <f>Monthly_payment($B$1,$D$1,$B$3)*'PSA&amp;CPR（function) '!O283</f>
        <v>0</v>
      </c>
      <c r="E283" s="19">
        <f>Principle_portion_of_payment($B$1,$D$1,A283,$B$3)*'PSA&amp;CPR（function) '!O283</f>
        <v>0</v>
      </c>
      <c r="F283" s="19">
        <f>Interest_portion_of_payment($B$1,$D$1,A283,$B$3)*'PSA&amp;CPR（function) '!O283</f>
        <v>0</v>
      </c>
      <c r="G283" s="19">
        <f>(B283-E283)*'PSA&amp;CPR（function) '!G284</f>
        <v>0</v>
      </c>
      <c r="H283" s="19">
        <f>Remaining_balance($B$1,$D$1,A283,$B$3)*'PSA&amp;CPR（function) '!O284</f>
        <v>0</v>
      </c>
    </row>
    <row r="284" spans="1:8">
      <c r="A284">
        <f>'PSA&amp;CPR'!A284</f>
        <v>282</v>
      </c>
      <c r="B284" s="19">
        <f t="shared" si="8"/>
        <v>0</v>
      </c>
      <c r="C284" s="19">
        <f t="shared" si="9"/>
        <v>0</v>
      </c>
      <c r="D284" s="19">
        <f>Monthly_payment($B$1,$D$1,$B$3)*'PSA&amp;CPR（function) '!O284</f>
        <v>0</v>
      </c>
      <c r="E284" s="19">
        <f>Principle_portion_of_payment($B$1,$D$1,A284,$B$3)*'PSA&amp;CPR（function) '!O284</f>
        <v>0</v>
      </c>
      <c r="F284" s="19">
        <f>Interest_portion_of_payment($B$1,$D$1,A284,$B$3)*'PSA&amp;CPR（function) '!O284</f>
        <v>0</v>
      </c>
      <c r="G284" s="19">
        <f>(B284-E284)*'PSA&amp;CPR（function) '!G285</f>
        <v>0</v>
      </c>
      <c r="H284" s="19">
        <f>Remaining_balance($B$1,$D$1,A284,$B$3)*'PSA&amp;CPR（function) '!O285</f>
        <v>0</v>
      </c>
    </row>
    <row r="285" spans="1:8">
      <c r="A285">
        <f>'PSA&amp;CPR'!A285</f>
        <v>283</v>
      </c>
      <c r="B285" s="19">
        <f t="shared" si="8"/>
        <v>0</v>
      </c>
      <c r="C285" s="19">
        <f t="shared" si="9"/>
        <v>0</v>
      </c>
      <c r="D285" s="19">
        <f>Monthly_payment($B$1,$D$1,$B$3)*'PSA&amp;CPR（function) '!O285</f>
        <v>0</v>
      </c>
      <c r="E285" s="19">
        <f>Principle_portion_of_payment($B$1,$D$1,A285,$B$3)*'PSA&amp;CPR（function) '!O285</f>
        <v>0</v>
      </c>
      <c r="F285" s="19">
        <f>Interest_portion_of_payment($B$1,$D$1,A285,$B$3)*'PSA&amp;CPR（function) '!O285</f>
        <v>0</v>
      </c>
      <c r="G285" s="19">
        <f>(B285-E285)*'PSA&amp;CPR（function) '!G286</f>
        <v>0</v>
      </c>
      <c r="H285" s="19">
        <f>Remaining_balance($B$1,$D$1,A285,$B$3)*'PSA&amp;CPR（function) '!O286</f>
        <v>0</v>
      </c>
    </row>
    <row r="286" spans="1:8">
      <c r="A286">
        <f>'PSA&amp;CPR'!A286</f>
        <v>284</v>
      </c>
      <c r="B286" s="19">
        <f t="shared" si="8"/>
        <v>0</v>
      </c>
      <c r="C286" s="19">
        <f t="shared" si="9"/>
        <v>0</v>
      </c>
      <c r="D286" s="19">
        <f>Monthly_payment($B$1,$D$1,$B$3)*'PSA&amp;CPR（function) '!O286</f>
        <v>0</v>
      </c>
      <c r="E286" s="19">
        <f>Principle_portion_of_payment($B$1,$D$1,A286,$B$3)*'PSA&amp;CPR（function) '!O286</f>
        <v>0</v>
      </c>
      <c r="F286" s="19">
        <f>Interest_portion_of_payment($B$1,$D$1,A286,$B$3)*'PSA&amp;CPR（function) '!O286</f>
        <v>0</v>
      </c>
      <c r="G286" s="19">
        <f>(B286-E286)*'PSA&amp;CPR（function) '!G287</f>
        <v>0</v>
      </c>
      <c r="H286" s="19">
        <f>Remaining_balance($B$1,$D$1,A286,$B$3)*'PSA&amp;CPR（function) '!O287</f>
        <v>0</v>
      </c>
    </row>
    <row r="287" spans="1:8">
      <c r="A287">
        <f>'PSA&amp;CPR'!A287</f>
        <v>285</v>
      </c>
      <c r="B287" s="19">
        <f t="shared" si="8"/>
        <v>0</v>
      </c>
      <c r="C287" s="19">
        <f t="shared" si="9"/>
        <v>0</v>
      </c>
      <c r="D287" s="19">
        <f>Monthly_payment($B$1,$D$1,$B$3)*'PSA&amp;CPR（function) '!O287</f>
        <v>0</v>
      </c>
      <c r="E287" s="19">
        <f>Principle_portion_of_payment($B$1,$D$1,A287,$B$3)*'PSA&amp;CPR（function) '!O287</f>
        <v>0</v>
      </c>
      <c r="F287" s="19">
        <f>Interest_portion_of_payment($B$1,$D$1,A287,$B$3)*'PSA&amp;CPR（function) '!O287</f>
        <v>0</v>
      </c>
      <c r="G287" s="19">
        <f>(B287-E287)*'PSA&amp;CPR（function) '!G288</f>
        <v>0</v>
      </c>
      <c r="H287" s="19">
        <f>Remaining_balance($B$1,$D$1,A287,$B$3)*'PSA&amp;CPR（function) '!O288</f>
        <v>0</v>
      </c>
    </row>
    <row r="288" spans="1:8">
      <c r="A288">
        <f>'PSA&amp;CPR'!A288</f>
        <v>286</v>
      </c>
      <c r="B288" s="19">
        <f t="shared" si="8"/>
        <v>0</v>
      </c>
      <c r="C288" s="19">
        <f t="shared" si="9"/>
        <v>0</v>
      </c>
      <c r="D288" s="19">
        <f>Monthly_payment($B$1,$D$1,$B$3)*'PSA&amp;CPR（function) '!O288</f>
        <v>0</v>
      </c>
      <c r="E288" s="19">
        <f>Principle_portion_of_payment($B$1,$D$1,A288,$B$3)*'PSA&amp;CPR（function) '!O288</f>
        <v>0</v>
      </c>
      <c r="F288" s="19">
        <f>Interest_portion_of_payment($B$1,$D$1,A288,$B$3)*'PSA&amp;CPR（function) '!O288</f>
        <v>0</v>
      </c>
      <c r="G288" s="19">
        <f>(B288-E288)*'PSA&amp;CPR（function) '!G289</f>
        <v>0</v>
      </c>
      <c r="H288" s="19">
        <f>Remaining_balance($B$1,$D$1,A288,$B$3)*'PSA&amp;CPR（function) '!O289</f>
        <v>0</v>
      </c>
    </row>
    <row r="289" spans="1:8">
      <c r="A289">
        <f>'PSA&amp;CPR'!A289</f>
        <v>287</v>
      </c>
      <c r="B289" s="19">
        <f t="shared" si="8"/>
        <v>0</v>
      </c>
      <c r="C289" s="19">
        <f t="shared" si="9"/>
        <v>0</v>
      </c>
      <c r="D289" s="19">
        <f>Monthly_payment($B$1,$D$1,$B$3)*'PSA&amp;CPR（function) '!O289</f>
        <v>0</v>
      </c>
      <c r="E289" s="19">
        <f>Principle_portion_of_payment($B$1,$D$1,A289,$B$3)*'PSA&amp;CPR（function) '!O289</f>
        <v>0</v>
      </c>
      <c r="F289" s="19">
        <f>Interest_portion_of_payment($B$1,$D$1,A289,$B$3)*'PSA&amp;CPR（function) '!O289</f>
        <v>0</v>
      </c>
      <c r="G289" s="19">
        <f>(B289-E289)*'PSA&amp;CPR（function) '!G290</f>
        <v>0</v>
      </c>
      <c r="H289" s="19">
        <f>Remaining_balance($B$1,$D$1,A289,$B$3)*'PSA&amp;CPR（function) '!O290</f>
        <v>0</v>
      </c>
    </row>
    <row r="290" spans="1:8">
      <c r="A290">
        <f>'PSA&amp;CPR'!A290</f>
        <v>288</v>
      </c>
      <c r="B290" s="19">
        <f t="shared" si="8"/>
        <v>0</v>
      </c>
      <c r="C290" s="19">
        <f t="shared" si="9"/>
        <v>0</v>
      </c>
      <c r="D290" s="19">
        <f>Monthly_payment($B$1,$D$1,$B$3)*'PSA&amp;CPR（function) '!O290</f>
        <v>0</v>
      </c>
      <c r="E290" s="19">
        <f>Principle_portion_of_payment($B$1,$D$1,A290,$B$3)*'PSA&amp;CPR（function) '!O290</f>
        <v>0</v>
      </c>
      <c r="F290" s="19">
        <f>Interest_portion_of_payment($B$1,$D$1,A290,$B$3)*'PSA&amp;CPR（function) '!O290</f>
        <v>0</v>
      </c>
      <c r="G290" s="19">
        <f>(B290-E290)*'PSA&amp;CPR（function) '!G291</f>
        <v>0</v>
      </c>
      <c r="H290" s="19">
        <f>Remaining_balance($B$1,$D$1,A290,$B$3)*'PSA&amp;CPR（function) '!O291</f>
        <v>0</v>
      </c>
    </row>
    <row r="291" spans="1:8">
      <c r="A291">
        <f>'PSA&amp;CPR'!A291</f>
        <v>289</v>
      </c>
      <c r="B291" s="19">
        <f t="shared" si="8"/>
        <v>0</v>
      </c>
      <c r="C291" s="19">
        <f t="shared" si="9"/>
        <v>0</v>
      </c>
      <c r="D291" s="19">
        <f>Monthly_payment($B$1,$D$1,$B$3)*'PSA&amp;CPR（function) '!O291</f>
        <v>0</v>
      </c>
      <c r="E291" s="19">
        <f>Principle_portion_of_payment($B$1,$D$1,A291,$B$3)*'PSA&amp;CPR（function) '!O291</f>
        <v>0</v>
      </c>
      <c r="F291" s="19">
        <f>Interest_portion_of_payment($B$1,$D$1,A291,$B$3)*'PSA&amp;CPR（function) '!O291</f>
        <v>0</v>
      </c>
      <c r="G291" s="19">
        <f>(B291-E291)*'PSA&amp;CPR（function) '!G292</f>
        <v>0</v>
      </c>
      <c r="H291" s="19">
        <f>Remaining_balance($B$1,$D$1,A291,$B$3)*'PSA&amp;CPR（function) '!O292</f>
        <v>0</v>
      </c>
    </row>
    <row r="292" spans="1:8">
      <c r="A292">
        <f>'PSA&amp;CPR'!A292</f>
        <v>290</v>
      </c>
      <c r="B292" s="19">
        <f t="shared" si="8"/>
        <v>0</v>
      </c>
      <c r="C292" s="19">
        <f t="shared" si="9"/>
        <v>0</v>
      </c>
      <c r="D292" s="19">
        <f>Monthly_payment($B$1,$D$1,$B$3)*'PSA&amp;CPR（function) '!O292</f>
        <v>0</v>
      </c>
      <c r="E292" s="19">
        <f>Principle_portion_of_payment($B$1,$D$1,A292,$B$3)*'PSA&amp;CPR（function) '!O292</f>
        <v>0</v>
      </c>
      <c r="F292" s="19">
        <f>Interest_portion_of_payment($B$1,$D$1,A292,$B$3)*'PSA&amp;CPR（function) '!O292</f>
        <v>0</v>
      </c>
      <c r="G292" s="19">
        <f>(B292-E292)*'PSA&amp;CPR（function) '!G293</f>
        <v>0</v>
      </c>
      <c r="H292" s="19">
        <f>Remaining_balance($B$1,$D$1,A292,$B$3)*'PSA&amp;CPR（function) '!O293</f>
        <v>0</v>
      </c>
    </row>
    <row r="293" spans="1:8">
      <c r="A293">
        <f>'PSA&amp;CPR'!A293</f>
        <v>291</v>
      </c>
      <c r="B293" s="19">
        <f t="shared" si="8"/>
        <v>0</v>
      </c>
      <c r="C293" s="19">
        <f t="shared" si="9"/>
        <v>0</v>
      </c>
      <c r="D293" s="19">
        <f>Monthly_payment($B$1,$D$1,$B$3)*'PSA&amp;CPR（function) '!O293</f>
        <v>0</v>
      </c>
      <c r="E293" s="19">
        <f>Principle_portion_of_payment($B$1,$D$1,A293,$B$3)*'PSA&amp;CPR（function) '!O293</f>
        <v>0</v>
      </c>
      <c r="F293" s="19">
        <f>Interest_portion_of_payment($B$1,$D$1,A293,$B$3)*'PSA&amp;CPR（function) '!O293</f>
        <v>0</v>
      </c>
      <c r="G293" s="19">
        <f>(B293-E293)*'PSA&amp;CPR（function) '!G294</f>
        <v>0</v>
      </c>
      <c r="H293" s="19">
        <f>Remaining_balance($B$1,$D$1,A293,$B$3)*'PSA&amp;CPR（function) '!O294</f>
        <v>0</v>
      </c>
    </row>
    <row r="294" spans="1:8">
      <c r="A294">
        <f>'PSA&amp;CPR'!A294</f>
        <v>292</v>
      </c>
      <c r="B294" s="19">
        <f t="shared" si="8"/>
        <v>0</v>
      </c>
      <c r="C294" s="19">
        <f t="shared" si="9"/>
        <v>0</v>
      </c>
      <c r="D294" s="19">
        <f>Monthly_payment($B$1,$D$1,$B$3)*'PSA&amp;CPR（function) '!O294</f>
        <v>0</v>
      </c>
      <c r="E294" s="19">
        <f>Principle_portion_of_payment($B$1,$D$1,A294,$B$3)*'PSA&amp;CPR（function) '!O294</f>
        <v>0</v>
      </c>
      <c r="F294" s="19">
        <f>Interest_portion_of_payment($B$1,$D$1,A294,$B$3)*'PSA&amp;CPR（function) '!O294</f>
        <v>0</v>
      </c>
      <c r="G294" s="19">
        <f>(B294-E294)*'PSA&amp;CPR（function) '!G295</f>
        <v>0</v>
      </c>
      <c r="H294" s="19">
        <f>Remaining_balance($B$1,$D$1,A294,$B$3)*'PSA&amp;CPR（function) '!O295</f>
        <v>0</v>
      </c>
    </row>
    <row r="295" spans="1:8">
      <c r="A295">
        <f>'PSA&amp;CPR'!A295</f>
        <v>293</v>
      </c>
      <c r="B295" s="19">
        <f t="shared" si="8"/>
        <v>0</v>
      </c>
      <c r="C295" s="19">
        <f t="shared" si="9"/>
        <v>0</v>
      </c>
      <c r="D295" s="19">
        <f>Monthly_payment($B$1,$D$1,$B$3)*'PSA&amp;CPR（function) '!O295</f>
        <v>0</v>
      </c>
      <c r="E295" s="19">
        <f>Principle_portion_of_payment($B$1,$D$1,A295,$B$3)*'PSA&amp;CPR（function) '!O295</f>
        <v>0</v>
      </c>
      <c r="F295" s="19">
        <f>Interest_portion_of_payment($B$1,$D$1,A295,$B$3)*'PSA&amp;CPR（function) '!O295</f>
        <v>0</v>
      </c>
      <c r="G295" s="19">
        <f>(B295-E295)*'PSA&amp;CPR（function) '!G296</f>
        <v>0</v>
      </c>
      <c r="H295" s="19">
        <f>Remaining_balance($B$1,$D$1,A295,$B$3)*'PSA&amp;CPR（function) '!O296</f>
        <v>0</v>
      </c>
    </row>
    <row r="296" spans="1:8">
      <c r="A296">
        <f>'PSA&amp;CPR'!A296</f>
        <v>294</v>
      </c>
      <c r="B296" s="19">
        <f t="shared" si="8"/>
        <v>0</v>
      </c>
      <c r="C296" s="19">
        <f t="shared" si="9"/>
        <v>0</v>
      </c>
      <c r="D296" s="19">
        <f>Monthly_payment($B$1,$D$1,$B$3)*'PSA&amp;CPR（function) '!O296</f>
        <v>0</v>
      </c>
      <c r="E296" s="19">
        <f>Principle_portion_of_payment($B$1,$D$1,A296,$B$3)*'PSA&amp;CPR（function) '!O296</f>
        <v>0</v>
      </c>
      <c r="F296" s="19">
        <f>Interest_portion_of_payment($B$1,$D$1,A296,$B$3)*'PSA&amp;CPR（function) '!O296</f>
        <v>0</v>
      </c>
      <c r="G296" s="19">
        <f>(B296-E296)*'PSA&amp;CPR（function) '!G297</f>
        <v>0</v>
      </c>
      <c r="H296" s="19">
        <f>Remaining_balance($B$1,$D$1,A296,$B$3)*'PSA&amp;CPR（function) '!O297</f>
        <v>0</v>
      </c>
    </row>
    <row r="297" spans="1:8">
      <c r="A297">
        <f>'PSA&amp;CPR'!A297</f>
        <v>295</v>
      </c>
      <c r="B297" s="19">
        <f t="shared" si="8"/>
        <v>0</v>
      </c>
      <c r="C297" s="19">
        <f t="shared" si="9"/>
        <v>0</v>
      </c>
      <c r="D297" s="19">
        <f>Monthly_payment($B$1,$D$1,$B$3)*'PSA&amp;CPR（function) '!O297</f>
        <v>0</v>
      </c>
      <c r="E297" s="19">
        <f>Principle_portion_of_payment($B$1,$D$1,A297,$B$3)*'PSA&amp;CPR（function) '!O297</f>
        <v>0</v>
      </c>
      <c r="F297" s="19">
        <f>Interest_portion_of_payment($B$1,$D$1,A297,$B$3)*'PSA&amp;CPR（function) '!O297</f>
        <v>0</v>
      </c>
      <c r="G297" s="19">
        <f>(B297-E297)*'PSA&amp;CPR（function) '!G298</f>
        <v>0</v>
      </c>
      <c r="H297" s="19">
        <f>Remaining_balance($B$1,$D$1,A297,$B$3)*'PSA&amp;CPR（function) '!O298</f>
        <v>0</v>
      </c>
    </row>
    <row r="298" spans="1:8">
      <c r="A298">
        <f>'PSA&amp;CPR'!A298</f>
        <v>296</v>
      </c>
      <c r="B298" s="19">
        <f t="shared" si="8"/>
        <v>0</v>
      </c>
      <c r="C298" s="19">
        <f t="shared" si="9"/>
        <v>0</v>
      </c>
      <c r="D298" s="19">
        <f>Monthly_payment($B$1,$D$1,$B$3)*'PSA&amp;CPR（function) '!O298</f>
        <v>0</v>
      </c>
      <c r="E298" s="19">
        <f>Principle_portion_of_payment($B$1,$D$1,A298,$B$3)*'PSA&amp;CPR（function) '!O298</f>
        <v>0</v>
      </c>
      <c r="F298" s="19">
        <f>Interest_portion_of_payment($B$1,$D$1,A298,$B$3)*'PSA&amp;CPR（function) '!O298</f>
        <v>0</v>
      </c>
      <c r="G298" s="19">
        <f>(B298-E298)*'PSA&amp;CPR（function) '!G299</f>
        <v>0</v>
      </c>
      <c r="H298" s="19">
        <f>Remaining_balance($B$1,$D$1,A298,$B$3)*'PSA&amp;CPR（function) '!O299</f>
        <v>0</v>
      </c>
    </row>
    <row r="299" spans="1:8">
      <c r="A299">
        <f>'PSA&amp;CPR'!A299</f>
        <v>297</v>
      </c>
      <c r="B299" s="19">
        <f t="shared" si="8"/>
        <v>0</v>
      </c>
      <c r="C299" s="19">
        <f t="shared" si="9"/>
        <v>0</v>
      </c>
      <c r="D299" s="19">
        <f>Monthly_payment($B$1,$D$1,$B$3)*'PSA&amp;CPR（function) '!O299</f>
        <v>0</v>
      </c>
      <c r="E299" s="19">
        <f>Principle_portion_of_payment($B$1,$D$1,A299,$B$3)*'PSA&amp;CPR（function) '!O299</f>
        <v>0</v>
      </c>
      <c r="F299" s="19">
        <f>Interest_portion_of_payment($B$1,$D$1,A299,$B$3)*'PSA&amp;CPR（function) '!O299</f>
        <v>0</v>
      </c>
      <c r="G299" s="19">
        <f>(B299-E299)*'PSA&amp;CPR（function) '!G300</f>
        <v>0</v>
      </c>
      <c r="H299" s="19">
        <f>Remaining_balance($B$1,$D$1,A299,$B$3)*'PSA&amp;CPR（function) '!O300</f>
        <v>0</v>
      </c>
    </row>
    <row r="300" spans="1:8">
      <c r="A300">
        <f>'PSA&amp;CPR'!A300</f>
        <v>298</v>
      </c>
      <c r="B300" s="19">
        <f t="shared" si="8"/>
        <v>0</v>
      </c>
      <c r="C300" s="19">
        <f t="shared" si="9"/>
        <v>0</v>
      </c>
      <c r="D300" s="19">
        <f>Monthly_payment($B$1,$D$1,$B$3)*'PSA&amp;CPR（function) '!O300</f>
        <v>0</v>
      </c>
      <c r="E300" s="19">
        <f>Principle_portion_of_payment($B$1,$D$1,A300,$B$3)*'PSA&amp;CPR（function) '!O300</f>
        <v>0</v>
      </c>
      <c r="F300" s="19">
        <f>Interest_portion_of_payment($B$1,$D$1,A300,$B$3)*'PSA&amp;CPR（function) '!O300</f>
        <v>0</v>
      </c>
      <c r="G300" s="19">
        <f>(B300-E300)*'PSA&amp;CPR（function) '!G301</f>
        <v>0</v>
      </c>
      <c r="H300" s="19">
        <f>Remaining_balance($B$1,$D$1,A300,$B$3)*'PSA&amp;CPR（function) '!O301</f>
        <v>0</v>
      </c>
    </row>
    <row r="301" spans="1:8">
      <c r="A301">
        <f>'PSA&amp;CPR'!A301</f>
        <v>299</v>
      </c>
      <c r="B301" s="19">
        <f t="shared" si="8"/>
        <v>0</v>
      </c>
      <c r="C301" s="19">
        <f t="shared" si="9"/>
        <v>0</v>
      </c>
      <c r="D301" s="19">
        <f>Monthly_payment($B$1,$D$1,$B$3)*'PSA&amp;CPR（function) '!O301</f>
        <v>0</v>
      </c>
      <c r="E301" s="19">
        <f>Principle_portion_of_payment($B$1,$D$1,A301,$B$3)*'PSA&amp;CPR（function) '!O301</f>
        <v>0</v>
      </c>
      <c r="F301" s="19">
        <f>Interest_portion_of_payment($B$1,$D$1,A301,$B$3)*'PSA&amp;CPR（function) '!O301</f>
        <v>0</v>
      </c>
      <c r="G301" s="19">
        <f>(B301-E301)*'PSA&amp;CPR（function) '!G302</f>
        <v>0</v>
      </c>
      <c r="H301" s="19">
        <f>Remaining_balance($B$1,$D$1,A301,$B$3)*'PSA&amp;CPR（function) '!O302</f>
        <v>0</v>
      </c>
    </row>
    <row r="302" spans="1:8">
      <c r="A302">
        <f>'PSA&amp;CPR'!A302</f>
        <v>300</v>
      </c>
      <c r="B302" s="19">
        <f t="shared" si="8"/>
        <v>0</v>
      </c>
      <c r="C302" s="19">
        <f t="shared" si="9"/>
        <v>0</v>
      </c>
      <c r="D302" s="19">
        <f>Monthly_payment($B$1,$D$1,$B$3)*'PSA&amp;CPR（function) '!O302</f>
        <v>0</v>
      </c>
      <c r="E302" s="19">
        <f>Principle_portion_of_payment($B$1,$D$1,A302,$B$3)*'PSA&amp;CPR（function) '!O302</f>
        <v>0</v>
      </c>
      <c r="F302" s="19">
        <f>Interest_portion_of_payment($B$1,$D$1,A302,$B$3)*'PSA&amp;CPR（function) '!O302</f>
        <v>0</v>
      </c>
      <c r="G302" s="19">
        <f>(B302-E302)*'PSA&amp;CPR（function) '!G303</f>
        <v>0</v>
      </c>
      <c r="H302" s="19">
        <f>Remaining_balance($B$1,$D$1,A302,$B$3)*'PSA&amp;CPR（function) '!O303</f>
        <v>0</v>
      </c>
    </row>
    <row r="303" spans="1:8">
      <c r="A303">
        <f>'PSA&amp;CPR'!A303</f>
        <v>301</v>
      </c>
      <c r="B303" s="19">
        <f t="shared" si="8"/>
        <v>0</v>
      </c>
      <c r="C303" s="19">
        <f t="shared" si="9"/>
        <v>0</v>
      </c>
      <c r="D303" s="19">
        <f>Monthly_payment($B$1,$D$1,$B$3)*'PSA&amp;CPR（function) '!O303</f>
        <v>0</v>
      </c>
      <c r="E303" s="19">
        <f>Principle_portion_of_payment($B$1,$D$1,A303,$B$3)*'PSA&amp;CPR（function) '!O303</f>
        <v>0</v>
      </c>
      <c r="F303" s="19">
        <f>Interest_portion_of_payment($B$1,$D$1,A303,$B$3)*'PSA&amp;CPR（function) '!O303</f>
        <v>0</v>
      </c>
      <c r="G303" s="19">
        <f>(B303-E303)*'PSA&amp;CPR（function) '!G304</f>
        <v>0</v>
      </c>
      <c r="H303" s="19">
        <f>Remaining_balance($B$1,$D$1,A303,$B$3)*'PSA&amp;CPR（function) '!O304</f>
        <v>0</v>
      </c>
    </row>
    <row r="304" spans="1:8">
      <c r="A304">
        <f>'PSA&amp;CPR'!A304</f>
        <v>302</v>
      </c>
      <c r="B304" s="19">
        <f t="shared" si="8"/>
        <v>0</v>
      </c>
      <c r="C304" s="19">
        <f t="shared" si="9"/>
        <v>0</v>
      </c>
      <c r="D304" s="19">
        <f>Monthly_payment($B$1,$D$1,$B$3)*'PSA&amp;CPR（function) '!O304</f>
        <v>0</v>
      </c>
      <c r="E304" s="19">
        <f>Principle_portion_of_payment($B$1,$D$1,A304,$B$3)*'PSA&amp;CPR（function) '!O304</f>
        <v>0</v>
      </c>
      <c r="F304" s="19">
        <f>Interest_portion_of_payment($B$1,$D$1,A304,$B$3)*'PSA&amp;CPR（function) '!O304</f>
        <v>0</v>
      </c>
      <c r="G304" s="19">
        <f>(B304-E304)*'PSA&amp;CPR（function) '!G305</f>
        <v>0</v>
      </c>
      <c r="H304" s="19">
        <f>Remaining_balance($B$1,$D$1,A304,$B$3)*'PSA&amp;CPR（function) '!O305</f>
        <v>0</v>
      </c>
    </row>
    <row r="305" spans="1:8">
      <c r="A305">
        <f>'PSA&amp;CPR'!A305</f>
        <v>303</v>
      </c>
      <c r="B305" s="19">
        <f t="shared" si="8"/>
        <v>0</v>
      </c>
      <c r="C305" s="19">
        <f t="shared" si="9"/>
        <v>0</v>
      </c>
      <c r="D305" s="19">
        <f>Monthly_payment($B$1,$D$1,$B$3)*'PSA&amp;CPR（function) '!O305</f>
        <v>0</v>
      </c>
      <c r="E305" s="19">
        <f>Principle_portion_of_payment($B$1,$D$1,A305,$B$3)*'PSA&amp;CPR（function) '!O305</f>
        <v>0</v>
      </c>
      <c r="F305" s="19">
        <f>Interest_portion_of_payment($B$1,$D$1,A305,$B$3)*'PSA&amp;CPR（function) '!O305</f>
        <v>0</v>
      </c>
      <c r="G305" s="19">
        <f>(B305-E305)*'PSA&amp;CPR（function) '!G306</f>
        <v>0</v>
      </c>
      <c r="H305" s="19">
        <f>Remaining_balance($B$1,$D$1,A305,$B$3)*'PSA&amp;CPR（function) '!O306</f>
        <v>0</v>
      </c>
    </row>
    <row r="306" spans="1:8">
      <c r="A306">
        <f>'PSA&amp;CPR'!A306</f>
        <v>304</v>
      </c>
      <c r="B306" s="19">
        <f t="shared" si="8"/>
        <v>0</v>
      </c>
      <c r="C306" s="19">
        <f t="shared" si="9"/>
        <v>0</v>
      </c>
      <c r="D306" s="19">
        <f>Monthly_payment($B$1,$D$1,$B$3)*'PSA&amp;CPR（function) '!O306</f>
        <v>0</v>
      </c>
      <c r="E306" s="19">
        <f>Principle_portion_of_payment($B$1,$D$1,A306,$B$3)*'PSA&amp;CPR（function) '!O306</f>
        <v>0</v>
      </c>
      <c r="F306" s="19">
        <f>Interest_portion_of_payment($B$1,$D$1,A306,$B$3)*'PSA&amp;CPR（function) '!O306</f>
        <v>0</v>
      </c>
      <c r="G306" s="19">
        <f>(B306-E306)*'PSA&amp;CPR（function) '!G307</f>
        <v>0</v>
      </c>
      <c r="H306" s="19">
        <f>Remaining_balance($B$1,$D$1,A306,$B$3)*'PSA&amp;CPR（function) '!O307</f>
        <v>0</v>
      </c>
    </row>
    <row r="307" spans="1:8">
      <c r="A307">
        <f>'PSA&amp;CPR'!A307</f>
        <v>305</v>
      </c>
      <c r="B307" s="19">
        <f t="shared" si="8"/>
        <v>0</v>
      </c>
      <c r="C307" s="19">
        <f t="shared" si="9"/>
        <v>0</v>
      </c>
      <c r="D307" s="19">
        <f>Monthly_payment($B$1,$D$1,$B$3)*'PSA&amp;CPR（function) '!O307</f>
        <v>0</v>
      </c>
      <c r="E307" s="19">
        <f>Principle_portion_of_payment($B$1,$D$1,A307,$B$3)*'PSA&amp;CPR（function) '!O307</f>
        <v>0</v>
      </c>
      <c r="F307" s="19">
        <f>Interest_portion_of_payment($B$1,$D$1,A307,$B$3)*'PSA&amp;CPR（function) '!O307</f>
        <v>0</v>
      </c>
      <c r="G307" s="19">
        <f>(B307-E307)*'PSA&amp;CPR（function) '!G308</f>
        <v>0</v>
      </c>
      <c r="H307" s="19">
        <f>Remaining_balance($B$1,$D$1,A307,$B$3)*'PSA&amp;CPR（function) '!O308</f>
        <v>0</v>
      </c>
    </row>
    <row r="308" spans="1:8">
      <c r="A308">
        <f>'PSA&amp;CPR'!A308</f>
        <v>306</v>
      </c>
      <c r="B308" s="19">
        <f t="shared" si="8"/>
        <v>0</v>
      </c>
      <c r="C308" s="19">
        <f t="shared" si="9"/>
        <v>0</v>
      </c>
      <c r="D308" s="19">
        <f>Monthly_payment($B$1,$D$1,$B$3)*'PSA&amp;CPR（function) '!O308</f>
        <v>0</v>
      </c>
      <c r="E308" s="19">
        <f>Principle_portion_of_payment($B$1,$D$1,A308,$B$3)*'PSA&amp;CPR（function) '!O308</f>
        <v>0</v>
      </c>
      <c r="F308" s="19">
        <f>Interest_portion_of_payment($B$1,$D$1,A308,$B$3)*'PSA&amp;CPR（function) '!O308</f>
        <v>0</v>
      </c>
      <c r="G308" s="19">
        <f>(B308-E308)*'PSA&amp;CPR（function) '!G309</f>
        <v>0</v>
      </c>
      <c r="H308" s="19">
        <f>Remaining_balance($B$1,$D$1,A308,$B$3)*'PSA&amp;CPR（function) '!O309</f>
        <v>0</v>
      </c>
    </row>
    <row r="309" spans="1:8">
      <c r="A309">
        <f>'PSA&amp;CPR'!A309</f>
        <v>307</v>
      </c>
      <c r="B309" s="19">
        <f t="shared" si="8"/>
        <v>0</v>
      </c>
      <c r="C309" s="19">
        <f t="shared" si="9"/>
        <v>0</v>
      </c>
      <c r="D309" s="19">
        <f>Monthly_payment($B$1,$D$1,$B$3)*'PSA&amp;CPR（function) '!O309</f>
        <v>0</v>
      </c>
      <c r="E309" s="19">
        <f>Principle_portion_of_payment($B$1,$D$1,A309,$B$3)*'PSA&amp;CPR（function) '!O309</f>
        <v>0</v>
      </c>
      <c r="F309" s="19">
        <f>Interest_portion_of_payment($B$1,$D$1,A309,$B$3)*'PSA&amp;CPR（function) '!O309</f>
        <v>0</v>
      </c>
      <c r="G309" s="19">
        <f>(B309-E309)*'PSA&amp;CPR（function) '!G310</f>
        <v>0</v>
      </c>
      <c r="H309" s="19">
        <f>Remaining_balance($B$1,$D$1,A309,$B$3)*'PSA&amp;CPR（function) '!O310</f>
        <v>0</v>
      </c>
    </row>
    <row r="310" spans="1:8">
      <c r="A310">
        <f>'PSA&amp;CPR'!A310</f>
        <v>308</v>
      </c>
      <c r="B310" s="19">
        <f t="shared" si="8"/>
        <v>0</v>
      </c>
      <c r="C310" s="19">
        <f t="shared" si="9"/>
        <v>0</v>
      </c>
      <c r="D310" s="19">
        <f>Monthly_payment($B$1,$D$1,$B$3)*'PSA&amp;CPR（function) '!O310</f>
        <v>0</v>
      </c>
      <c r="E310" s="19">
        <f>Principle_portion_of_payment($B$1,$D$1,A310,$B$3)*'PSA&amp;CPR（function) '!O310</f>
        <v>0</v>
      </c>
      <c r="F310" s="19">
        <f>Interest_portion_of_payment($B$1,$D$1,A310,$B$3)*'PSA&amp;CPR（function) '!O310</f>
        <v>0</v>
      </c>
      <c r="G310" s="19">
        <f>(B310-E310)*'PSA&amp;CPR（function) '!G311</f>
        <v>0</v>
      </c>
      <c r="H310" s="19">
        <f>Remaining_balance($B$1,$D$1,A310,$B$3)*'PSA&amp;CPR（function) '!O311</f>
        <v>0</v>
      </c>
    </row>
    <row r="311" spans="1:8">
      <c r="A311">
        <f>'PSA&amp;CPR'!A311</f>
        <v>309</v>
      </c>
      <c r="B311" s="19">
        <f t="shared" si="8"/>
        <v>0</v>
      </c>
      <c r="C311" s="19">
        <f t="shared" si="9"/>
        <v>0</v>
      </c>
      <c r="D311" s="19">
        <f>Monthly_payment($B$1,$D$1,$B$3)*'PSA&amp;CPR（function) '!O311</f>
        <v>0</v>
      </c>
      <c r="E311" s="19">
        <f>Principle_portion_of_payment($B$1,$D$1,A311,$B$3)*'PSA&amp;CPR（function) '!O311</f>
        <v>0</v>
      </c>
      <c r="F311" s="19">
        <f>Interest_portion_of_payment($B$1,$D$1,A311,$B$3)*'PSA&amp;CPR（function) '!O311</f>
        <v>0</v>
      </c>
      <c r="G311" s="19">
        <f>(B311-E311)*'PSA&amp;CPR（function) '!G312</f>
        <v>0</v>
      </c>
      <c r="H311" s="19">
        <f>Remaining_balance($B$1,$D$1,A311,$B$3)*'PSA&amp;CPR（function) '!O312</f>
        <v>0</v>
      </c>
    </row>
    <row r="312" spans="1:8">
      <c r="A312">
        <f>'PSA&amp;CPR'!A312</f>
        <v>310</v>
      </c>
      <c r="B312" s="19">
        <f t="shared" si="8"/>
        <v>0</v>
      </c>
      <c r="C312" s="19">
        <f t="shared" si="9"/>
        <v>0</v>
      </c>
      <c r="D312" s="19">
        <f>Monthly_payment($B$1,$D$1,$B$3)*'PSA&amp;CPR（function) '!O312</f>
        <v>0</v>
      </c>
      <c r="E312" s="19">
        <f>Principle_portion_of_payment($B$1,$D$1,A312,$B$3)*'PSA&amp;CPR（function) '!O312</f>
        <v>0</v>
      </c>
      <c r="F312" s="19">
        <f>Interest_portion_of_payment($B$1,$D$1,A312,$B$3)*'PSA&amp;CPR（function) '!O312</f>
        <v>0</v>
      </c>
      <c r="G312" s="19">
        <f>(B312-E312)*'PSA&amp;CPR（function) '!G313</f>
        <v>0</v>
      </c>
      <c r="H312" s="19">
        <f>Remaining_balance($B$1,$D$1,A312,$B$3)*'PSA&amp;CPR（function) '!O313</f>
        <v>0</v>
      </c>
    </row>
    <row r="313" spans="1:8">
      <c r="A313">
        <f>'PSA&amp;CPR'!A313</f>
        <v>311</v>
      </c>
      <c r="B313" s="19">
        <f t="shared" si="8"/>
        <v>0</v>
      </c>
      <c r="C313" s="19">
        <f t="shared" si="9"/>
        <v>0</v>
      </c>
      <c r="D313" s="19">
        <f>Monthly_payment($B$1,$D$1,$B$3)*'PSA&amp;CPR（function) '!O313</f>
        <v>0</v>
      </c>
      <c r="E313" s="19">
        <f>Principle_portion_of_payment($B$1,$D$1,A313,$B$3)*'PSA&amp;CPR（function) '!O313</f>
        <v>0</v>
      </c>
      <c r="F313" s="19">
        <f>Interest_portion_of_payment($B$1,$D$1,A313,$B$3)*'PSA&amp;CPR（function) '!O313</f>
        <v>0</v>
      </c>
      <c r="G313" s="19">
        <f>(B313-E313)*'PSA&amp;CPR（function) '!G314</f>
        <v>0</v>
      </c>
      <c r="H313" s="19">
        <f>Remaining_balance($B$1,$D$1,A313,$B$3)*'PSA&amp;CPR（function) '!O314</f>
        <v>0</v>
      </c>
    </row>
    <row r="314" spans="1:8">
      <c r="A314">
        <f>'PSA&amp;CPR'!A314</f>
        <v>312</v>
      </c>
      <c r="B314" s="19">
        <f t="shared" si="8"/>
        <v>0</v>
      </c>
      <c r="C314" s="19">
        <f t="shared" si="9"/>
        <v>0</v>
      </c>
      <c r="D314" s="19">
        <f>Monthly_payment($B$1,$D$1,$B$3)*'PSA&amp;CPR（function) '!O314</f>
        <v>0</v>
      </c>
      <c r="E314" s="19">
        <f>Principle_portion_of_payment($B$1,$D$1,A314,$B$3)*'PSA&amp;CPR（function) '!O314</f>
        <v>0</v>
      </c>
      <c r="F314" s="19">
        <f>Interest_portion_of_payment($B$1,$D$1,A314,$B$3)*'PSA&amp;CPR（function) '!O314</f>
        <v>0</v>
      </c>
      <c r="G314" s="19">
        <f>(B314-E314)*'PSA&amp;CPR（function) '!G315</f>
        <v>0</v>
      </c>
      <c r="H314" s="19">
        <f>Remaining_balance($B$1,$D$1,A314,$B$3)*'PSA&amp;CPR（function) '!O315</f>
        <v>0</v>
      </c>
    </row>
    <row r="315" spans="1:8">
      <c r="A315">
        <f>'PSA&amp;CPR'!A315</f>
        <v>313</v>
      </c>
      <c r="B315" s="19">
        <f t="shared" si="8"/>
        <v>0</v>
      </c>
      <c r="C315" s="19">
        <f t="shared" si="9"/>
        <v>0</v>
      </c>
      <c r="D315" s="19">
        <f>Monthly_payment($B$1,$D$1,$B$3)*'PSA&amp;CPR（function) '!O315</f>
        <v>0</v>
      </c>
      <c r="E315" s="19">
        <f>Principle_portion_of_payment($B$1,$D$1,A315,$B$3)*'PSA&amp;CPR（function) '!O315</f>
        <v>0</v>
      </c>
      <c r="F315" s="19">
        <f>Interest_portion_of_payment($B$1,$D$1,A315,$B$3)*'PSA&amp;CPR（function) '!O315</f>
        <v>0</v>
      </c>
      <c r="G315" s="19">
        <f>(B315-E315)*'PSA&amp;CPR（function) '!G316</f>
        <v>0</v>
      </c>
      <c r="H315" s="19">
        <f>Remaining_balance($B$1,$D$1,A315,$B$3)*'PSA&amp;CPR（function) '!O316</f>
        <v>0</v>
      </c>
    </row>
    <row r="316" spans="1:8">
      <c r="A316">
        <f>'PSA&amp;CPR'!A316</f>
        <v>314</v>
      </c>
      <c r="B316" s="19">
        <f t="shared" si="8"/>
        <v>0</v>
      </c>
      <c r="C316" s="19">
        <f t="shared" si="9"/>
        <v>0</v>
      </c>
      <c r="D316" s="19">
        <f>Monthly_payment($B$1,$D$1,$B$3)*'PSA&amp;CPR（function) '!O316</f>
        <v>0</v>
      </c>
      <c r="E316" s="19">
        <f>Principle_portion_of_payment($B$1,$D$1,A316,$B$3)*'PSA&amp;CPR（function) '!O316</f>
        <v>0</v>
      </c>
      <c r="F316" s="19">
        <f>Interest_portion_of_payment($B$1,$D$1,A316,$B$3)*'PSA&amp;CPR（function) '!O316</f>
        <v>0</v>
      </c>
      <c r="G316" s="19">
        <f>(B316-E316)*'PSA&amp;CPR（function) '!G317</f>
        <v>0</v>
      </c>
      <c r="H316" s="19">
        <f>Remaining_balance($B$1,$D$1,A316,$B$3)*'PSA&amp;CPR（function) '!O317</f>
        <v>0</v>
      </c>
    </row>
    <row r="317" spans="1:8">
      <c r="A317">
        <f>'PSA&amp;CPR'!A317</f>
        <v>315</v>
      </c>
      <c r="B317" s="19">
        <f t="shared" si="8"/>
        <v>0</v>
      </c>
      <c r="C317" s="19">
        <f t="shared" si="9"/>
        <v>0</v>
      </c>
      <c r="D317" s="19">
        <f>Monthly_payment($B$1,$D$1,$B$3)*'PSA&amp;CPR（function) '!O317</f>
        <v>0</v>
      </c>
      <c r="E317" s="19">
        <f>Principle_portion_of_payment($B$1,$D$1,A317,$B$3)*'PSA&amp;CPR（function) '!O317</f>
        <v>0</v>
      </c>
      <c r="F317" s="19">
        <f>Interest_portion_of_payment($B$1,$D$1,A317,$B$3)*'PSA&amp;CPR（function) '!O317</f>
        <v>0</v>
      </c>
      <c r="G317" s="19">
        <f>(B317-E317)*'PSA&amp;CPR（function) '!G318</f>
        <v>0</v>
      </c>
      <c r="H317" s="19">
        <f>Remaining_balance($B$1,$D$1,A317,$B$3)*'PSA&amp;CPR（function) '!O318</f>
        <v>0</v>
      </c>
    </row>
    <row r="318" spans="1:8">
      <c r="A318">
        <f>'PSA&amp;CPR'!A318</f>
        <v>316</v>
      </c>
      <c r="B318" s="19">
        <f t="shared" si="8"/>
        <v>0</v>
      </c>
      <c r="C318" s="19">
        <f t="shared" si="9"/>
        <v>0</v>
      </c>
      <c r="D318" s="19">
        <f>Monthly_payment($B$1,$D$1,$B$3)*'PSA&amp;CPR（function) '!O318</f>
        <v>0</v>
      </c>
      <c r="E318" s="19">
        <f>Principle_portion_of_payment($B$1,$D$1,A318,$B$3)*'PSA&amp;CPR（function) '!O318</f>
        <v>0</v>
      </c>
      <c r="F318" s="19">
        <f>Interest_portion_of_payment($B$1,$D$1,A318,$B$3)*'PSA&amp;CPR（function) '!O318</f>
        <v>0</v>
      </c>
      <c r="G318" s="19">
        <f>(B318-E318)*'PSA&amp;CPR（function) '!G319</f>
        <v>0</v>
      </c>
      <c r="H318" s="19">
        <f>Remaining_balance($B$1,$D$1,A318,$B$3)*'PSA&amp;CPR（function) '!O319</f>
        <v>0</v>
      </c>
    </row>
    <row r="319" spans="1:8">
      <c r="A319">
        <f>'PSA&amp;CPR'!A319</f>
        <v>317</v>
      </c>
      <c r="B319" s="19">
        <f t="shared" si="8"/>
        <v>0</v>
      </c>
      <c r="C319" s="19">
        <f t="shared" si="9"/>
        <v>0</v>
      </c>
      <c r="D319" s="19">
        <f>Monthly_payment($B$1,$D$1,$B$3)*'PSA&amp;CPR（function) '!O319</f>
        <v>0</v>
      </c>
      <c r="E319" s="19">
        <f>Principle_portion_of_payment($B$1,$D$1,A319,$B$3)*'PSA&amp;CPR（function) '!O319</f>
        <v>0</v>
      </c>
      <c r="F319" s="19">
        <f>Interest_portion_of_payment($B$1,$D$1,A319,$B$3)*'PSA&amp;CPR（function) '!O319</f>
        <v>0</v>
      </c>
      <c r="G319" s="19">
        <f>(B319-E319)*'PSA&amp;CPR（function) '!G320</f>
        <v>0</v>
      </c>
      <c r="H319" s="19">
        <f>Remaining_balance($B$1,$D$1,A319,$B$3)*'PSA&amp;CPR（function) '!O320</f>
        <v>0</v>
      </c>
    </row>
    <row r="320" spans="1:8">
      <c r="A320">
        <f>'PSA&amp;CPR'!A320</f>
        <v>318</v>
      </c>
      <c r="B320" s="19">
        <f t="shared" si="8"/>
        <v>0</v>
      </c>
      <c r="C320" s="19">
        <f t="shared" si="9"/>
        <v>0</v>
      </c>
      <c r="D320" s="19">
        <f>Monthly_payment($B$1,$D$1,$B$3)*'PSA&amp;CPR（function) '!O320</f>
        <v>0</v>
      </c>
      <c r="E320" s="19">
        <f>Principle_portion_of_payment($B$1,$D$1,A320,$B$3)*'PSA&amp;CPR（function) '!O320</f>
        <v>0</v>
      </c>
      <c r="F320" s="19">
        <f>Interest_portion_of_payment($B$1,$D$1,A320,$B$3)*'PSA&amp;CPR（function) '!O320</f>
        <v>0</v>
      </c>
      <c r="G320" s="19">
        <f>(B320-E320)*'PSA&amp;CPR（function) '!G321</f>
        <v>0</v>
      </c>
      <c r="H320" s="19">
        <f>Remaining_balance($B$1,$D$1,A320,$B$3)*'PSA&amp;CPR（function) '!O321</f>
        <v>0</v>
      </c>
    </row>
    <row r="321" spans="1:8">
      <c r="A321">
        <f>'PSA&amp;CPR'!A321</f>
        <v>319</v>
      </c>
      <c r="B321" s="19">
        <f t="shared" si="8"/>
        <v>0</v>
      </c>
      <c r="C321" s="19">
        <f t="shared" si="9"/>
        <v>0</v>
      </c>
      <c r="D321" s="19">
        <f>Monthly_payment($B$1,$D$1,$B$3)*'PSA&amp;CPR（function) '!O321</f>
        <v>0</v>
      </c>
      <c r="E321" s="19">
        <f>Principle_portion_of_payment($B$1,$D$1,A321,$B$3)*'PSA&amp;CPR（function) '!O321</f>
        <v>0</v>
      </c>
      <c r="F321" s="19">
        <f>Interest_portion_of_payment($B$1,$D$1,A321,$B$3)*'PSA&amp;CPR（function) '!O321</f>
        <v>0</v>
      </c>
      <c r="G321" s="19">
        <f>(B321-E321)*'PSA&amp;CPR（function) '!G322</f>
        <v>0</v>
      </c>
      <c r="H321" s="19">
        <f>Remaining_balance($B$1,$D$1,A321,$B$3)*'PSA&amp;CPR（function) '!O322</f>
        <v>0</v>
      </c>
    </row>
    <row r="322" spans="1:8">
      <c r="A322">
        <f>'PSA&amp;CPR'!A322</f>
        <v>320</v>
      </c>
      <c r="B322" s="19">
        <f t="shared" si="8"/>
        <v>0</v>
      </c>
      <c r="C322" s="19">
        <f t="shared" si="9"/>
        <v>0</v>
      </c>
      <c r="D322" s="19">
        <f>Monthly_payment($B$1,$D$1,$B$3)*'PSA&amp;CPR（function) '!O322</f>
        <v>0</v>
      </c>
      <c r="E322" s="19">
        <f>Principle_portion_of_payment($B$1,$D$1,A322,$B$3)*'PSA&amp;CPR（function) '!O322</f>
        <v>0</v>
      </c>
      <c r="F322" s="19">
        <f>Interest_portion_of_payment($B$1,$D$1,A322,$B$3)*'PSA&amp;CPR（function) '!O322</f>
        <v>0</v>
      </c>
      <c r="G322" s="19">
        <f>(B322-E322)*'PSA&amp;CPR（function) '!G323</f>
        <v>0</v>
      </c>
      <c r="H322" s="19">
        <f>Remaining_balance($B$1,$D$1,A322,$B$3)*'PSA&amp;CPR（function) '!O323</f>
        <v>0</v>
      </c>
    </row>
    <row r="323" spans="1:8">
      <c r="A323">
        <f>'PSA&amp;CPR'!A323</f>
        <v>321</v>
      </c>
      <c r="B323" s="19">
        <f t="shared" si="8"/>
        <v>0</v>
      </c>
      <c r="C323" s="19">
        <f t="shared" si="9"/>
        <v>0</v>
      </c>
      <c r="D323" s="19">
        <f>Monthly_payment($B$1,$D$1,$B$3)*'PSA&amp;CPR（function) '!O323</f>
        <v>0</v>
      </c>
      <c r="E323" s="19">
        <f>Principle_portion_of_payment($B$1,$D$1,A323,$B$3)*'PSA&amp;CPR（function) '!O323</f>
        <v>0</v>
      </c>
      <c r="F323" s="19">
        <f>Interest_portion_of_payment($B$1,$D$1,A323,$B$3)*'PSA&amp;CPR（function) '!O323</f>
        <v>0</v>
      </c>
      <c r="G323" s="19">
        <f>(B323-E323)*'PSA&amp;CPR（function) '!G324</f>
        <v>0</v>
      </c>
      <c r="H323" s="19">
        <f>Remaining_balance($B$1,$D$1,A323,$B$3)*'PSA&amp;CPR（function) '!O324</f>
        <v>0</v>
      </c>
    </row>
    <row r="324" spans="1:8">
      <c r="A324">
        <f>'PSA&amp;CPR'!A324</f>
        <v>322</v>
      </c>
      <c r="B324" s="19">
        <f t="shared" si="8"/>
        <v>0</v>
      </c>
      <c r="C324" s="19">
        <f t="shared" si="9"/>
        <v>0</v>
      </c>
      <c r="D324" s="19">
        <f>Monthly_payment($B$1,$D$1,$B$3)*'PSA&amp;CPR（function) '!O324</f>
        <v>0</v>
      </c>
      <c r="E324" s="19">
        <f>Principle_portion_of_payment($B$1,$D$1,A324,$B$3)*'PSA&amp;CPR（function) '!O324</f>
        <v>0</v>
      </c>
      <c r="F324" s="19">
        <f>Interest_portion_of_payment($B$1,$D$1,A324,$B$3)*'PSA&amp;CPR（function) '!O324</f>
        <v>0</v>
      </c>
      <c r="G324" s="19">
        <f>(B324-E324)*'PSA&amp;CPR（function) '!G325</f>
        <v>0</v>
      </c>
      <c r="H324" s="19">
        <f>Remaining_balance($B$1,$D$1,A324,$B$3)*'PSA&amp;CPR（function) '!O325</f>
        <v>0</v>
      </c>
    </row>
    <row r="325" spans="1:8">
      <c r="A325">
        <f>'PSA&amp;CPR'!A325</f>
        <v>323</v>
      </c>
      <c r="B325" s="19">
        <f t="shared" ref="B325:B362" si="10">H324</f>
        <v>0</v>
      </c>
      <c r="C325" s="19">
        <f t="shared" ref="C325:C362" si="11">B325*($B$1/1200)</f>
        <v>0</v>
      </c>
      <c r="D325" s="19">
        <f>Monthly_payment($B$1,$D$1,$B$3)*'PSA&amp;CPR（function) '!O325</f>
        <v>0</v>
      </c>
      <c r="E325" s="19">
        <f>Principle_portion_of_payment($B$1,$D$1,A325,$B$3)*'PSA&amp;CPR（function) '!O325</f>
        <v>0</v>
      </c>
      <c r="F325" s="19">
        <f>Interest_portion_of_payment($B$1,$D$1,A325,$B$3)*'PSA&amp;CPR（function) '!O325</f>
        <v>0</v>
      </c>
      <c r="G325" s="19">
        <f>(B325-E325)*'PSA&amp;CPR（function) '!G326</f>
        <v>0</v>
      </c>
      <c r="H325" s="19">
        <f>Remaining_balance($B$1,$D$1,A325,$B$3)*'PSA&amp;CPR（function) '!O326</f>
        <v>0</v>
      </c>
    </row>
    <row r="326" spans="1:8">
      <c r="A326">
        <f>'PSA&amp;CPR'!A326</f>
        <v>324</v>
      </c>
      <c r="B326" s="19">
        <f t="shared" si="10"/>
        <v>0</v>
      </c>
      <c r="C326" s="19">
        <f t="shared" si="11"/>
        <v>0</v>
      </c>
      <c r="D326" s="19">
        <f>Monthly_payment($B$1,$D$1,$B$3)*'PSA&amp;CPR（function) '!O326</f>
        <v>0</v>
      </c>
      <c r="E326" s="19">
        <f>Principle_portion_of_payment($B$1,$D$1,A326,$B$3)*'PSA&amp;CPR（function) '!O326</f>
        <v>0</v>
      </c>
      <c r="F326" s="19">
        <f>Interest_portion_of_payment($B$1,$D$1,A326,$B$3)*'PSA&amp;CPR（function) '!O326</f>
        <v>0</v>
      </c>
      <c r="G326" s="19">
        <f>(B326-E326)*'PSA&amp;CPR（function) '!G327</f>
        <v>0</v>
      </c>
      <c r="H326" s="19">
        <f>Remaining_balance($B$1,$D$1,A326,$B$3)*'PSA&amp;CPR（function) '!O327</f>
        <v>0</v>
      </c>
    </row>
    <row r="327" spans="1:8">
      <c r="A327">
        <f>'PSA&amp;CPR'!A327</f>
        <v>325</v>
      </c>
      <c r="B327" s="19">
        <f t="shared" si="10"/>
        <v>0</v>
      </c>
      <c r="C327" s="19">
        <f t="shared" si="11"/>
        <v>0</v>
      </c>
      <c r="D327" s="19">
        <f>Monthly_payment($B$1,$D$1,$B$3)*'PSA&amp;CPR（function) '!O327</f>
        <v>0</v>
      </c>
      <c r="E327" s="19">
        <f>Principle_portion_of_payment($B$1,$D$1,A327,$B$3)*'PSA&amp;CPR（function) '!O327</f>
        <v>0</v>
      </c>
      <c r="F327" s="19">
        <f>Interest_portion_of_payment($B$1,$D$1,A327,$B$3)*'PSA&amp;CPR（function) '!O327</f>
        <v>0</v>
      </c>
      <c r="G327" s="19">
        <f>(B327-E327)*'PSA&amp;CPR（function) '!G328</f>
        <v>0</v>
      </c>
      <c r="H327" s="19">
        <f>Remaining_balance($B$1,$D$1,A327,$B$3)*'PSA&amp;CPR（function) '!O328</f>
        <v>0</v>
      </c>
    </row>
    <row r="328" spans="1:8">
      <c r="A328">
        <f>'PSA&amp;CPR'!A328</f>
        <v>326</v>
      </c>
      <c r="B328" s="19">
        <f t="shared" si="10"/>
        <v>0</v>
      </c>
      <c r="C328" s="19">
        <f t="shared" si="11"/>
        <v>0</v>
      </c>
      <c r="D328" s="19">
        <f>Monthly_payment($B$1,$D$1,$B$3)*'PSA&amp;CPR（function) '!O328</f>
        <v>0</v>
      </c>
      <c r="E328" s="19">
        <f>Principle_portion_of_payment($B$1,$D$1,A328,$B$3)*'PSA&amp;CPR（function) '!O328</f>
        <v>0</v>
      </c>
      <c r="F328" s="19">
        <f>Interest_portion_of_payment($B$1,$D$1,A328,$B$3)*'PSA&amp;CPR（function) '!O328</f>
        <v>0</v>
      </c>
      <c r="G328" s="19">
        <f>(B328-E328)*'PSA&amp;CPR（function) '!G329</f>
        <v>0</v>
      </c>
      <c r="H328" s="19">
        <f>Remaining_balance($B$1,$D$1,A328,$B$3)*'PSA&amp;CPR（function) '!O329</f>
        <v>0</v>
      </c>
    </row>
    <row r="329" spans="1:8">
      <c r="A329">
        <f>'PSA&amp;CPR'!A329</f>
        <v>327</v>
      </c>
      <c r="B329" s="19">
        <f t="shared" si="10"/>
        <v>0</v>
      </c>
      <c r="C329" s="19">
        <f t="shared" si="11"/>
        <v>0</v>
      </c>
      <c r="D329" s="19">
        <f>Monthly_payment($B$1,$D$1,$B$3)*'PSA&amp;CPR（function) '!O329</f>
        <v>0</v>
      </c>
      <c r="E329" s="19">
        <f>Principle_portion_of_payment($B$1,$D$1,A329,$B$3)*'PSA&amp;CPR（function) '!O329</f>
        <v>0</v>
      </c>
      <c r="F329" s="19">
        <f>Interest_portion_of_payment($B$1,$D$1,A329,$B$3)*'PSA&amp;CPR（function) '!O329</f>
        <v>0</v>
      </c>
      <c r="G329" s="19">
        <f>(B329-E329)*'PSA&amp;CPR（function) '!G330</f>
        <v>0</v>
      </c>
      <c r="H329" s="19">
        <f>Remaining_balance($B$1,$D$1,A329,$B$3)*'PSA&amp;CPR（function) '!O330</f>
        <v>0</v>
      </c>
    </row>
    <row r="330" spans="1:8">
      <c r="A330">
        <f>'PSA&amp;CPR'!A330</f>
        <v>328</v>
      </c>
      <c r="B330" s="19">
        <f t="shared" si="10"/>
        <v>0</v>
      </c>
      <c r="C330" s="19">
        <f t="shared" si="11"/>
        <v>0</v>
      </c>
      <c r="D330" s="19">
        <f>Monthly_payment($B$1,$D$1,$B$3)*'PSA&amp;CPR（function) '!O330</f>
        <v>0</v>
      </c>
      <c r="E330" s="19">
        <f>Principle_portion_of_payment($B$1,$D$1,A330,$B$3)*'PSA&amp;CPR（function) '!O330</f>
        <v>0</v>
      </c>
      <c r="F330" s="19">
        <f>Interest_portion_of_payment($B$1,$D$1,A330,$B$3)*'PSA&amp;CPR（function) '!O330</f>
        <v>0</v>
      </c>
      <c r="G330" s="19">
        <f>(B330-E330)*'PSA&amp;CPR（function) '!G331</f>
        <v>0</v>
      </c>
      <c r="H330" s="19">
        <f>Remaining_balance($B$1,$D$1,A330,$B$3)*'PSA&amp;CPR（function) '!O331</f>
        <v>0</v>
      </c>
    </row>
    <row r="331" spans="1:8">
      <c r="A331">
        <f>'PSA&amp;CPR'!A331</f>
        <v>329</v>
      </c>
      <c r="B331" s="19">
        <f t="shared" si="10"/>
        <v>0</v>
      </c>
      <c r="C331" s="19">
        <f t="shared" si="11"/>
        <v>0</v>
      </c>
      <c r="D331" s="19">
        <f>Monthly_payment($B$1,$D$1,$B$3)*'PSA&amp;CPR（function) '!O331</f>
        <v>0</v>
      </c>
      <c r="E331" s="19">
        <f>Principle_portion_of_payment($B$1,$D$1,A331,$B$3)*'PSA&amp;CPR（function) '!O331</f>
        <v>0</v>
      </c>
      <c r="F331" s="19">
        <f>Interest_portion_of_payment($B$1,$D$1,A331,$B$3)*'PSA&amp;CPR（function) '!O331</f>
        <v>0</v>
      </c>
      <c r="G331" s="19">
        <f>(B331-E331)*'PSA&amp;CPR（function) '!G332</f>
        <v>0</v>
      </c>
      <c r="H331" s="19">
        <f>Remaining_balance($B$1,$D$1,A331,$B$3)*'PSA&amp;CPR（function) '!O332</f>
        <v>0</v>
      </c>
    </row>
    <row r="332" spans="1:8">
      <c r="A332">
        <f>'PSA&amp;CPR'!A332</f>
        <v>330</v>
      </c>
      <c r="B332" s="19">
        <f t="shared" si="10"/>
        <v>0</v>
      </c>
      <c r="C332" s="19">
        <f t="shared" si="11"/>
        <v>0</v>
      </c>
      <c r="D332" s="19">
        <f>Monthly_payment($B$1,$D$1,$B$3)*'PSA&amp;CPR（function) '!O332</f>
        <v>0</v>
      </c>
      <c r="E332" s="19">
        <f>Principle_portion_of_payment($B$1,$D$1,A332,$B$3)*'PSA&amp;CPR（function) '!O332</f>
        <v>0</v>
      </c>
      <c r="F332" s="19">
        <f>Interest_portion_of_payment($B$1,$D$1,A332,$B$3)*'PSA&amp;CPR（function) '!O332</f>
        <v>0</v>
      </c>
      <c r="G332" s="19">
        <f>(B332-E332)*'PSA&amp;CPR（function) '!G333</f>
        <v>0</v>
      </c>
      <c r="H332" s="19">
        <f>Remaining_balance($B$1,$D$1,A332,$B$3)*'PSA&amp;CPR（function) '!O333</f>
        <v>0</v>
      </c>
    </row>
    <row r="333" spans="1:8">
      <c r="A333">
        <f>'PSA&amp;CPR'!A333</f>
        <v>331</v>
      </c>
      <c r="B333" s="19">
        <f t="shared" si="10"/>
        <v>0</v>
      </c>
      <c r="C333" s="19">
        <f t="shared" si="11"/>
        <v>0</v>
      </c>
      <c r="D333" s="19">
        <f>Monthly_payment($B$1,$D$1,$B$3)*'PSA&amp;CPR（function) '!O333</f>
        <v>0</v>
      </c>
      <c r="E333" s="19">
        <f>Principle_portion_of_payment($B$1,$D$1,A333,$B$3)*'PSA&amp;CPR（function) '!O333</f>
        <v>0</v>
      </c>
      <c r="F333" s="19">
        <f>Interest_portion_of_payment($B$1,$D$1,A333,$B$3)*'PSA&amp;CPR（function) '!O333</f>
        <v>0</v>
      </c>
      <c r="G333" s="19">
        <f>(B333-E333)*'PSA&amp;CPR（function) '!G334</f>
        <v>0</v>
      </c>
      <c r="H333" s="19">
        <f>Remaining_balance($B$1,$D$1,A333,$B$3)*'PSA&amp;CPR（function) '!O334</f>
        <v>0</v>
      </c>
    </row>
    <row r="334" spans="1:8">
      <c r="A334">
        <f>'PSA&amp;CPR'!A334</f>
        <v>332</v>
      </c>
      <c r="B334" s="19">
        <f t="shared" si="10"/>
        <v>0</v>
      </c>
      <c r="C334" s="19">
        <f t="shared" si="11"/>
        <v>0</v>
      </c>
      <c r="D334" s="19">
        <f>Monthly_payment($B$1,$D$1,$B$3)*'PSA&amp;CPR（function) '!O334</f>
        <v>0</v>
      </c>
      <c r="E334" s="19">
        <f>Principle_portion_of_payment($B$1,$D$1,A334,$B$3)*'PSA&amp;CPR（function) '!O334</f>
        <v>0</v>
      </c>
      <c r="F334" s="19">
        <f>Interest_portion_of_payment($B$1,$D$1,A334,$B$3)*'PSA&amp;CPR（function) '!O334</f>
        <v>0</v>
      </c>
      <c r="G334" s="19">
        <f>(B334-E334)*'PSA&amp;CPR（function) '!G335</f>
        <v>0</v>
      </c>
      <c r="H334" s="19">
        <f>Remaining_balance($B$1,$D$1,A334,$B$3)*'PSA&amp;CPR（function) '!O335</f>
        <v>0</v>
      </c>
    </row>
    <row r="335" spans="1:8">
      <c r="A335">
        <f>'PSA&amp;CPR'!A335</f>
        <v>333</v>
      </c>
      <c r="B335" s="19">
        <f t="shared" si="10"/>
        <v>0</v>
      </c>
      <c r="C335" s="19">
        <f t="shared" si="11"/>
        <v>0</v>
      </c>
      <c r="D335" s="19">
        <f>Monthly_payment($B$1,$D$1,$B$3)*'PSA&amp;CPR（function) '!O335</f>
        <v>0</v>
      </c>
      <c r="E335" s="19">
        <f>Principle_portion_of_payment($B$1,$D$1,A335,$B$3)*'PSA&amp;CPR（function) '!O335</f>
        <v>0</v>
      </c>
      <c r="F335" s="19">
        <f>Interest_portion_of_payment($B$1,$D$1,A335,$B$3)*'PSA&amp;CPR（function) '!O335</f>
        <v>0</v>
      </c>
      <c r="G335" s="19">
        <f>(B335-E335)*'PSA&amp;CPR（function) '!G336</f>
        <v>0</v>
      </c>
      <c r="H335" s="19">
        <f>Remaining_balance($B$1,$D$1,A335,$B$3)*'PSA&amp;CPR（function) '!O336</f>
        <v>0</v>
      </c>
    </row>
    <row r="336" spans="1:8">
      <c r="A336">
        <f>'PSA&amp;CPR'!A336</f>
        <v>334</v>
      </c>
      <c r="B336" s="19">
        <f t="shared" si="10"/>
        <v>0</v>
      </c>
      <c r="C336" s="19">
        <f t="shared" si="11"/>
        <v>0</v>
      </c>
      <c r="D336" s="19">
        <f>Monthly_payment($B$1,$D$1,$B$3)*'PSA&amp;CPR（function) '!O336</f>
        <v>0</v>
      </c>
      <c r="E336" s="19">
        <f>Principle_portion_of_payment($B$1,$D$1,A336,$B$3)*'PSA&amp;CPR（function) '!O336</f>
        <v>0</v>
      </c>
      <c r="F336" s="19">
        <f>Interest_portion_of_payment($B$1,$D$1,A336,$B$3)*'PSA&amp;CPR（function) '!O336</f>
        <v>0</v>
      </c>
      <c r="G336" s="19">
        <f>(B336-E336)*'PSA&amp;CPR（function) '!G337</f>
        <v>0</v>
      </c>
      <c r="H336" s="19">
        <f>Remaining_balance($B$1,$D$1,A336,$B$3)*'PSA&amp;CPR（function) '!O337</f>
        <v>0</v>
      </c>
    </row>
    <row r="337" spans="1:8">
      <c r="A337">
        <f>'PSA&amp;CPR'!A337</f>
        <v>335</v>
      </c>
      <c r="B337" s="19">
        <f t="shared" si="10"/>
        <v>0</v>
      </c>
      <c r="C337" s="19">
        <f t="shared" si="11"/>
        <v>0</v>
      </c>
      <c r="D337" s="19">
        <f>Monthly_payment($B$1,$D$1,$B$3)*'PSA&amp;CPR（function) '!O337</f>
        <v>0</v>
      </c>
      <c r="E337" s="19">
        <f>Principle_portion_of_payment($B$1,$D$1,A337,$B$3)*'PSA&amp;CPR（function) '!O337</f>
        <v>0</v>
      </c>
      <c r="F337" s="19">
        <f>Interest_portion_of_payment($B$1,$D$1,A337,$B$3)*'PSA&amp;CPR（function) '!O337</f>
        <v>0</v>
      </c>
      <c r="G337" s="19">
        <f>(B337-E337)*'PSA&amp;CPR（function) '!G338</f>
        <v>0</v>
      </c>
      <c r="H337" s="19">
        <f>Remaining_balance($B$1,$D$1,A337,$B$3)*'PSA&amp;CPR（function) '!O338</f>
        <v>0</v>
      </c>
    </row>
    <row r="338" spans="1:8">
      <c r="A338">
        <f>'PSA&amp;CPR'!A338</f>
        <v>336</v>
      </c>
      <c r="B338" s="19">
        <f t="shared" si="10"/>
        <v>0</v>
      </c>
      <c r="C338" s="19">
        <f t="shared" si="11"/>
        <v>0</v>
      </c>
      <c r="D338" s="19">
        <f>Monthly_payment($B$1,$D$1,$B$3)*'PSA&amp;CPR（function) '!O338</f>
        <v>0</v>
      </c>
      <c r="E338" s="19">
        <f>Principle_portion_of_payment($B$1,$D$1,A338,$B$3)*'PSA&amp;CPR（function) '!O338</f>
        <v>0</v>
      </c>
      <c r="F338" s="19">
        <f>Interest_portion_of_payment($B$1,$D$1,A338,$B$3)*'PSA&amp;CPR（function) '!O338</f>
        <v>0</v>
      </c>
      <c r="G338" s="19">
        <f>(B338-E338)*'PSA&amp;CPR（function) '!G339</f>
        <v>0</v>
      </c>
      <c r="H338" s="19">
        <f>Remaining_balance($B$1,$D$1,A338,$B$3)*'PSA&amp;CPR（function) '!O339</f>
        <v>0</v>
      </c>
    </row>
    <row r="339" spans="1:8">
      <c r="A339">
        <f>'PSA&amp;CPR'!A339</f>
        <v>337</v>
      </c>
      <c r="B339" s="19">
        <f t="shared" si="10"/>
        <v>0</v>
      </c>
      <c r="C339" s="19">
        <f t="shared" si="11"/>
        <v>0</v>
      </c>
      <c r="D339" s="19">
        <f>Monthly_payment($B$1,$D$1,$B$3)*'PSA&amp;CPR（function) '!O339</f>
        <v>0</v>
      </c>
      <c r="E339" s="19">
        <f>Principle_portion_of_payment($B$1,$D$1,A339,$B$3)*'PSA&amp;CPR（function) '!O339</f>
        <v>0</v>
      </c>
      <c r="F339" s="19">
        <f>Interest_portion_of_payment($B$1,$D$1,A339,$B$3)*'PSA&amp;CPR（function) '!O339</f>
        <v>0</v>
      </c>
      <c r="G339" s="19">
        <f>(B339-E339)*'PSA&amp;CPR（function) '!G340</f>
        <v>0</v>
      </c>
      <c r="H339" s="19">
        <f>Remaining_balance($B$1,$D$1,A339,$B$3)*'PSA&amp;CPR（function) '!O340</f>
        <v>0</v>
      </c>
    </row>
    <row r="340" spans="1:8">
      <c r="A340">
        <f>'PSA&amp;CPR'!A340</f>
        <v>338</v>
      </c>
      <c r="B340" s="19">
        <f t="shared" si="10"/>
        <v>0</v>
      </c>
      <c r="C340" s="19">
        <f t="shared" si="11"/>
        <v>0</v>
      </c>
      <c r="D340" s="19">
        <f>Monthly_payment($B$1,$D$1,$B$3)*'PSA&amp;CPR（function) '!O340</f>
        <v>0</v>
      </c>
      <c r="E340" s="19">
        <f>Principle_portion_of_payment($B$1,$D$1,A340,$B$3)*'PSA&amp;CPR（function) '!O340</f>
        <v>0</v>
      </c>
      <c r="F340" s="19">
        <f>Interest_portion_of_payment($B$1,$D$1,A340,$B$3)*'PSA&amp;CPR（function) '!O340</f>
        <v>0</v>
      </c>
      <c r="G340" s="19">
        <f>(B340-E340)*'PSA&amp;CPR（function) '!G341</f>
        <v>0</v>
      </c>
      <c r="H340" s="19">
        <f>Remaining_balance($B$1,$D$1,A340,$B$3)*'PSA&amp;CPR（function) '!O341</f>
        <v>0</v>
      </c>
    </row>
    <row r="341" spans="1:8">
      <c r="A341">
        <f>'PSA&amp;CPR'!A341</f>
        <v>339</v>
      </c>
      <c r="B341" s="19">
        <f t="shared" si="10"/>
        <v>0</v>
      </c>
      <c r="C341" s="19">
        <f t="shared" si="11"/>
        <v>0</v>
      </c>
      <c r="D341" s="19">
        <f>Monthly_payment($B$1,$D$1,$B$3)*'PSA&amp;CPR（function) '!O341</f>
        <v>0</v>
      </c>
      <c r="E341" s="19">
        <f>Principle_portion_of_payment($B$1,$D$1,A341,$B$3)*'PSA&amp;CPR（function) '!O341</f>
        <v>0</v>
      </c>
      <c r="F341" s="19">
        <f>Interest_portion_of_payment($B$1,$D$1,A341,$B$3)*'PSA&amp;CPR（function) '!O341</f>
        <v>0</v>
      </c>
      <c r="G341" s="19">
        <f>(B341-E341)*'PSA&amp;CPR（function) '!G342</f>
        <v>0</v>
      </c>
      <c r="H341" s="19">
        <f>Remaining_balance($B$1,$D$1,A341,$B$3)*'PSA&amp;CPR（function) '!O342</f>
        <v>0</v>
      </c>
    </row>
    <row r="342" spans="1:8">
      <c r="A342">
        <f>'PSA&amp;CPR'!A342</f>
        <v>340</v>
      </c>
      <c r="B342" s="19">
        <f t="shared" si="10"/>
        <v>0</v>
      </c>
      <c r="C342" s="19">
        <f t="shared" si="11"/>
        <v>0</v>
      </c>
      <c r="D342" s="19">
        <f>Monthly_payment($B$1,$D$1,$B$3)*'PSA&amp;CPR（function) '!O342</f>
        <v>0</v>
      </c>
      <c r="E342" s="19">
        <f>Principle_portion_of_payment($B$1,$D$1,A342,$B$3)*'PSA&amp;CPR（function) '!O342</f>
        <v>0</v>
      </c>
      <c r="F342" s="19">
        <f>Interest_portion_of_payment($B$1,$D$1,A342,$B$3)*'PSA&amp;CPR（function) '!O342</f>
        <v>0</v>
      </c>
      <c r="G342" s="19">
        <f>(B342-E342)*'PSA&amp;CPR（function) '!G343</f>
        <v>0</v>
      </c>
      <c r="H342" s="19">
        <f>Remaining_balance($B$1,$D$1,A342,$B$3)*'PSA&amp;CPR（function) '!O343</f>
        <v>0</v>
      </c>
    </row>
    <row r="343" spans="1:8">
      <c r="A343">
        <f>'PSA&amp;CPR'!A343</f>
        <v>341</v>
      </c>
      <c r="B343" s="19">
        <f t="shared" si="10"/>
        <v>0</v>
      </c>
      <c r="C343" s="19">
        <f t="shared" si="11"/>
        <v>0</v>
      </c>
      <c r="D343" s="19">
        <f>Monthly_payment($B$1,$D$1,$B$3)*'PSA&amp;CPR（function) '!O343</f>
        <v>0</v>
      </c>
      <c r="E343" s="19">
        <f>Principle_portion_of_payment($B$1,$D$1,A343,$B$3)*'PSA&amp;CPR（function) '!O343</f>
        <v>0</v>
      </c>
      <c r="F343" s="19">
        <f>Interest_portion_of_payment($B$1,$D$1,A343,$B$3)*'PSA&amp;CPR（function) '!O343</f>
        <v>0</v>
      </c>
      <c r="G343" s="19">
        <f>(B343-E343)*'PSA&amp;CPR（function) '!G344</f>
        <v>0</v>
      </c>
      <c r="H343" s="19">
        <f>Remaining_balance($B$1,$D$1,A343,$B$3)*'PSA&amp;CPR（function) '!O344</f>
        <v>0</v>
      </c>
    </row>
    <row r="344" spans="1:8">
      <c r="A344">
        <f>'PSA&amp;CPR'!A344</f>
        <v>342</v>
      </c>
      <c r="B344" s="19">
        <f t="shared" si="10"/>
        <v>0</v>
      </c>
      <c r="C344" s="19">
        <f t="shared" si="11"/>
        <v>0</v>
      </c>
      <c r="D344" s="19">
        <f>Monthly_payment($B$1,$D$1,$B$3)*'PSA&amp;CPR（function) '!O344</f>
        <v>0</v>
      </c>
      <c r="E344" s="19">
        <f>Principle_portion_of_payment($B$1,$D$1,A344,$B$3)*'PSA&amp;CPR（function) '!O344</f>
        <v>0</v>
      </c>
      <c r="F344" s="19">
        <f>Interest_portion_of_payment($B$1,$D$1,A344,$B$3)*'PSA&amp;CPR（function) '!O344</f>
        <v>0</v>
      </c>
      <c r="G344" s="19">
        <f>(B344-E344)*'PSA&amp;CPR（function) '!G345</f>
        <v>0</v>
      </c>
      <c r="H344" s="19">
        <f>Remaining_balance($B$1,$D$1,A344,$B$3)*'PSA&amp;CPR（function) '!O345</f>
        <v>0</v>
      </c>
    </row>
    <row r="345" spans="1:8">
      <c r="A345">
        <f>'PSA&amp;CPR'!A345</f>
        <v>343</v>
      </c>
      <c r="B345" s="19">
        <f t="shared" si="10"/>
        <v>0</v>
      </c>
      <c r="C345" s="19">
        <f t="shared" si="11"/>
        <v>0</v>
      </c>
      <c r="D345" s="19">
        <f>Monthly_payment($B$1,$D$1,$B$3)*'PSA&amp;CPR（function) '!O345</f>
        <v>0</v>
      </c>
      <c r="E345" s="19">
        <f>Principle_portion_of_payment($B$1,$D$1,A345,$B$3)*'PSA&amp;CPR（function) '!O345</f>
        <v>0</v>
      </c>
      <c r="F345" s="19">
        <f>Interest_portion_of_payment($B$1,$D$1,A345,$B$3)*'PSA&amp;CPR（function) '!O345</f>
        <v>0</v>
      </c>
      <c r="G345" s="19">
        <f>(B345-E345)*'PSA&amp;CPR（function) '!G346</f>
        <v>0</v>
      </c>
      <c r="H345" s="19">
        <f>Remaining_balance($B$1,$D$1,A345,$B$3)*'PSA&amp;CPR（function) '!O346</f>
        <v>0</v>
      </c>
    </row>
    <row r="346" spans="1:8">
      <c r="A346">
        <f>'PSA&amp;CPR'!A346</f>
        <v>344</v>
      </c>
      <c r="B346" s="19">
        <f t="shared" si="10"/>
        <v>0</v>
      </c>
      <c r="C346" s="19">
        <f t="shared" si="11"/>
        <v>0</v>
      </c>
      <c r="D346" s="19">
        <f>Monthly_payment($B$1,$D$1,$B$3)*'PSA&amp;CPR（function) '!O346</f>
        <v>0</v>
      </c>
      <c r="E346" s="19">
        <f>Principle_portion_of_payment($B$1,$D$1,A346,$B$3)*'PSA&amp;CPR（function) '!O346</f>
        <v>0</v>
      </c>
      <c r="F346" s="19">
        <f>Interest_portion_of_payment($B$1,$D$1,A346,$B$3)*'PSA&amp;CPR（function) '!O346</f>
        <v>0</v>
      </c>
      <c r="G346" s="19">
        <f>(B346-E346)*'PSA&amp;CPR（function) '!G347</f>
        <v>0</v>
      </c>
      <c r="H346" s="19">
        <f>Remaining_balance($B$1,$D$1,A346,$B$3)*'PSA&amp;CPR（function) '!O347</f>
        <v>0</v>
      </c>
    </row>
    <row r="347" spans="1:8">
      <c r="A347">
        <f>'PSA&amp;CPR'!A347</f>
        <v>345</v>
      </c>
      <c r="B347" s="19">
        <f t="shared" si="10"/>
        <v>0</v>
      </c>
      <c r="C347" s="19">
        <f t="shared" si="11"/>
        <v>0</v>
      </c>
      <c r="D347" s="19">
        <f>Monthly_payment($B$1,$D$1,$B$3)*'PSA&amp;CPR（function) '!O347</f>
        <v>0</v>
      </c>
      <c r="E347" s="19">
        <f>Principle_portion_of_payment($B$1,$D$1,A347,$B$3)*'PSA&amp;CPR（function) '!O347</f>
        <v>0</v>
      </c>
      <c r="F347" s="19">
        <f>Interest_portion_of_payment($B$1,$D$1,A347,$B$3)*'PSA&amp;CPR（function) '!O347</f>
        <v>0</v>
      </c>
      <c r="G347" s="19">
        <f>(B347-E347)*'PSA&amp;CPR（function) '!G348</f>
        <v>0</v>
      </c>
      <c r="H347" s="19">
        <f>Remaining_balance($B$1,$D$1,A347,$B$3)*'PSA&amp;CPR（function) '!O348</f>
        <v>0</v>
      </c>
    </row>
    <row r="348" spans="1:8">
      <c r="A348">
        <f>'PSA&amp;CPR'!A348</f>
        <v>346</v>
      </c>
      <c r="B348" s="19">
        <f t="shared" si="10"/>
        <v>0</v>
      </c>
      <c r="C348" s="19">
        <f t="shared" si="11"/>
        <v>0</v>
      </c>
      <c r="D348" s="19">
        <f>Monthly_payment($B$1,$D$1,$B$3)*'PSA&amp;CPR（function) '!O348</f>
        <v>0</v>
      </c>
      <c r="E348" s="19">
        <f>Principle_portion_of_payment($B$1,$D$1,A348,$B$3)*'PSA&amp;CPR（function) '!O348</f>
        <v>0</v>
      </c>
      <c r="F348" s="19">
        <f>Interest_portion_of_payment($B$1,$D$1,A348,$B$3)*'PSA&amp;CPR（function) '!O348</f>
        <v>0</v>
      </c>
      <c r="G348" s="19">
        <f>(B348-E348)*'PSA&amp;CPR（function) '!G349</f>
        <v>0</v>
      </c>
      <c r="H348" s="19">
        <f>Remaining_balance($B$1,$D$1,A348,$B$3)*'PSA&amp;CPR（function) '!O349</f>
        <v>0</v>
      </c>
    </row>
    <row r="349" spans="1:8">
      <c r="A349">
        <f>'PSA&amp;CPR'!A349</f>
        <v>347</v>
      </c>
      <c r="B349" s="19">
        <f t="shared" si="10"/>
        <v>0</v>
      </c>
      <c r="C349" s="19">
        <f t="shared" si="11"/>
        <v>0</v>
      </c>
      <c r="D349" s="19">
        <f>Monthly_payment($B$1,$D$1,$B$3)*'PSA&amp;CPR（function) '!O349</f>
        <v>0</v>
      </c>
      <c r="E349" s="19">
        <f>Principle_portion_of_payment($B$1,$D$1,A349,$B$3)*'PSA&amp;CPR（function) '!O349</f>
        <v>0</v>
      </c>
      <c r="F349" s="19">
        <f>Interest_portion_of_payment($B$1,$D$1,A349,$B$3)*'PSA&amp;CPR（function) '!O349</f>
        <v>0</v>
      </c>
      <c r="G349" s="19">
        <f>(B349-E349)*'PSA&amp;CPR（function) '!G350</f>
        <v>0</v>
      </c>
      <c r="H349" s="19">
        <f>Remaining_balance($B$1,$D$1,A349,$B$3)*'PSA&amp;CPR（function) '!O350</f>
        <v>0</v>
      </c>
    </row>
    <row r="350" spans="1:8">
      <c r="A350">
        <f>'PSA&amp;CPR'!A350</f>
        <v>348</v>
      </c>
      <c r="B350" s="19">
        <f t="shared" si="10"/>
        <v>0</v>
      </c>
      <c r="C350" s="19">
        <f t="shared" si="11"/>
        <v>0</v>
      </c>
      <c r="D350" s="19">
        <f>Monthly_payment($B$1,$D$1,$B$3)*'PSA&amp;CPR（function) '!O350</f>
        <v>0</v>
      </c>
      <c r="E350" s="19">
        <f>Principle_portion_of_payment($B$1,$D$1,A350,$B$3)*'PSA&amp;CPR（function) '!O350</f>
        <v>0</v>
      </c>
      <c r="F350" s="19">
        <f>Interest_portion_of_payment($B$1,$D$1,A350,$B$3)*'PSA&amp;CPR（function) '!O350</f>
        <v>0</v>
      </c>
      <c r="G350" s="19">
        <f>(B350-E350)*'PSA&amp;CPR（function) '!G351</f>
        <v>0</v>
      </c>
      <c r="H350" s="19">
        <f>Remaining_balance($B$1,$D$1,A350,$B$3)*'PSA&amp;CPR（function) '!O351</f>
        <v>0</v>
      </c>
    </row>
    <row r="351" spans="1:8">
      <c r="A351">
        <f>'PSA&amp;CPR'!A351</f>
        <v>349</v>
      </c>
      <c r="B351" s="19">
        <f t="shared" si="10"/>
        <v>0</v>
      </c>
      <c r="C351" s="19">
        <f t="shared" si="11"/>
        <v>0</v>
      </c>
      <c r="D351" s="19">
        <f>Monthly_payment($B$1,$D$1,$B$3)*'PSA&amp;CPR（function) '!O351</f>
        <v>0</v>
      </c>
      <c r="E351" s="19">
        <f>Principle_portion_of_payment($B$1,$D$1,A351,$B$3)*'PSA&amp;CPR（function) '!O351</f>
        <v>0</v>
      </c>
      <c r="F351" s="19">
        <f>Interest_portion_of_payment($B$1,$D$1,A351,$B$3)*'PSA&amp;CPR（function) '!O351</f>
        <v>0</v>
      </c>
      <c r="G351" s="19">
        <f>(B351-E351)*'PSA&amp;CPR（function) '!G352</f>
        <v>0</v>
      </c>
      <c r="H351" s="19">
        <f>Remaining_balance($B$1,$D$1,A351,$B$3)*'PSA&amp;CPR（function) '!O352</f>
        <v>0</v>
      </c>
    </row>
    <row r="352" spans="1:8">
      <c r="A352">
        <f>'PSA&amp;CPR'!A352</f>
        <v>350</v>
      </c>
      <c r="B352" s="19">
        <f t="shared" si="10"/>
        <v>0</v>
      </c>
      <c r="C352" s="19">
        <f t="shared" si="11"/>
        <v>0</v>
      </c>
      <c r="D352" s="19">
        <f>Monthly_payment($B$1,$D$1,$B$3)*'PSA&amp;CPR（function) '!O352</f>
        <v>0</v>
      </c>
      <c r="E352" s="19">
        <f>Principle_portion_of_payment($B$1,$D$1,A352,$B$3)*'PSA&amp;CPR（function) '!O352</f>
        <v>0</v>
      </c>
      <c r="F352" s="19">
        <f>Interest_portion_of_payment($B$1,$D$1,A352,$B$3)*'PSA&amp;CPR（function) '!O352</f>
        <v>0</v>
      </c>
      <c r="G352" s="19">
        <f>(B352-E352)*'PSA&amp;CPR（function) '!G353</f>
        <v>0</v>
      </c>
      <c r="H352" s="19">
        <f>Remaining_balance($B$1,$D$1,A352,$B$3)*'PSA&amp;CPR（function) '!O353</f>
        <v>0</v>
      </c>
    </row>
    <row r="353" spans="1:8">
      <c r="A353">
        <f>'PSA&amp;CPR'!A353</f>
        <v>351</v>
      </c>
      <c r="B353" s="19">
        <f t="shared" si="10"/>
        <v>0</v>
      </c>
      <c r="C353" s="19">
        <f t="shared" si="11"/>
        <v>0</v>
      </c>
      <c r="D353" s="19">
        <f>Monthly_payment($B$1,$D$1,$B$3)*'PSA&amp;CPR（function) '!O353</f>
        <v>0</v>
      </c>
      <c r="E353" s="19">
        <f>Principle_portion_of_payment($B$1,$D$1,A353,$B$3)*'PSA&amp;CPR（function) '!O353</f>
        <v>0</v>
      </c>
      <c r="F353" s="19">
        <f>Interest_portion_of_payment($B$1,$D$1,A353,$B$3)*'PSA&amp;CPR（function) '!O353</f>
        <v>0</v>
      </c>
      <c r="G353" s="19">
        <f>(B353-E353)*'PSA&amp;CPR（function) '!G354</f>
        <v>0</v>
      </c>
      <c r="H353" s="19">
        <f>Remaining_balance($B$1,$D$1,A353,$B$3)*'PSA&amp;CPR（function) '!O354</f>
        <v>0</v>
      </c>
    </row>
    <row r="354" spans="1:8">
      <c r="A354">
        <f>'PSA&amp;CPR'!A354</f>
        <v>352</v>
      </c>
      <c r="B354" s="19">
        <f t="shared" si="10"/>
        <v>0</v>
      </c>
      <c r="C354" s="19">
        <f t="shared" si="11"/>
        <v>0</v>
      </c>
      <c r="D354" s="19">
        <f>Monthly_payment($B$1,$D$1,$B$3)*'PSA&amp;CPR（function) '!O354</f>
        <v>0</v>
      </c>
      <c r="E354" s="19">
        <f>Principle_portion_of_payment($B$1,$D$1,A354,$B$3)*'PSA&amp;CPR（function) '!O354</f>
        <v>0</v>
      </c>
      <c r="F354" s="19">
        <f>Interest_portion_of_payment($B$1,$D$1,A354,$B$3)*'PSA&amp;CPR（function) '!O354</f>
        <v>0</v>
      </c>
      <c r="G354" s="19">
        <f>(B354-E354)*'PSA&amp;CPR（function) '!G355</f>
        <v>0</v>
      </c>
      <c r="H354" s="19">
        <f>Remaining_balance($B$1,$D$1,A354,$B$3)*'PSA&amp;CPR（function) '!O355</f>
        <v>0</v>
      </c>
    </row>
    <row r="355" spans="1:8">
      <c r="A355">
        <f>'PSA&amp;CPR'!A355</f>
        <v>353</v>
      </c>
      <c r="B355" s="19">
        <f t="shared" si="10"/>
        <v>0</v>
      </c>
      <c r="C355" s="19">
        <f t="shared" si="11"/>
        <v>0</v>
      </c>
      <c r="D355" s="19">
        <f>Monthly_payment($B$1,$D$1,$B$3)*'PSA&amp;CPR（function) '!O355</f>
        <v>0</v>
      </c>
      <c r="E355" s="19">
        <f>Principle_portion_of_payment($B$1,$D$1,A355,$B$3)*'PSA&amp;CPR（function) '!O355</f>
        <v>0</v>
      </c>
      <c r="F355" s="19">
        <f>Interest_portion_of_payment($B$1,$D$1,A355,$B$3)*'PSA&amp;CPR（function) '!O355</f>
        <v>0</v>
      </c>
      <c r="G355" s="19">
        <f>(B355-E355)*'PSA&amp;CPR（function) '!G356</f>
        <v>0</v>
      </c>
      <c r="H355" s="19">
        <f>Remaining_balance($B$1,$D$1,A355,$B$3)*'PSA&amp;CPR（function) '!O356</f>
        <v>0</v>
      </c>
    </row>
    <row r="356" spans="1:8">
      <c r="A356">
        <f>'PSA&amp;CPR'!A356</f>
        <v>354</v>
      </c>
      <c r="B356" s="19">
        <f t="shared" si="10"/>
        <v>0</v>
      </c>
      <c r="C356" s="19">
        <f t="shared" si="11"/>
        <v>0</v>
      </c>
      <c r="D356" s="19">
        <f>Monthly_payment($B$1,$D$1,$B$3)*'PSA&amp;CPR（function) '!O356</f>
        <v>0</v>
      </c>
      <c r="E356" s="19">
        <f>Principle_portion_of_payment($B$1,$D$1,A356,$B$3)*'PSA&amp;CPR（function) '!O356</f>
        <v>0</v>
      </c>
      <c r="F356" s="19">
        <f>Interest_portion_of_payment($B$1,$D$1,A356,$B$3)*'PSA&amp;CPR（function) '!O356</f>
        <v>0</v>
      </c>
      <c r="G356" s="19">
        <f>(B356-E356)*'PSA&amp;CPR（function) '!G357</f>
        <v>0</v>
      </c>
      <c r="H356" s="19">
        <f>Remaining_balance($B$1,$D$1,A356,$B$3)*'PSA&amp;CPR（function) '!O357</f>
        <v>0</v>
      </c>
    </row>
    <row r="357" spans="1:8">
      <c r="A357">
        <f>'PSA&amp;CPR'!A357</f>
        <v>355</v>
      </c>
      <c r="B357" s="19">
        <f t="shared" si="10"/>
        <v>0</v>
      </c>
      <c r="C357" s="19">
        <f t="shared" si="11"/>
        <v>0</v>
      </c>
      <c r="D357" s="19">
        <f>Monthly_payment($B$1,$D$1,$B$3)*'PSA&amp;CPR（function) '!O357</f>
        <v>0</v>
      </c>
      <c r="E357" s="19">
        <f>Principle_portion_of_payment($B$1,$D$1,A357,$B$3)*'PSA&amp;CPR（function) '!O357</f>
        <v>0</v>
      </c>
      <c r="F357" s="19">
        <f>Interest_portion_of_payment($B$1,$D$1,A357,$B$3)*'PSA&amp;CPR（function) '!O357</f>
        <v>0</v>
      </c>
      <c r="G357" s="19">
        <f>(B357-E357)*'PSA&amp;CPR（function) '!G358</f>
        <v>0</v>
      </c>
      <c r="H357" s="19">
        <f>Remaining_balance($B$1,$D$1,A357,$B$3)*'PSA&amp;CPR（function) '!O358</f>
        <v>0</v>
      </c>
    </row>
    <row r="358" spans="1:8">
      <c r="A358">
        <f>'PSA&amp;CPR'!A358</f>
        <v>356</v>
      </c>
      <c r="B358" s="19">
        <f t="shared" si="10"/>
        <v>0</v>
      </c>
      <c r="C358" s="19">
        <f t="shared" si="11"/>
        <v>0</v>
      </c>
      <c r="D358" s="19">
        <f>Monthly_payment($B$1,$D$1,$B$3)*'PSA&amp;CPR（function) '!O358</f>
        <v>0</v>
      </c>
      <c r="E358" s="19">
        <f>Principle_portion_of_payment($B$1,$D$1,A358,$B$3)*'PSA&amp;CPR（function) '!O358</f>
        <v>0</v>
      </c>
      <c r="F358" s="19">
        <f>Interest_portion_of_payment($B$1,$D$1,A358,$B$3)*'PSA&amp;CPR（function) '!O358</f>
        <v>0</v>
      </c>
      <c r="G358" s="19">
        <f>(B358-E358)*'PSA&amp;CPR（function) '!G359</f>
        <v>0</v>
      </c>
      <c r="H358" s="19">
        <f>Remaining_balance($B$1,$D$1,A358,$B$3)*'PSA&amp;CPR（function) '!O359</f>
        <v>0</v>
      </c>
    </row>
    <row r="359" spans="1:8">
      <c r="A359">
        <f>'PSA&amp;CPR'!A359</f>
        <v>357</v>
      </c>
      <c r="B359" s="19">
        <f t="shared" si="10"/>
        <v>0</v>
      </c>
      <c r="C359" s="19">
        <f t="shared" si="11"/>
        <v>0</v>
      </c>
      <c r="D359" s="19">
        <f>Monthly_payment($B$1,$D$1,$B$3)*'PSA&amp;CPR（function) '!O359</f>
        <v>0</v>
      </c>
      <c r="E359" s="19">
        <f>Principle_portion_of_payment($B$1,$D$1,A359,$B$3)*'PSA&amp;CPR（function) '!O359</f>
        <v>0</v>
      </c>
      <c r="F359" s="19">
        <f>Interest_portion_of_payment($B$1,$D$1,A359,$B$3)*'PSA&amp;CPR（function) '!O359</f>
        <v>0</v>
      </c>
      <c r="G359" s="19">
        <f>(B359-E359)*'PSA&amp;CPR（function) '!G360</f>
        <v>0</v>
      </c>
      <c r="H359" s="19">
        <f>Remaining_balance($B$1,$D$1,A359,$B$3)*'PSA&amp;CPR（function) '!O360</f>
        <v>0</v>
      </c>
    </row>
    <row r="360" spans="1:8">
      <c r="A360">
        <f>'PSA&amp;CPR'!A360</f>
        <v>358</v>
      </c>
      <c r="B360" s="19">
        <f t="shared" si="10"/>
        <v>0</v>
      </c>
      <c r="C360" s="19">
        <f t="shared" si="11"/>
        <v>0</v>
      </c>
      <c r="D360" s="19">
        <f>Monthly_payment($B$1,$D$1,$B$3)*'PSA&amp;CPR（function) '!O360</f>
        <v>0</v>
      </c>
      <c r="E360" s="19">
        <f>Principle_portion_of_payment($B$1,$D$1,A360,$B$3)*'PSA&amp;CPR（function) '!O360</f>
        <v>0</v>
      </c>
      <c r="F360" s="19">
        <f>Interest_portion_of_payment($B$1,$D$1,A360,$B$3)*'PSA&amp;CPR（function) '!O360</f>
        <v>0</v>
      </c>
      <c r="G360" s="19">
        <f>(B360-E360)*'PSA&amp;CPR（function) '!G361</f>
        <v>0</v>
      </c>
      <c r="H360" s="19">
        <f>Remaining_balance($B$1,$D$1,A360,$B$3)*'PSA&amp;CPR（function) '!O361</f>
        <v>0</v>
      </c>
    </row>
    <row r="361" spans="1:8">
      <c r="A361">
        <f>'PSA&amp;CPR'!A361</f>
        <v>359</v>
      </c>
      <c r="B361" s="19">
        <f t="shared" si="10"/>
        <v>0</v>
      </c>
      <c r="C361" s="19">
        <f t="shared" si="11"/>
        <v>0</v>
      </c>
      <c r="D361" s="19">
        <f>Monthly_payment($B$1,$D$1,$B$3)*'PSA&amp;CPR（function) '!O361</f>
        <v>0</v>
      </c>
      <c r="E361" s="19">
        <f>Principle_portion_of_payment($B$1,$D$1,A361,$B$3)*'PSA&amp;CPR（function) '!O361</f>
        <v>0</v>
      </c>
      <c r="F361" s="19">
        <f>Interest_portion_of_payment($B$1,$D$1,A361,$B$3)*'PSA&amp;CPR（function) '!O361</f>
        <v>0</v>
      </c>
      <c r="G361" s="19">
        <f>(B361-E361)*'PSA&amp;CPR（function) '!G362</f>
        <v>0</v>
      </c>
      <c r="H361" s="19">
        <f>Remaining_balance($B$1,$D$1,A361,$B$3)*'PSA&amp;CPR（function) '!O362</f>
        <v>0</v>
      </c>
    </row>
    <row r="362" spans="1:8">
      <c r="A362">
        <f>'PSA&amp;CPR'!A362</f>
        <v>360</v>
      </c>
      <c r="B362" s="19">
        <f t="shared" si="10"/>
        <v>0</v>
      </c>
      <c r="C362" s="19">
        <f t="shared" si="11"/>
        <v>0</v>
      </c>
      <c r="D362" s="19">
        <f>Monthly_payment($B$1,$D$1,$B$3)*'PSA&amp;CPR（function) '!O362</f>
        <v>0</v>
      </c>
      <c r="E362" s="19">
        <f>Principle_portion_of_payment($B$1,$D$1,A362,$B$3)*'PSA&amp;CPR（function) '!O362</f>
        <v>0</v>
      </c>
      <c r="F362" s="19">
        <f>Interest_portion_of_payment($B$1,$D$1,A362,$B$3)*'PSA&amp;CPR（function) '!O362</f>
        <v>0</v>
      </c>
      <c r="G362" s="19">
        <f>(B362-E362)*'PSA&amp;CPR（function) '!G363</f>
        <v>0</v>
      </c>
      <c r="H362" s="19">
        <f>Remaining_balance($B$1,$D$1,A362,$B$3)*'PSA&amp;CPR（function) '!O363</f>
        <v>0</v>
      </c>
    </row>
    <row r="363" spans="1:8">
      <c r="B363" s="19"/>
      <c r="C363" s="19"/>
      <c r="D363" s="19"/>
      <c r="E363" s="19"/>
      <c r="F363" s="19"/>
      <c r="G363" s="19"/>
      <c r="H363" s="19"/>
    </row>
    <row r="364" spans="1:8">
      <c r="B364" s="19"/>
      <c r="C364" s="19"/>
      <c r="D364" s="19"/>
      <c r="E364" s="19"/>
      <c r="F364" s="19"/>
      <c r="G364" s="19"/>
      <c r="H364" s="19"/>
    </row>
    <row r="365" spans="1:8">
      <c r="B365" s="19"/>
      <c r="C365" s="19"/>
      <c r="D365" s="19"/>
      <c r="E365" s="19"/>
      <c r="F365" s="19"/>
      <c r="G365" s="19"/>
      <c r="H365" s="19"/>
    </row>
    <row r="366" spans="1:8">
      <c r="B366" s="19"/>
      <c r="C366" s="19"/>
      <c r="D366" s="19"/>
      <c r="E366" s="19"/>
      <c r="F366" s="19"/>
      <c r="G366" s="19"/>
      <c r="H366" s="19"/>
    </row>
    <row r="367" spans="1:8">
      <c r="B367" s="19"/>
      <c r="C367" s="19"/>
      <c r="D367" s="19"/>
      <c r="E367" s="19"/>
      <c r="F367" s="19"/>
      <c r="G367" s="19"/>
      <c r="H367" s="19"/>
    </row>
    <row r="368" spans="1:8">
      <c r="B368" s="19"/>
      <c r="C368" s="19"/>
      <c r="D368" s="19"/>
      <c r="E368" s="19"/>
      <c r="F368" s="19"/>
      <c r="G368" s="19"/>
      <c r="H368" s="19"/>
    </row>
    <row r="369" spans="2:8">
      <c r="B369" s="19"/>
      <c r="C369" s="19"/>
      <c r="D369" s="19"/>
      <c r="E369" s="19"/>
      <c r="F369" s="19"/>
      <c r="G369" s="19"/>
      <c r="H369" s="19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VBA function application</vt:lpstr>
      <vt:lpstr>Cash flows with no prepayments</vt:lpstr>
      <vt:lpstr>PSA&amp;CPR</vt:lpstr>
      <vt:lpstr>Cash flows with prepayments</vt:lpstr>
      <vt:lpstr>PSA&amp;CPR（function) </vt:lpstr>
      <vt:lpstr>Cash flows with prepayments (s)</vt:lpstr>
      <vt:lpstr>Cash flows with prepayments (E)</vt:lpstr>
      <vt:lpstr>Cash flows with prepayments (m)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Jianhui Shi</dc:creator>
  <cp:lastModifiedBy>Microsoft Office User</cp:lastModifiedBy>
  <cp:lastPrinted>2018-06-04T18:14:38Z</cp:lastPrinted>
  <dcterms:created xsi:type="dcterms:W3CDTF">2018-04-17T05:23:04Z</dcterms:created>
  <dcterms:modified xsi:type="dcterms:W3CDTF">2019-12-10T02:12:17Z</dcterms:modified>
</cp:coreProperties>
</file>